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bhanu\Desktop\Final FTP\Pakhanjur\"/>
    </mc:Choice>
  </mc:AlternateContent>
  <bookViews>
    <workbookView xWindow="0" yWindow="0" windowWidth="20490" windowHeight="7245"/>
  </bookViews>
  <sheets>
    <sheet name="Summary" sheetId="39" r:id="rId1"/>
    <sheet name="Link Loss Budget-Pakhanjore " sheetId="16" r:id="rId2"/>
    <sheet name="Spare link loss-Pakhanjore" sheetId="42" r:id="rId3"/>
    <sheet name="Pakhanjore  Block to Block" sheetId="18" r:id="rId4"/>
    <sheet name="Pakhanjore Inter Ring" sheetId="19" r:id="rId5"/>
    <sheet name="Fiber utilisation" sheetId="43" r:id="rId6"/>
    <sheet name="FDMS Plan Blue Ring" sheetId="46" r:id="rId7"/>
    <sheet name="FDMS Plan Orange Ring" sheetId="47" r:id="rId8"/>
    <sheet name="FDMS Plan Pink Ring" sheetId="49" r:id="rId9"/>
    <sheet name="FDMS Plan Brown Ring" sheetId="51" r:id="rId10"/>
    <sheet name="Splice Pattern Blue Ring" sheetId="24" r:id="rId11"/>
    <sheet name="Splice Pattern Orange Ring" sheetId="38" r:id="rId12"/>
    <sheet name="Splice Pattern Pink Ring." sheetId="37" r:id="rId13"/>
    <sheet name="Splice Pattern Brown Ring" sheetId="52" r:id="rId14"/>
    <sheet name="Distance sheet" sheetId="27" r:id="rId15"/>
    <sheet name="Assumptions" sheetId="28" r:id="rId16"/>
  </sheets>
  <definedNames>
    <definedName name="_xlnm._FilterDatabase" localSheetId="1" hidden="1">'Link Loss Budget-Pakhanjore '!$A$1:$U$86</definedName>
  </definedNames>
  <calcPr calcId="162913"/>
</workbook>
</file>

<file path=xl/calcChain.xml><?xml version="1.0" encoding="utf-8"?>
<calcChain xmlns="http://schemas.openxmlformats.org/spreadsheetml/2006/main">
  <c r="G8" i="39" l="1"/>
  <c r="F7" i="39"/>
  <c r="E7" i="39"/>
  <c r="D7" i="39"/>
  <c r="C7" i="39"/>
  <c r="G6" i="39"/>
  <c r="G5" i="39"/>
  <c r="G7" i="39" l="1"/>
  <c r="M3" i="42" l="1"/>
  <c r="M4" i="42"/>
  <c r="M5" i="42"/>
  <c r="M6" i="42"/>
  <c r="M7" i="42"/>
  <c r="M8" i="42"/>
  <c r="M9" i="42"/>
  <c r="M10" i="42"/>
  <c r="M11" i="42"/>
  <c r="M12" i="42"/>
  <c r="M13" i="42"/>
  <c r="M14" i="42"/>
  <c r="L3" i="42"/>
  <c r="L4" i="42"/>
  <c r="L5" i="42"/>
  <c r="L6" i="42"/>
  <c r="L7" i="42"/>
  <c r="L8" i="42"/>
  <c r="L9" i="42"/>
  <c r="L10" i="42"/>
  <c r="L11" i="42"/>
  <c r="L12" i="42"/>
  <c r="L13" i="42"/>
  <c r="L14" i="42"/>
  <c r="J3" i="42"/>
  <c r="J4" i="42"/>
  <c r="J5" i="42"/>
  <c r="J6" i="42"/>
  <c r="J7" i="42"/>
  <c r="J8" i="42"/>
  <c r="J9" i="42"/>
  <c r="J10" i="42"/>
  <c r="J11" i="42"/>
  <c r="J12" i="42"/>
  <c r="J13" i="42"/>
  <c r="J14" i="42"/>
  <c r="I3" i="42"/>
  <c r="I4" i="42"/>
  <c r="I5" i="42"/>
  <c r="I6" i="42"/>
  <c r="I7" i="42"/>
  <c r="I8" i="42"/>
  <c r="I9" i="42"/>
  <c r="I10" i="42"/>
  <c r="I11" i="42"/>
  <c r="I12" i="42"/>
  <c r="I13" i="42"/>
  <c r="I14" i="42"/>
  <c r="I86" i="16" l="1"/>
  <c r="O86" i="16" s="1"/>
  <c r="I57" i="16"/>
  <c r="I58" i="16"/>
  <c r="I59" i="16"/>
  <c r="I60" i="16"/>
  <c r="I61" i="16"/>
  <c r="I62" i="16"/>
  <c r="O62" i="16" s="1"/>
  <c r="I63" i="16"/>
  <c r="I64" i="16"/>
  <c r="I65" i="16"/>
  <c r="I66" i="16"/>
  <c r="I67" i="16"/>
  <c r="I68" i="16"/>
  <c r="I69" i="16"/>
  <c r="I70" i="16"/>
  <c r="O70" i="16" s="1"/>
  <c r="I71" i="16"/>
  <c r="M71" i="16" s="1"/>
  <c r="I72" i="16"/>
  <c r="L72" i="16" s="1"/>
  <c r="I73" i="16"/>
  <c r="L73" i="16" s="1"/>
  <c r="I74" i="16"/>
  <c r="I75" i="16"/>
  <c r="I76" i="16"/>
  <c r="I77" i="16"/>
  <c r="I78" i="16"/>
  <c r="O78" i="16" s="1"/>
  <c r="I79" i="16"/>
  <c r="M79" i="16" s="1"/>
  <c r="I80" i="16"/>
  <c r="I81" i="16"/>
  <c r="I82" i="16"/>
  <c r="I83" i="16"/>
  <c r="I84" i="16"/>
  <c r="I85" i="16"/>
  <c r="I3" i="16"/>
  <c r="I4" i="16"/>
  <c r="I5" i="16"/>
  <c r="O5" i="16" s="1"/>
  <c r="I6" i="16"/>
  <c r="I7" i="16"/>
  <c r="I8" i="16"/>
  <c r="O8" i="16" s="1"/>
  <c r="I9" i="16"/>
  <c r="O9" i="16" s="1"/>
  <c r="I10" i="16"/>
  <c r="I11" i="16"/>
  <c r="I12" i="16"/>
  <c r="I13" i="16"/>
  <c r="O13" i="16" s="1"/>
  <c r="I14" i="16"/>
  <c r="I15" i="16"/>
  <c r="I16" i="16"/>
  <c r="O16" i="16" s="1"/>
  <c r="I17" i="16"/>
  <c r="O17" i="16" s="1"/>
  <c r="I18" i="16"/>
  <c r="I19" i="16"/>
  <c r="I20" i="16"/>
  <c r="I21" i="16"/>
  <c r="O21" i="16" s="1"/>
  <c r="I22" i="16"/>
  <c r="I23" i="16"/>
  <c r="I24" i="16"/>
  <c r="O24" i="16" s="1"/>
  <c r="I25" i="16"/>
  <c r="O25" i="16" s="1"/>
  <c r="I26" i="16"/>
  <c r="I27" i="16"/>
  <c r="I28" i="16"/>
  <c r="I29" i="16"/>
  <c r="O29" i="16" s="1"/>
  <c r="I30" i="16"/>
  <c r="I31" i="16"/>
  <c r="I32" i="16"/>
  <c r="O32" i="16" s="1"/>
  <c r="I33" i="16"/>
  <c r="O33" i="16" s="1"/>
  <c r="I34" i="16"/>
  <c r="I35" i="16"/>
  <c r="I36" i="16"/>
  <c r="I37" i="16"/>
  <c r="O37" i="16" s="1"/>
  <c r="I38" i="16"/>
  <c r="I39" i="16"/>
  <c r="I40" i="16"/>
  <c r="O40" i="16" s="1"/>
  <c r="I41" i="16"/>
  <c r="O41" i="16" s="1"/>
  <c r="I42" i="16"/>
  <c r="I43" i="16"/>
  <c r="I44" i="16"/>
  <c r="I45" i="16"/>
  <c r="O45" i="16" s="1"/>
  <c r="I46" i="16"/>
  <c r="I47" i="16"/>
  <c r="I48" i="16"/>
  <c r="O48" i="16" s="1"/>
  <c r="I49" i="16"/>
  <c r="O49" i="16" s="1"/>
  <c r="I50" i="16"/>
  <c r="I51" i="16"/>
  <c r="I52" i="16"/>
  <c r="I53" i="16"/>
  <c r="O53" i="16" s="1"/>
  <c r="I54" i="16"/>
  <c r="I55" i="16"/>
  <c r="I56" i="16"/>
  <c r="O56" i="16" s="1"/>
  <c r="I2" i="16"/>
  <c r="L2" i="16" s="1"/>
  <c r="L13" i="16" l="1"/>
  <c r="L8" i="16"/>
  <c r="L29" i="16"/>
  <c r="L56" i="16"/>
  <c r="L24" i="16"/>
  <c r="L21" i="16"/>
  <c r="L78" i="16"/>
  <c r="M86" i="16"/>
  <c r="L45" i="16"/>
  <c r="L60" i="16"/>
  <c r="O60" i="16"/>
  <c r="S56" i="16"/>
  <c r="P56" i="16"/>
  <c r="S32" i="16"/>
  <c r="P32" i="16"/>
  <c r="S8" i="16"/>
  <c r="P8" i="16"/>
  <c r="L83" i="16"/>
  <c r="O83" i="16"/>
  <c r="L75" i="16"/>
  <c r="O75" i="16"/>
  <c r="L67" i="16"/>
  <c r="O67" i="16"/>
  <c r="L59" i="16"/>
  <c r="O59" i="16"/>
  <c r="S9" i="16"/>
  <c r="P9" i="16"/>
  <c r="S48" i="16"/>
  <c r="P48" i="16"/>
  <c r="S24" i="16"/>
  <c r="P24" i="16"/>
  <c r="Q24" i="16" s="1"/>
  <c r="T24" i="16" s="1"/>
  <c r="L17" i="16"/>
  <c r="L39" i="16"/>
  <c r="O39" i="16"/>
  <c r="L23" i="16"/>
  <c r="O23" i="16"/>
  <c r="L15" i="16"/>
  <c r="O15" i="16"/>
  <c r="L82" i="16"/>
  <c r="O82" i="16"/>
  <c r="L74" i="16"/>
  <c r="O74" i="16"/>
  <c r="L66" i="16"/>
  <c r="O66" i="16"/>
  <c r="L58" i="16"/>
  <c r="O58" i="16"/>
  <c r="M78" i="16"/>
  <c r="S33" i="16"/>
  <c r="P33" i="16"/>
  <c r="L84" i="16"/>
  <c r="O84" i="16"/>
  <c r="L76" i="16"/>
  <c r="O76" i="16"/>
  <c r="S40" i="16"/>
  <c r="P40" i="16"/>
  <c r="S16" i="16"/>
  <c r="P16" i="16"/>
  <c r="L40" i="16"/>
  <c r="L55" i="16"/>
  <c r="O55" i="16"/>
  <c r="L47" i="16"/>
  <c r="O47" i="16"/>
  <c r="L31" i="16"/>
  <c r="O31" i="16"/>
  <c r="L7" i="16"/>
  <c r="O7" i="16"/>
  <c r="L37" i="16"/>
  <c r="L16" i="16"/>
  <c r="L54" i="16"/>
  <c r="O54" i="16"/>
  <c r="L46" i="16"/>
  <c r="O46" i="16"/>
  <c r="L38" i="16"/>
  <c r="O38" i="16"/>
  <c r="L30" i="16"/>
  <c r="O30" i="16"/>
  <c r="L22" i="16"/>
  <c r="O22" i="16"/>
  <c r="L14" i="16"/>
  <c r="O14" i="16"/>
  <c r="L6" i="16"/>
  <c r="O6" i="16"/>
  <c r="M81" i="16"/>
  <c r="O81" i="16"/>
  <c r="M73" i="16"/>
  <c r="O73" i="16"/>
  <c r="M65" i="16"/>
  <c r="O65" i="16"/>
  <c r="M57" i="16"/>
  <c r="O57" i="16"/>
  <c r="L70" i="16"/>
  <c r="S49" i="16"/>
  <c r="P49" i="16"/>
  <c r="S53" i="16"/>
  <c r="P53" i="16"/>
  <c r="S45" i="16"/>
  <c r="P45" i="16"/>
  <c r="Q45" i="16" s="1"/>
  <c r="P29" i="16"/>
  <c r="Q29" i="16" s="1"/>
  <c r="S29" i="16"/>
  <c r="S21" i="16"/>
  <c r="P21" i="16"/>
  <c r="Q21" i="16" s="1"/>
  <c r="S13" i="16"/>
  <c r="P13" i="16"/>
  <c r="Q13" i="16" s="1"/>
  <c r="T13" i="16" s="1"/>
  <c r="M80" i="16"/>
  <c r="O80" i="16"/>
  <c r="M72" i="16"/>
  <c r="O72" i="16"/>
  <c r="S86" i="16"/>
  <c r="P86" i="16"/>
  <c r="L65" i="16"/>
  <c r="M70" i="16"/>
  <c r="S17" i="16"/>
  <c r="P17" i="16"/>
  <c r="P37" i="16"/>
  <c r="S37" i="16"/>
  <c r="S5" i="16"/>
  <c r="P5" i="16"/>
  <c r="M64" i="16"/>
  <c r="O64" i="16"/>
  <c r="L53" i="16"/>
  <c r="L32" i="16"/>
  <c r="L9" i="16"/>
  <c r="L52" i="16"/>
  <c r="O52" i="16"/>
  <c r="L44" i="16"/>
  <c r="O44" i="16"/>
  <c r="L36" i="16"/>
  <c r="O36" i="16"/>
  <c r="L28" i="16"/>
  <c r="O28" i="16"/>
  <c r="L20" i="16"/>
  <c r="O20" i="16"/>
  <c r="L12" i="16"/>
  <c r="O12" i="16"/>
  <c r="L4" i="16"/>
  <c r="O4" i="16"/>
  <c r="L79" i="16"/>
  <c r="O79" i="16"/>
  <c r="L71" i="16"/>
  <c r="O71" i="16"/>
  <c r="L63" i="16"/>
  <c r="O63" i="16"/>
  <c r="L86" i="16"/>
  <c r="L64" i="16"/>
  <c r="M63" i="16"/>
  <c r="S41" i="16"/>
  <c r="P41" i="16"/>
  <c r="L68" i="16"/>
  <c r="O68" i="16"/>
  <c r="L33" i="16"/>
  <c r="L51" i="16"/>
  <c r="O51" i="16"/>
  <c r="L43" i="16"/>
  <c r="O43" i="16"/>
  <c r="L35" i="16"/>
  <c r="O35" i="16"/>
  <c r="L27" i="16"/>
  <c r="O27" i="16"/>
  <c r="L19" i="16"/>
  <c r="O19" i="16"/>
  <c r="L11" i="16"/>
  <c r="O11" i="16"/>
  <c r="L3" i="16"/>
  <c r="O3" i="16"/>
  <c r="S78" i="16"/>
  <c r="P78" i="16"/>
  <c r="Q78" i="16" s="1"/>
  <c r="S62" i="16"/>
  <c r="P62" i="16"/>
  <c r="L81" i="16"/>
  <c r="L62" i="16"/>
  <c r="M62" i="16"/>
  <c r="S25" i="16"/>
  <c r="P25" i="16"/>
  <c r="L41" i="16"/>
  <c r="L49" i="16"/>
  <c r="S70" i="16"/>
  <c r="P70" i="16"/>
  <c r="L48" i="16"/>
  <c r="L25" i="16"/>
  <c r="L5" i="16"/>
  <c r="L50" i="16"/>
  <c r="O50" i="16"/>
  <c r="L42" i="16"/>
  <c r="O42" i="16"/>
  <c r="L34" i="16"/>
  <c r="O34" i="16"/>
  <c r="L26" i="16"/>
  <c r="O26" i="16"/>
  <c r="L18" i="16"/>
  <c r="O18" i="16"/>
  <c r="L10" i="16"/>
  <c r="O10" i="16"/>
  <c r="L85" i="16"/>
  <c r="O85" i="16"/>
  <c r="L77" i="16"/>
  <c r="O77" i="16"/>
  <c r="L69" i="16"/>
  <c r="O69" i="16"/>
  <c r="L61" i="16"/>
  <c r="O61" i="16"/>
  <c r="L80" i="16"/>
  <c r="L57" i="16"/>
  <c r="M85" i="16"/>
  <c r="M77" i="16"/>
  <c r="M69" i="16"/>
  <c r="M61" i="16"/>
  <c r="M84" i="16"/>
  <c r="M76" i="16"/>
  <c r="M68" i="16"/>
  <c r="M60" i="16"/>
  <c r="M83" i="16"/>
  <c r="M75" i="16"/>
  <c r="M67" i="16"/>
  <c r="M59" i="16"/>
  <c r="M82" i="16"/>
  <c r="M74" i="16"/>
  <c r="M66" i="16"/>
  <c r="M58" i="16"/>
  <c r="J2" i="42"/>
  <c r="M3" i="16"/>
  <c r="M4" i="16"/>
  <c r="M5" i="16"/>
  <c r="M8" i="16"/>
  <c r="M11" i="16"/>
  <c r="M12" i="16"/>
  <c r="M13" i="16"/>
  <c r="M16" i="16"/>
  <c r="M20" i="16"/>
  <c r="M21" i="16"/>
  <c r="M24" i="16"/>
  <c r="M27" i="16"/>
  <c r="M28" i="16"/>
  <c r="M29" i="16"/>
  <c r="M32" i="16"/>
  <c r="M36" i="16"/>
  <c r="M37" i="16"/>
  <c r="M40" i="16"/>
  <c r="M43" i="16"/>
  <c r="M44" i="16"/>
  <c r="M45" i="16"/>
  <c r="M48" i="16"/>
  <c r="M52" i="16"/>
  <c r="M53" i="16"/>
  <c r="M56" i="16"/>
  <c r="Q8" i="16" l="1"/>
  <c r="T21" i="16"/>
  <c r="Q56" i="16"/>
  <c r="T56" i="16" s="1"/>
  <c r="Q17" i="16"/>
  <c r="Q40" i="16"/>
  <c r="T40" i="16" s="1"/>
  <c r="Q37" i="16"/>
  <c r="Q70" i="16"/>
  <c r="T70" i="16" s="1"/>
  <c r="Q62" i="16"/>
  <c r="T62" i="16" s="1"/>
  <c r="Q25" i="16"/>
  <c r="T25" i="16" s="1"/>
  <c r="Q5" i="16"/>
  <c r="T5" i="16" s="1"/>
  <c r="T17" i="16"/>
  <c r="T45" i="16"/>
  <c r="Q16" i="16"/>
  <c r="T16" i="16" s="1"/>
  <c r="Q33" i="16"/>
  <c r="T33" i="16" s="1"/>
  <c r="T8" i="16"/>
  <c r="Q53" i="16"/>
  <c r="T53" i="16" s="1"/>
  <c r="S59" i="16"/>
  <c r="P59" i="16"/>
  <c r="Q59" i="16" s="1"/>
  <c r="S61" i="16"/>
  <c r="P61" i="16"/>
  <c r="Q61" i="16" s="1"/>
  <c r="S10" i="16"/>
  <c r="P10" i="16"/>
  <c r="Q10" i="16" s="1"/>
  <c r="S42" i="16"/>
  <c r="P42" i="16"/>
  <c r="Q42" i="16" s="1"/>
  <c r="S19" i="16"/>
  <c r="P19" i="16"/>
  <c r="Q19" i="16" s="1"/>
  <c r="S51" i="16"/>
  <c r="P51" i="16"/>
  <c r="Q51" i="16" s="1"/>
  <c r="S4" i="16"/>
  <c r="P4" i="16"/>
  <c r="Q4" i="16" s="1"/>
  <c r="P36" i="16"/>
  <c r="Q36" i="16" s="1"/>
  <c r="S36" i="16"/>
  <c r="S65" i="16"/>
  <c r="P65" i="16"/>
  <c r="Q65" i="16" s="1"/>
  <c r="S14" i="16"/>
  <c r="P14" i="16"/>
  <c r="Q14" i="16" s="1"/>
  <c r="S46" i="16"/>
  <c r="P46" i="16"/>
  <c r="Q46" i="16" s="1"/>
  <c r="S31" i="16"/>
  <c r="P31" i="16"/>
  <c r="Q31" i="16" s="1"/>
  <c r="S82" i="16"/>
  <c r="P82" i="16"/>
  <c r="Q82" i="16" s="1"/>
  <c r="S67" i="16"/>
  <c r="P67" i="16"/>
  <c r="Q67" i="16" s="1"/>
  <c r="Q32" i="16"/>
  <c r="T32" i="16" s="1"/>
  <c r="S69" i="16"/>
  <c r="P69" i="16"/>
  <c r="Q69" i="16" s="1"/>
  <c r="S18" i="16"/>
  <c r="P18" i="16"/>
  <c r="Q18" i="16" s="1"/>
  <c r="S50" i="16"/>
  <c r="P50" i="16"/>
  <c r="Q50" i="16" s="1"/>
  <c r="T78" i="16"/>
  <c r="S27" i="16"/>
  <c r="P27" i="16"/>
  <c r="Q27" i="16" s="1"/>
  <c r="S63" i="16"/>
  <c r="P63" i="16"/>
  <c r="Q63" i="16" s="1"/>
  <c r="S12" i="16"/>
  <c r="P12" i="16"/>
  <c r="Q12" i="16" s="1"/>
  <c r="S44" i="16"/>
  <c r="P44" i="16"/>
  <c r="Q44" i="16" s="1"/>
  <c r="S73" i="16"/>
  <c r="P73" i="16"/>
  <c r="Q73" i="16" s="1"/>
  <c r="S22" i="16"/>
  <c r="P22" i="16"/>
  <c r="Q22" i="16" s="1"/>
  <c r="S54" i="16"/>
  <c r="P54" i="16"/>
  <c r="Q54" i="16" s="1"/>
  <c r="S47" i="16"/>
  <c r="P47" i="16"/>
  <c r="Q47" i="16" s="1"/>
  <c r="S58" i="16"/>
  <c r="P58" i="16"/>
  <c r="Q58" i="16" s="1"/>
  <c r="S15" i="16"/>
  <c r="P15" i="16"/>
  <c r="Q15" i="16" s="1"/>
  <c r="S64" i="16"/>
  <c r="P64" i="16"/>
  <c r="Q64" i="16" s="1"/>
  <c r="Q86" i="16"/>
  <c r="T86" i="16" s="1"/>
  <c r="Q49" i="16"/>
  <c r="T49" i="16" s="1"/>
  <c r="P76" i="16"/>
  <c r="Q76" i="16" s="1"/>
  <c r="S76" i="16"/>
  <c r="Q48" i="16"/>
  <c r="T48" i="16" s="1"/>
  <c r="S75" i="16"/>
  <c r="P75" i="16"/>
  <c r="Q75" i="16" s="1"/>
  <c r="S26" i="16"/>
  <c r="P26" i="16"/>
  <c r="Q26" i="16" s="1"/>
  <c r="S3" i="16"/>
  <c r="P3" i="16"/>
  <c r="Q3" i="16" s="1"/>
  <c r="S35" i="16"/>
  <c r="P35" i="16"/>
  <c r="Q35" i="16" s="1"/>
  <c r="S71" i="16"/>
  <c r="P71" i="16"/>
  <c r="Q71" i="16" s="1"/>
  <c r="S20" i="16"/>
  <c r="P20" i="16"/>
  <c r="Q20" i="16" s="1"/>
  <c r="S52" i="16"/>
  <c r="P52" i="16"/>
  <c r="Q52" i="16" s="1"/>
  <c r="S81" i="16"/>
  <c r="P81" i="16"/>
  <c r="Q81" i="16" s="1"/>
  <c r="S30" i="16"/>
  <c r="P30" i="16"/>
  <c r="Q30" i="16" s="1"/>
  <c r="S55" i="16"/>
  <c r="P55" i="16"/>
  <c r="Q55" i="16" s="1"/>
  <c r="S66" i="16"/>
  <c r="P66" i="16"/>
  <c r="Q66" i="16" s="1"/>
  <c r="S23" i="16"/>
  <c r="P23" i="16"/>
  <c r="Q23" i="16" s="1"/>
  <c r="S80" i="16"/>
  <c r="P80" i="16"/>
  <c r="Q80" i="16" s="1"/>
  <c r="S77" i="16"/>
  <c r="P77" i="16"/>
  <c r="Q77" i="16" s="1"/>
  <c r="Q41" i="16"/>
  <c r="T41" i="16" s="1"/>
  <c r="S72" i="16"/>
  <c r="P72" i="16"/>
  <c r="Q72" i="16" s="1"/>
  <c r="P84" i="16"/>
  <c r="Q84" i="16" s="1"/>
  <c r="S84" i="16"/>
  <c r="Q9" i="16"/>
  <c r="T9" i="16" s="1"/>
  <c r="S83" i="16"/>
  <c r="P83" i="16"/>
  <c r="Q83" i="16" s="1"/>
  <c r="P60" i="16"/>
  <c r="Q60" i="16" s="1"/>
  <c r="S60" i="16"/>
  <c r="P68" i="16"/>
  <c r="Q68" i="16" s="1"/>
  <c r="S68" i="16"/>
  <c r="P85" i="16"/>
  <c r="Q85" i="16" s="1"/>
  <c r="S85" i="16"/>
  <c r="S34" i="16"/>
  <c r="P34" i="16"/>
  <c r="Q34" i="16" s="1"/>
  <c r="S11" i="16"/>
  <c r="P11" i="16"/>
  <c r="Q11" i="16" s="1"/>
  <c r="S43" i="16"/>
  <c r="P43" i="16"/>
  <c r="Q43" i="16" s="1"/>
  <c r="S79" i="16"/>
  <c r="P79" i="16"/>
  <c r="Q79" i="16" s="1"/>
  <c r="S28" i="16"/>
  <c r="P28" i="16"/>
  <c r="Q28" i="16" s="1"/>
  <c r="T37" i="16"/>
  <c r="T29" i="16"/>
  <c r="S57" i="16"/>
  <c r="P57" i="16"/>
  <c r="Q57" i="16" s="1"/>
  <c r="S6" i="16"/>
  <c r="P6" i="16"/>
  <c r="Q6" i="16" s="1"/>
  <c r="S38" i="16"/>
  <c r="P38" i="16"/>
  <c r="Q38" i="16" s="1"/>
  <c r="S7" i="16"/>
  <c r="P7" i="16"/>
  <c r="Q7" i="16" s="1"/>
  <c r="S74" i="16"/>
  <c r="P74" i="16"/>
  <c r="Q74" i="16" s="1"/>
  <c r="S39" i="16"/>
  <c r="P39" i="16"/>
  <c r="Q39" i="16" s="1"/>
  <c r="M25" i="16"/>
  <c r="M19" i="16"/>
  <c r="M41" i="16"/>
  <c r="M18" i="16"/>
  <c r="M35" i="16"/>
  <c r="M17" i="16"/>
  <c r="M34" i="16"/>
  <c r="M51" i="16"/>
  <c r="M10" i="16"/>
  <c r="M42" i="16"/>
  <c r="M33" i="16"/>
  <c r="M50" i="16"/>
  <c r="M9" i="16"/>
  <c r="M49" i="16"/>
  <c r="M26" i="16"/>
  <c r="M55" i="16"/>
  <c r="M47" i="16"/>
  <c r="M39" i="16"/>
  <c r="M31" i="16"/>
  <c r="M23" i="16"/>
  <c r="M15" i="16"/>
  <c r="M7" i="16"/>
  <c r="M54" i="16"/>
  <c r="M38" i="16"/>
  <c r="M30" i="16"/>
  <c r="M22" i="16"/>
  <c r="M6" i="16"/>
  <c r="M46" i="16"/>
  <c r="M14" i="16"/>
  <c r="V2" i="19"/>
  <c r="V3" i="19"/>
  <c r="V4" i="19"/>
  <c r="I2" i="42"/>
  <c r="L2" i="42" s="1"/>
  <c r="T61" i="16" l="1"/>
  <c r="T38" i="16"/>
  <c r="T28" i="16"/>
  <c r="T34" i="16"/>
  <c r="T83" i="16"/>
  <c r="T77" i="16"/>
  <c r="T55" i="16"/>
  <c r="T20" i="16"/>
  <c r="T26" i="16"/>
  <c r="T50" i="16"/>
  <c r="T64" i="16"/>
  <c r="T54" i="16"/>
  <c r="T12" i="16"/>
  <c r="T82" i="16"/>
  <c r="T65" i="16"/>
  <c r="T19" i="16"/>
  <c r="T74" i="16"/>
  <c r="T57" i="16"/>
  <c r="T43" i="16"/>
  <c r="T23" i="16"/>
  <c r="T81" i="16"/>
  <c r="T35" i="16"/>
  <c r="T69" i="16"/>
  <c r="T42" i="16"/>
  <c r="T47" i="16"/>
  <c r="T67" i="16"/>
  <c r="T14" i="16"/>
  <c r="T84" i="16"/>
  <c r="T36" i="16"/>
  <c r="T7" i="16"/>
  <c r="T11" i="16"/>
  <c r="T66" i="16"/>
  <c r="T52" i="16"/>
  <c r="T3" i="16"/>
  <c r="T76" i="16"/>
  <c r="T10" i="16"/>
  <c r="T39" i="16"/>
  <c r="T6" i="16"/>
  <c r="T79" i="16"/>
  <c r="T80" i="16"/>
  <c r="T30" i="16"/>
  <c r="T71" i="16"/>
  <c r="T75" i="16"/>
  <c r="T18" i="16"/>
  <c r="T59" i="16"/>
  <c r="T68" i="16"/>
  <c r="T72" i="16"/>
  <c r="T58" i="16"/>
  <c r="T73" i="16"/>
  <c r="T27" i="16"/>
  <c r="T46" i="16"/>
  <c r="T4" i="16"/>
  <c r="T60" i="16"/>
  <c r="T44" i="16"/>
  <c r="T51" i="16"/>
  <c r="T85" i="16"/>
  <c r="T15" i="16"/>
  <c r="T22" i="16"/>
  <c r="T63" i="16"/>
  <c r="T31" i="16"/>
  <c r="M2" i="42"/>
  <c r="Y4" i="16" l="1"/>
  <c r="Y3" i="16"/>
  <c r="Y2" i="16"/>
  <c r="O2" i="16" l="1"/>
  <c r="M2" i="16"/>
  <c r="S2" i="16" l="1"/>
  <c r="P2" i="16"/>
  <c r="Q2" i="16" s="1"/>
  <c r="T2" i="16" l="1"/>
  <c r="F9" i="28"/>
  <c r="F8" i="28"/>
  <c r="F7" i="28"/>
</calcChain>
</file>

<file path=xl/sharedStrings.xml><?xml version="1.0" encoding="utf-8"?>
<sst xmlns="http://schemas.openxmlformats.org/spreadsheetml/2006/main" count="20605" uniqueCount="428">
  <si>
    <t>Block Name</t>
  </si>
  <si>
    <t>District Name</t>
  </si>
  <si>
    <t>Blue</t>
  </si>
  <si>
    <t>Orange</t>
  </si>
  <si>
    <t>Ring no.</t>
  </si>
  <si>
    <t>Ring no.01</t>
  </si>
  <si>
    <t>Ring no.02</t>
  </si>
  <si>
    <t>Ring no.03</t>
  </si>
  <si>
    <t>Ring no.04</t>
  </si>
  <si>
    <t>Ring no.05</t>
  </si>
  <si>
    <t>S.no.</t>
  </si>
  <si>
    <t>1-6</t>
  </si>
  <si>
    <t>Fiber Detail</t>
  </si>
  <si>
    <t>Start Point</t>
  </si>
  <si>
    <t>End Point</t>
  </si>
  <si>
    <t>Ring no.07</t>
  </si>
  <si>
    <t>7-12</t>
  </si>
  <si>
    <t>13-18</t>
  </si>
  <si>
    <t>Ring no.06</t>
  </si>
  <si>
    <t>Pink</t>
  </si>
  <si>
    <t>Physical distance(Km)</t>
  </si>
  <si>
    <t>Tentative Optical Fibre Length (Km)(H*1.2)</t>
  </si>
  <si>
    <t>No of JCs(As per PDF )</t>
  </si>
  <si>
    <t>No. of Pigtail Splices</t>
  </si>
  <si>
    <t>Fiber loss as per approx distance(dB) 1310 nm
{(Tentative optical length x 0.329) + (No of JC's x 0.05) + (No of Pigtail Splices X 0.05) + (2 x 0.5)}</t>
  </si>
  <si>
    <t>Fiber loss as per approx distance(dB) 1550 nm
{(Tentative optical length x 0.195) + (No of JC's x 0.05) + (No of Pigtail Splices X 0.05) + (2 x 0.5)}</t>
  </si>
  <si>
    <t>SFP Type(Kms)</t>
  </si>
  <si>
    <t>Mean Tx Power dBm
LH( -3 to -9.5)
EX( +3 to -1)
ZX(+5 to 0)</t>
  </si>
  <si>
    <t>Receive Power 1310nm(P-L)</t>
  </si>
  <si>
    <t>Receive Power 1550nm</t>
  </si>
  <si>
    <t>Receiver Sensitivity(dBm)
LH( -3 to -20)
EX(+1 to -22)
ZX( -3 to -23)</t>
  </si>
  <si>
    <t>Operational margin 1310nm(Q-S)</t>
  </si>
  <si>
    <t>Operational margin 1550nm</t>
  </si>
  <si>
    <t>GLC-LH-SMD</t>
  </si>
  <si>
    <t>GLC-EX-SMD</t>
  </si>
  <si>
    <t>Not Applicable because SFP being used is transmitting power at 1310nm only</t>
  </si>
  <si>
    <t>S.No</t>
  </si>
  <si>
    <t>District</t>
  </si>
  <si>
    <t>Block</t>
  </si>
  <si>
    <t>Tube</t>
  </si>
  <si>
    <t>From</t>
  </si>
  <si>
    <t>To</t>
  </si>
  <si>
    <t>Tube 3(F25-F36)</t>
  </si>
  <si>
    <t>Connectivity</t>
  </si>
  <si>
    <t>Fiber allocation for ring</t>
  </si>
  <si>
    <t>Mean Launch Power</t>
  </si>
  <si>
    <t>Receive Power 1310nm(N-J)</t>
  </si>
  <si>
    <t>Receiver Sensitivity(dBm)
ER4(-4.5 to -21.2)</t>
  </si>
  <si>
    <t>Operational margin(1310nm)(O-Q)</t>
  </si>
  <si>
    <t>Operational margin(1550nm)</t>
  </si>
  <si>
    <t>QSFP-40G-ER4</t>
  </si>
  <si>
    <t>SFP Type</t>
  </si>
  <si>
    <t>Mean Tx Power 
LH( -3 to -9.5)
EX( +3 to -1)
ZX(+5 to 0)</t>
  </si>
  <si>
    <t>Operational margin 1310nm(O-Q)</t>
  </si>
  <si>
    <t xml:space="preserve">Block </t>
  </si>
  <si>
    <t>Ring</t>
  </si>
  <si>
    <t>Fiber</t>
  </si>
  <si>
    <t>Tube Description</t>
  </si>
  <si>
    <t>Remarks</t>
  </si>
  <si>
    <t>48F</t>
  </si>
  <si>
    <t>T1-R1(1-6)</t>
  </si>
  <si>
    <t>Ring-01 ,GP connectivity</t>
  </si>
  <si>
    <t>T1-R2(7-12)</t>
  </si>
  <si>
    <t>Ring-02 ,GP connectivity</t>
  </si>
  <si>
    <t>T2-R1(13-18)</t>
  </si>
  <si>
    <t>T2-R2(19-24)</t>
  </si>
  <si>
    <t>Spare</t>
  </si>
  <si>
    <t>T4-R1(37-42)</t>
  </si>
  <si>
    <t>T4-R2(43-48)</t>
  </si>
  <si>
    <t>Ring-06 ,GP connectivity</t>
  </si>
  <si>
    <t>Fiber Pair Tube</t>
  </si>
  <si>
    <t>Ribbon</t>
  </si>
  <si>
    <t>Fiber colour code</t>
  </si>
  <si>
    <t>Fiber No.(as per code)</t>
  </si>
  <si>
    <t>Fiber No.</t>
  </si>
  <si>
    <t>Status</t>
  </si>
  <si>
    <t>Details</t>
  </si>
  <si>
    <t>R1</t>
  </si>
  <si>
    <t>Live</t>
  </si>
  <si>
    <t>Ring-01</t>
  </si>
  <si>
    <t>Green</t>
  </si>
  <si>
    <t>Brown</t>
  </si>
  <si>
    <t>Gray</t>
  </si>
  <si>
    <t>White</t>
  </si>
  <si>
    <t>R2</t>
  </si>
  <si>
    <t>Ring-02</t>
  </si>
  <si>
    <t xml:space="preserve">Ring </t>
  </si>
  <si>
    <t>Ring/spur</t>
  </si>
  <si>
    <t>Lat</t>
  </si>
  <si>
    <t>Long</t>
  </si>
  <si>
    <t>OFC Assumption</t>
  </si>
  <si>
    <t>CISCO Specifications</t>
  </si>
  <si>
    <t>Sr. No.</t>
  </si>
  <si>
    <t>Value considerd for loss calculation</t>
  </si>
  <si>
    <t>MF for Physical Vs Optical</t>
  </si>
  <si>
    <t>Mean power dBm</t>
  </si>
  <si>
    <t>Rx Senstivity dBm</t>
  </si>
  <si>
    <t>Distance (KM)</t>
  </si>
  <si>
    <t>1.Fiber loss : 0.329 dB/km(for 1310nm) &amp; 0.195dB/km(for 1550nm)
2.Connector loss :0.5 dB
3.Tentative Optical fiber distance has been taken 1.2 times of Physical length.
4.Joint closure loss :0 .05 dB/JC &amp; Pigtail loss:0.05 dB/Pigtail
5.Rest of the Splice chamber which is not shown in the FTP is considered as Straight Joint.
e.g- GP A to GP B Physical distance is 10Km, In between there are 5 Splice chambers &amp; 2 FMS then calculation is as follows: {(10x1.2)x0.329}+(5x0.05)+(2x0.5)+(2x0.05) for 1310nm.
{(10x1.2)x0.195}+(5x0.05)+(2x0.5)+(2x0.05) for 1550nm.</t>
  </si>
  <si>
    <t>GLC-ZX-SMD</t>
  </si>
  <si>
    <t>Blue Ring</t>
  </si>
  <si>
    <t>Orange Ring</t>
  </si>
  <si>
    <t>Pink Ring</t>
  </si>
  <si>
    <t>Total</t>
  </si>
  <si>
    <t>No. of GP in Spur</t>
  </si>
  <si>
    <t>Total GP</t>
  </si>
  <si>
    <t>KM in the Ring</t>
  </si>
  <si>
    <t>Attached Sheet:-</t>
  </si>
  <si>
    <t>FDMS Plan Blue Ring</t>
  </si>
  <si>
    <t>Splice Pattern Blue Ring</t>
  </si>
  <si>
    <t>Distance Sheet</t>
  </si>
  <si>
    <t>Spare Fiber Link Loss</t>
  </si>
  <si>
    <t>Fiber Utilisation</t>
  </si>
  <si>
    <t>FDMS Plan Orange Ring</t>
  </si>
  <si>
    <t>Splice Pattern Orange Ring</t>
  </si>
  <si>
    <t>Assumptions</t>
  </si>
  <si>
    <t>FDMS Plan Pink Ring</t>
  </si>
  <si>
    <t>Splice Pattern Pink Ring</t>
  </si>
  <si>
    <t>Date:-</t>
  </si>
  <si>
    <t>Document No:-</t>
  </si>
  <si>
    <t>Prepared By:-</t>
  </si>
  <si>
    <t>Checked By:-</t>
  </si>
  <si>
    <t xml:space="preserve">Ring Color </t>
  </si>
  <si>
    <t>GP Name</t>
  </si>
  <si>
    <t>Receive Power  1310nm(N-J)</t>
  </si>
  <si>
    <t>Receive Power(O-L) 1550nm</t>
  </si>
  <si>
    <t>Ring-03</t>
  </si>
  <si>
    <t>Tube 4(F37-F48)</t>
  </si>
  <si>
    <t>T3-R1(25-30)</t>
  </si>
  <si>
    <t>T3-R2(31-36)</t>
  </si>
  <si>
    <t>Ring-07</t>
  </si>
  <si>
    <t>No. of GP in Ring</t>
  </si>
  <si>
    <t>Tube 2(F19-F24)</t>
  </si>
  <si>
    <t>GLC-LH-SMD=</t>
  </si>
  <si>
    <t>GLC-EX-SMD=</t>
  </si>
  <si>
    <t>GLC-ZX-SMD=</t>
  </si>
  <si>
    <t>Ring Color</t>
  </si>
  <si>
    <t xml:space="preserve">Mean power </t>
  </si>
  <si>
    <t>Physical ring</t>
  </si>
  <si>
    <t>*Block to Block connectivity will be decided after survey.</t>
  </si>
  <si>
    <t>Ring-05</t>
  </si>
  <si>
    <t>Ring-06</t>
  </si>
  <si>
    <t>Distance(m)</t>
  </si>
  <si>
    <t>*No Inter ring as per approved key plan.</t>
  </si>
  <si>
    <t>Ring-07 ,GP connectivity</t>
  </si>
  <si>
    <t>Kanker</t>
  </si>
  <si>
    <t>Ring no.01Spur</t>
  </si>
  <si>
    <t>Ring no.02Spur</t>
  </si>
  <si>
    <t>Ring no.04Spur</t>
  </si>
  <si>
    <t>Ring no.07Spur</t>
  </si>
  <si>
    <t>Tube 2(F13-F24)</t>
  </si>
  <si>
    <t>Ring-04 ,GP connectivity</t>
  </si>
  <si>
    <t>RING-01 SPUR</t>
  </si>
  <si>
    <t>RING-02 SPUR</t>
  </si>
  <si>
    <t>spur</t>
  </si>
  <si>
    <t>Koyalibeda (Pakhanjore)</t>
  </si>
  <si>
    <t>PAKHANJORE BLOCK</t>
  </si>
  <si>
    <t>INDRAPRASTH</t>
  </si>
  <si>
    <t>BELGAL</t>
  </si>
  <si>
    <t>AAKMETA</t>
  </si>
  <si>
    <t>VISHNUPUR</t>
  </si>
  <si>
    <t>PANAWASR</t>
  </si>
  <si>
    <t>BANDE</t>
  </si>
  <si>
    <t>RAMKRISHANPUR</t>
  </si>
  <si>
    <t>LAXMIPUR</t>
  </si>
  <si>
    <t>DHARAMPUR</t>
  </si>
  <si>
    <t>KURENAR</t>
  </si>
  <si>
    <t>SHANKERNAGAR</t>
  </si>
  <si>
    <t>SAVER</t>
  </si>
  <si>
    <t>JANAKPUR</t>
  </si>
  <si>
    <t>MARODA</t>
  </si>
  <si>
    <t>NAGALDAND</t>
  </si>
  <si>
    <t>PADENGA</t>
  </si>
  <si>
    <t>PENKODO</t>
  </si>
  <si>
    <t>DURGAPUR</t>
  </si>
  <si>
    <t>MATOLI</t>
  </si>
  <si>
    <t>UDAYPUR</t>
  </si>
  <si>
    <t>LAKHANPUR</t>
  </si>
  <si>
    <t>BAIKUNTHPUR</t>
  </si>
  <si>
    <t>MAYAPUR</t>
  </si>
  <si>
    <t>KALYANPUR</t>
  </si>
  <si>
    <t>GONDAHOOR</t>
  </si>
  <si>
    <t>HANKER</t>
  </si>
  <si>
    <t>BADE KAPSI</t>
  </si>
  <si>
    <t>CHANAKYAPURI</t>
  </si>
  <si>
    <t>PITTEBHODIA</t>
  </si>
  <si>
    <t>KOYGAW</t>
  </si>
  <si>
    <t>AALOR</t>
  </si>
  <si>
    <t>VIVEKANAND NAGAR(NEW GP)</t>
  </si>
  <si>
    <t>DEVPUR</t>
  </si>
  <si>
    <t>CHOTE KAPSHI</t>
  </si>
  <si>
    <t>HARANGARH</t>
  </si>
  <si>
    <t>HARIHARPUR</t>
  </si>
  <si>
    <t>PURSHOTAM NAGAR</t>
  </si>
  <si>
    <t>GHODAGAO</t>
  </si>
  <si>
    <t>JAYSHREE NAGAR</t>
  </si>
  <si>
    <t>SHYAM NAGAR</t>
  </si>
  <si>
    <t>ASEBEDA</t>
  </si>
  <si>
    <t>MANDAGHAV</t>
  </si>
  <si>
    <t>PREM NAGAR</t>
  </si>
  <si>
    <t>BAPU NAGAR(NEW GP)</t>
  </si>
  <si>
    <t>DWARIKA PURI</t>
  </si>
  <si>
    <t>KAREKATTA</t>
  </si>
  <si>
    <t>CHANPUR</t>
  </si>
  <si>
    <t>BHINGIDAR</t>
  </si>
  <si>
    <t>PARTAPUR</t>
  </si>
  <si>
    <t>BADEJHADKAHA</t>
  </si>
  <si>
    <t>BARDA</t>
  </si>
  <si>
    <t>SATYA NAGAR</t>
  </si>
  <si>
    <t>KRISHNA NAGAR</t>
  </si>
  <si>
    <t>Ring no.08</t>
  </si>
  <si>
    <t>BADGAON</t>
  </si>
  <si>
    <t>CHINDPAL</t>
  </si>
  <si>
    <t>SINHARI</t>
  </si>
  <si>
    <t>BANGACHAR</t>
  </si>
  <si>
    <t>KODAPAKHA</t>
  </si>
  <si>
    <t>KADME</t>
  </si>
  <si>
    <t>KAUDO SALEBHAT</t>
  </si>
  <si>
    <t>SIKSOD</t>
  </si>
  <si>
    <t>ANTAGARH BLOCK VIA SC-80 TAPPING POINT</t>
  </si>
  <si>
    <t>Ring no.09</t>
  </si>
  <si>
    <t>KONDE</t>
  </si>
  <si>
    <t>MEDO</t>
  </si>
  <si>
    <t>UDANPUR</t>
  </si>
  <si>
    <t>KOILIBEDA</t>
  </si>
  <si>
    <t>KOYALIBEDA BLOCK</t>
  </si>
  <si>
    <t>TURSANI(NEW GP)</t>
  </si>
  <si>
    <t>BADRANGI</t>
  </si>
  <si>
    <t>ULIYA</t>
  </si>
  <si>
    <t>VIKASPALLI</t>
  </si>
  <si>
    <t>IRPANAR</t>
  </si>
  <si>
    <t>JAIPUR</t>
  </si>
  <si>
    <t>DHORKATTA</t>
  </si>
  <si>
    <t>IRAKBUTTA</t>
  </si>
  <si>
    <t>MACHPALLI</t>
  </si>
  <si>
    <t>SULANGI</t>
  </si>
  <si>
    <t>Ring no.05Spur</t>
  </si>
  <si>
    <t>Ring no.09Spur</t>
  </si>
  <si>
    <t>Pakhanjore</t>
  </si>
  <si>
    <t>Pakhanjore FDMS 1</t>
  </si>
  <si>
    <t>Pakhanjore FDMS 2</t>
  </si>
  <si>
    <t>Pakhanjore FDMS 3</t>
  </si>
  <si>
    <t>Pakhanjore FDMS 4</t>
  </si>
  <si>
    <t>Pakhanjore FDMS 5</t>
  </si>
  <si>
    <t>Pakhanjore FDMS 6</t>
  </si>
  <si>
    <t>Tube 1(F01-F06)</t>
  </si>
  <si>
    <t>Pakhanjore FDMS 7</t>
  </si>
  <si>
    <t>Tapping point SC-80</t>
  </si>
  <si>
    <t>Ring-03 ,GP connectivity</t>
  </si>
  <si>
    <t>Ring-05 ,GP connectivity</t>
  </si>
  <si>
    <t>Ring-08 ,Inter Block GP connectivity</t>
  </si>
  <si>
    <t>Ring-09 ,Inter Block GP connectivity</t>
  </si>
  <si>
    <t>PAKHANJORE BLOCK FDMS 1</t>
  </si>
  <si>
    <t>PAKHANJORE BLOCK FDMS 2</t>
  </si>
  <si>
    <t>INDRAPRASTH FDMS 1</t>
  </si>
  <si>
    <t>INDRAPRASTH FDMS 2</t>
  </si>
  <si>
    <t>BELGAL  FDMS 1</t>
  </si>
  <si>
    <t>BELGAL  FDMS 2</t>
  </si>
  <si>
    <t>AAKMETA FDMS 1</t>
  </si>
  <si>
    <t>AAKMETA FDMS 2</t>
  </si>
  <si>
    <t>VISHNUPUR FDMS 1</t>
  </si>
  <si>
    <t>VISHNUPUR FDMS 2</t>
  </si>
  <si>
    <t>PANAWASR FDMS 1</t>
  </si>
  <si>
    <t>PANAWASR FDMS 2</t>
  </si>
  <si>
    <t>BANDE FDMS 1</t>
  </si>
  <si>
    <t>BANDE FDMS 2</t>
  </si>
  <si>
    <t>RAMKRISHANPUR FDMS 1</t>
  </si>
  <si>
    <t>RAMKRISHANPUR FDMS 2</t>
  </si>
  <si>
    <t>LAXMIPUR FDMS 1</t>
  </si>
  <si>
    <t>LAXMIPUR FDMS 2</t>
  </si>
  <si>
    <t>DHARAMPUR FDMS 1</t>
  </si>
  <si>
    <t>DHARAMPUR FDMS 2</t>
  </si>
  <si>
    <t xml:space="preserve">KURENAR FDMS 1 </t>
  </si>
  <si>
    <t>KURENAR FDMS 2</t>
  </si>
  <si>
    <t>SHANKERNAGAR FDMS 1</t>
  </si>
  <si>
    <t>SHANKERNAGAR  FDMS 2</t>
  </si>
  <si>
    <t>SAVER FDMS 1</t>
  </si>
  <si>
    <t>SAVER  FDMS 2</t>
  </si>
  <si>
    <t>JANAKPUR FDMS 1</t>
  </si>
  <si>
    <t>JANAKPUR FDMS 2</t>
  </si>
  <si>
    <t>MARODA  FDMS 1</t>
  </si>
  <si>
    <t>MARODA FDMS 2</t>
  </si>
  <si>
    <t>NAGALDAND FDMS 1</t>
  </si>
  <si>
    <t>NAGALDAND FDMS 2</t>
  </si>
  <si>
    <t>PADENGA FDMS 1</t>
  </si>
  <si>
    <t>PADENGA FDMS 2</t>
  </si>
  <si>
    <t>PENKODO FDMS 1</t>
  </si>
  <si>
    <t>PENKODO FDMS 2</t>
  </si>
  <si>
    <t>DURGAPUR FDMS 1</t>
  </si>
  <si>
    <t>DURGAPUR FDMS 2</t>
  </si>
  <si>
    <t>MATOLI FDMS 1</t>
  </si>
  <si>
    <t>MATOLI FDMS 2</t>
  </si>
  <si>
    <t>PANAWASR FDMS 3</t>
  </si>
  <si>
    <t>ULIYA FDMS 1</t>
  </si>
  <si>
    <t>KURENAR FDMS 3</t>
  </si>
  <si>
    <t>VIKASPALLI FDMS 1</t>
  </si>
  <si>
    <t>VIKASPALLI FDMS 2</t>
  </si>
  <si>
    <t>IRPANAR FDMS 1</t>
  </si>
  <si>
    <t>PAKHANJORE BLOCK FDMS 3</t>
  </si>
  <si>
    <t>PAKHANJORE BLOCK FDMS 4</t>
  </si>
  <si>
    <t>Ring-04</t>
  </si>
  <si>
    <t>UDAYPUR FDMS 1</t>
  </si>
  <si>
    <t>UDAYPUR FDMS 2</t>
  </si>
  <si>
    <t>LAKHANPUR FDMS 1</t>
  </si>
  <si>
    <t>LAKHANPUR  FDMS 2</t>
  </si>
  <si>
    <t>BAIKUNTHPUR FDMS 1</t>
  </si>
  <si>
    <t>BAIKUNTHPUR FDMS 2</t>
  </si>
  <si>
    <t>MAYAPUR FDMS 1</t>
  </si>
  <si>
    <t>MAYAPUR FDMS 2</t>
  </si>
  <si>
    <t>KALYANPUR FDMS 1</t>
  </si>
  <si>
    <t>KALYANPUR FDMS 2</t>
  </si>
  <si>
    <t>GONDAHOOR FDMS 1</t>
  </si>
  <si>
    <t>GONDAHOOR FDMS 2</t>
  </si>
  <si>
    <t>HANKER FDMS 1</t>
  </si>
  <si>
    <t>HANKER FDMS 2</t>
  </si>
  <si>
    <t>BADE KAPSI FDMS 1</t>
  </si>
  <si>
    <t>BADE KAPSI FDMS 2</t>
  </si>
  <si>
    <t>CHANAKYAPURI FDMS 1</t>
  </si>
  <si>
    <t>CHANAKYAPURI FDMS 2</t>
  </si>
  <si>
    <t xml:space="preserve">PITTEBHODIA FDMS 1 </t>
  </si>
  <si>
    <t>PITTEBHODIA FDMS 2</t>
  </si>
  <si>
    <t>KOYGAW FDMS 1</t>
  </si>
  <si>
    <t>KOYGAW  FDMS 2</t>
  </si>
  <si>
    <t>AALOR FDMS 1</t>
  </si>
  <si>
    <t>AALOR FDMS 2</t>
  </si>
  <si>
    <t>VIVEKANAND NAGAR(NEW GP) FDMS 1</t>
  </si>
  <si>
    <t>VIVEKANAND NAGAR(NEW GP) FDMS 2</t>
  </si>
  <si>
    <t>DEVPUR  FDMS 1</t>
  </si>
  <si>
    <t>DEVPUR FDMS 2</t>
  </si>
  <si>
    <t>CHOTE KAPSHI FDMS 1</t>
  </si>
  <si>
    <t>CHOTE KAPSHI FDMS 2</t>
  </si>
  <si>
    <t>HARANGARH FDMS 1</t>
  </si>
  <si>
    <t>HARANGARH FDMS 2</t>
  </si>
  <si>
    <t>HARIHARPUR  FDMS 1</t>
  </si>
  <si>
    <t>HARIHARPUR FDMS 2</t>
  </si>
  <si>
    <t>GONDAHOOR FDMS 3</t>
  </si>
  <si>
    <t>JAIPUR FDMS 1</t>
  </si>
  <si>
    <t>RING-04 SPUR</t>
  </si>
  <si>
    <t>JAIPUR FDMS 2</t>
  </si>
  <si>
    <t>DHORKATTA FDMS 1</t>
  </si>
  <si>
    <t>DEVPUR FDMS 3</t>
  </si>
  <si>
    <t>RING-05 SPUR</t>
  </si>
  <si>
    <t>IRAKBUTTA FDMS 1</t>
  </si>
  <si>
    <t>PAKHANJORE BLOCK FDMS 5</t>
  </si>
  <si>
    <t>PAKHANJORE BLOCK FDMS 6</t>
  </si>
  <si>
    <t>Ring-07 SPUR</t>
  </si>
  <si>
    <t>PURSHOTAM NAGAR FDMS 1</t>
  </si>
  <si>
    <t>PURSHOTAM NAGAR FDMS 2</t>
  </si>
  <si>
    <t>GHODAGAO FDMS 1</t>
  </si>
  <si>
    <t>GHODAGAO  FDMS 2</t>
  </si>
  <si>
    <t>JAYSHREE NAGAR FDMS 1</t>
  </si>
  <si>
    <t>JAYSHREE NAGAR FDMS 2</t>
  </si>
  <si>
    <t>SHYAM NAGAR FDMS 1</t>
  </si>
  <si>
    <t>SHYAM NAGAR FDMS 2</t>
  </si>
  <si>
    <t>ASEBEDA FDMS 1</t>
  </si>
  <si>
    <t>ASEBEDA FDMS 2</t>
  </si>
  <si>
    <t>MANDAGHAV FDMS 1</t>
  </si>
  <si>
    <t>MANDAGHAV FDMS 2</t>
  </si>
  <si>
    <t>PREM NAGAR FDMS 1</t>
  </si>
  <si>
    <t>PREM NAGAR FDMS 2</t>
  </si>
  <si>
    <t>BAPU NAGAR(NEW GP) FDMS 1</t>
  </si>
  <si>
    <t>BAPU NAGAR(NEW GP) FDMS 2</t>
  </si>
  <si>
    <t>DWARIKA PURI FDMS 1</t>
  </si>
  <si>
    <t>DWARIKA PURI FDMS 2</t>
  </si>
  <si>
    <t xml:space="preserve">KAREKATTA FDMS 1 </t>
  </si>
  <si>
    <t>KAREKATTA FDMS 2</t>
  </si>
  <si>
    <t>CHANPUR FDMS 1</t>
  </si>
  <si>
    <t>CHANPUR  FDMS 2</t>
  </si>
  <si>
    <t>BHINGIDAR FDMS 1</t>
  </si>
  <si>
    <t>BHINGIDAR FDMS 2</t>
  </si>
  <si>
    <t>PARTAPUR FDMS 1</t>
  </si>
  <si>
    <t>PARTAPUR FDMS 2</t>
  </si>
  <si>
    <t>BADEJHADKAHA  FDMS 1</t>
  </si>
  <si>
    <t>BADEJHADKAHA FDMS 2</t>
  </si>
  <si>
    <t>BARDA FDMS 1</t>
  </si>
  <si>
    <t>BARDA FDMS 2</t>
  </si>
  <si>
    <t>SATYA NAGAR  FDMS 1</t>
  </si>
  <si>
    <t>SATYA NAGAR FDMS 2</t>
  </si>
  <si>
    <t>KRISHNA NAGAR FDMS 1</t>
  </si>
  <si>
    <t>KRISHNA NAGAR FDMS 2</t>
  </si>
  <si>
    <t>KAREKATTA FDMS 3</t>
  </si>
  <si>
    <t>MACHPALLI  FDMS 1</t>
  </si>
  <si>
    <t>PAKHANJORE BLOCK FDMS 7</t>
  </si>
  <si>
    <t>PAKHANJORE BLOCK FDMS 8</t>
  </si>
  <si>
    <t>Ring-08</t>
  </si>
  <si>
    <t>Ring-09</t>
  </si>
  <si>
    <t>BADGAON FDMS 1</t>
  </si>
  <si>
    <t>BADGAON FDMS 2</t>
  </si>
  <si>
    <t>CHINDPAL FDMS 1</t>
  </si>
  <si>
    <t>CHINDPAL FDMS 2</t>
  </si>
  <si>
    <t xml:space="preserve">SINHARI FDMS 1 </t>
  </si>
  <si>
    <t>SINHARI FDMS 2</t>
  </si>
  <si>
    <t>BANGACHAR FDMS 1</t>
  </si>
  <si>
    <t>BANGACHAR  FDMS 2</t>
  </si>
  <si>
    <t>KODAPAKHA FDMS 1</t>
  </si>
  <si>
    <t>KODAPAKHA  FDMS 2</t>
  </si>
  <si>
    <t>KADME FDMS 1</t>
  </si>
  <si>
    <t>KADME FDMS 2</t>
  </si>
  <si>
    <t>KAUDO SALEBHAT FDMS 1</t>
  </si>
  <si>
    <t>KAUDO SALEBHAT FDMS 2</t>
  </si>
  <si>
    <t>SIKSOD FDMS 1</t>
  </si>
  <si>
    <t>SIKSOD FDMS 2</t>
  </si>
  <si>
    <t>KONDE FDMS 1</t>
  </si>
  <si>
    <t>KONDE FDMS 2</t>
  </si>
  <si>
    <t>MEDO FDMS 1</t>
  </si>
  <si>
    <t>MEDO FDMS 2</t>
  </si>
  <si>
    <t>UDANPUR FDMS 1</t>
  </si>
  <si>
    <t>UDANPUR FDMS 2</t>
  </si>
  <si>
    <t>KOILIBEDA FDMS 1</t>
  </si>
  <si>
    <t>KOILIBEDA FDMS 2</t>
  </si>
  <si>
    <t>KOYALIBEDA BLOCK FDMS 1</t>
  </si>
  <si>
    <t>KOYALIBEDA BLOCK FDMS 2</t>
  </si>
  <si>
    <t>TURSANI(NEW GP) FDMS 1</t>
  </si>
  <si>
    <t>TURSANI(NEW GP) FDMS 2</t>
  </si>
  <si>
    <t>BADRANGI FDMS 1</t>
  </si>
  <si>
    <t>BADRANGI FDMS 2</t>
  </si>
  <si>
    <t>Ring-09 SPUR</t>
  </si>
  <si>
    <t>KOILIBEDA FDMS 3</t>
  </si>
  <si>
    <t>SULANGI FDMS 1</t>
  </si>
  <si>
    <t>Inter Block GP connectivity</t>
  </si>
  <si>
    <t>FIBER TERMINATION PLAN -PAKHANJORE BLOCK</t>
  </si>
  <si>
    <t>PAKHANJORE Link Loss Budget</t>
  </si>
  <si>
    <t>PAKHANJORE Inter Ring</t>
  </si>
  <si>
    <t>PAKHANJORE Block to Block</t>
  </si>
  <si>
    <t>Brown Ring</t>
  </si>
  <si>
    <t>FDMS Plan Brown Ring</t>
  </si>
  <si>
    <t>Splice Pattern Brown Ring</t>
  </si>
  <si>
    <t>Approved By:-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</si>
</sst>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24"/>
      <color theme="1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0" xfId="1" applyFont="1" applyFill="1" applyBorder="1" applyAlignment="1"/>
    <xf numFmtId="0" fontId="5" fillId="8" borderId="3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0" fillId="3" borderId="1" xfId="0" applyFill="1" applyBorder="1"/>
    <xf numFmtId="0" fontId="8" fillId="3" borderId="5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/>
    </xf>
    <xf numFmtId="0" fontId="6" fillId="10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0" fillId="3" borderId="2" xfId="0" applyFill="1" applyBorder="1"/>
    <xf numFmtId="0" fontId="1" fillId="0" borderId="0" xfId="0" applyFont="1" applyFill="1" applyBorder="1" applyAlignment="1"/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ont="1" applyFill="1" applyBorder="1" applyAlignment="1"/>
    <xf numFmtId="0" fontId="0" fillId="0" borderId="0" xfId="0" applyFont="1" applyFill="1" applyBorder="1"/>
    <xf numFmtId="0" fontId="0" fillId="3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0" xfId="1" applyFont="1" applyFill="1" applyBorder="1" applyAlignment="1">
      <alignment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 wrapText="1"/>
    </xf>
    <xf numFmtId="165" fontId="17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1" xfId="0" quotePrefix="1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16" fillId="9" borderId="28" xfId="1" applyFont="1" applyFill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18" fillId="0" borderId="2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9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2" fillId="2" borderId="27" xfId="0" applyNumberFormat="1" applyFont="1" applyFill="1" applyBorder="1" applyAlignment="1">
      <alignment horizontal="center" vertical="center" wrapText="1"/>
    </xf>
    <xf numFmtId="164" fontId="2" fillId="2" borderId="29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 vertical="center" wrapText="1"/>
    </xf>
    <xf numFmtId="0" fontId="14" fillId="0" borderId="37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5" fillId="0" borderId="37" xfId="0" applyFont="1" applyFill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22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12" Type="http://schemas.openxmlformats.org/officeDocument/2006/relationships/image" Target="../media/image2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20.png"/><Relationship Id="rId5" Type="http://schemas.openxmlformats.org/officeDocument/2006/relationships/image" Target="../media/image6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3.png"/><Relationship Id="rId7" Type="http://schemas.openxmlformats.org/officeDocument/2006/relationships/image" Target="../media/image2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25.png"/><Relationship Id="rId5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4.png"/><Relationship Id="rId7" Type="http://schemas.openxmlformats.org/officeDocument/2006/relationships/image" Target="../media/image3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5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</xdr:colOff>
      <xdr:row>2</xdr:row>
      <xdr:rowOff>71438</xdr:rowOff>
    </xdr:from>
    <xdr:to>
      <xdr:col>18</xdr:col>
      <xdr:colOff>311727</xdr:colOff>
      <xdr:row>4</xdr:row>
      <xdr:rowOff>22113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619632" y="452438"/>
          <a:ext cx="12217970" cy="5412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</a:t>
          </a:r>
          <a:r>
            <a:rPr lang="en-US" sz="3200" b="1">
              <a:solidFill>
                <a:schemeClr val="tx1"/>
              </a:solidFill>
            </a:rPr>
            <a:t> BLOCK (BLUE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RING)</a:t>
          </a:r>
        </a:p>
      </xdr:txBody>
    </xdr:sp>
    <xdr:clientData/>
  </xdr:twoCellAnchor>
  <xdr:twoCellAnchor>
    <xdr:from>
      <xdr:col>0</xdr:col>
      <xdr:colOff>190500</xdr:colOff>
      <xdr:row>1</xdr:row>
      <xdr:rowOff>23812</xdr:rowOff>
    </xdr:from>
    <xdr:to>
      <xdr:col>23</xdr:col>
      <xdr:colOff>31750</xdr:colOff>
      <xdr:row>212</xdr:row>
      <xdr:rowOff>127000</xdr:rowOff>
    </xdr:to>
    <xdr:sp macro="" textlink="">
      <xdr:nvSpPr>
        <xdr:cNvPr id="3" name="Rectangle 2"/>
        <xdr:cNvSpPr/>
      </xdr:nvSpPr>
      <xdr:spPr>
        <a:xfrm>
          <a:off x="190500" y="214312"/>
          <a:ext cx="20786725" cy="413750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571499</xdr:colOff>
      <xdr:row>214</xdr:row>
      <xdr:rowOff>51955</xdr:rowOff>
    </xdr:from>
    <xdr:to>
      <xdr:col>18</xdr:col>
      <xdr:colOff>73594</xdr:colOff>
      <xdr:row>217</xdr:row>
      <xdr:rowOff>19948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133849" y="41895280"/>
          <a:ext cx="12465620" cy="539493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(BLUE RING)</a:t>
          </a:r>
        </a:p>
      </xdr:txBody>
    </xdr:sp>
    <xdr:clientData/>
  </xdr:twoCellAnchor>
  <xdr:twoCellAnchor>
    <xdr:from>
      <xdr:col>4</xdr:col>
      <xdr:colOff>607002</xdr:colOff>
      <xdr:row>427</xdr:row>
      <xdr:rowOff>69273</xdr:rowOff>
    </xdr:from>
    <xdr:to>
      <xdr:col>18</xdr:col>
      <xdr:colOff>194822</xdr:colOff>
      <xdr:row>430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169352" y="83422548"/>
          <a:ext cx="12551345" cy="502227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 </a:t>
          </a:r>
          <a:r>
            <a:rPr lang="en-US" sz="3200" b="1">
              <a:solidFill>
                <a:schemeClr val="tx1"/>
              </a:solidFill>
            </a:rPr>
            <a:t>BLOCK (BLUE RING)</a:t>
          </a:r>
        </a:p>
      </xdr:txBody>
    </xdr:sp>
    <xdr:clientData/>
  </xdr:twoCellAnchor>
  <xdr:twoCellAnchor>
    <xdr:from>
      <xdr:col>4</xdr:col>
      <xdr:colOff>707880</xdr:colOff>
      <xdr:row>640</xdr:row>
      <xdr:rowOff>47625</xdr:rowOff>
    </xdr:from>
    <xdr:to>
      <xdr:col>18</xdr:col>
      <xdr:colOff>209975</xdr:colOff>
      <xdr:row>643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270230" y="124929900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(BLUE RING)</a:t>
          </a:r>
        </a:p>
      </xdr:txBody>
    </xdr:sp>
    <xdr:clientData/>
  </xdr:twoCellAnchor>
  <xdr:twoCellAnchor>
    <xdr:from>
      <xdr:col>0</xdr:col>
      <xdr:colOff>171450</xdr:colOff>
      <xdr:row>213</xdr:row>
      <xdr:rowOff>152400</xdr:rowOff>
    </xdr:from>
    <xdr:to>
      <xdr:col>23</xdr:col>
      <xdr:colOff>38100</xdr:colOff>
      <xdr:row>425</xdr:row>
      <xdr:rowOff>133350</xdr:rowOff>
    </xdr:to>
    <xdr:sp macro="" textlink="">
      <xdr:nvSpPr>
        <xdr:cNvPr id="7" name="Rectangle 6"/>
        <xdr:cNvSpPr/>
      </xdr:nvSpPr>
      <xdr:spPr>
        <a:xfrm>
          <a:off x="171450" y="41805225"/>
          <a:ext cx="20812125" cy="4130040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426</xdr:row>
      <xdr:rowOff>133349</xdr:rowOff>
    </xdr:from>
    <xdr:to>
      <xdr:col>23</xdr:col>
      <xdr:colOff>0</xdr:colOff>
      <xdr:row>638</xdr:row>
      <xdr:rowOff>119062</xdr:rowOff>
    </xdr:to>
    <xdr:sp macro="" textlink="">
      <xdr:nvSpPr>
        <xdr:cNvPr id="8" name="Rectangle 7"/>
        <xdr:cNvSpPr/>
      </xdr:nvSpPr>
      <xdr:spPr>
        <a:xfrm>
          <a:off x="152400" y="83296124"/>
          <a:ext cx="20793075" cy="413242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171451</xdr:colOff>
      <xdr:row>639</xdr:row>
      <xdr:rowOff>71437</xdr:rowOff>
    </xdr:from>
    <xdr:to>
      <xdr:col>22</xdr:col>
      <xdr:colOff>285751</xdr:colOff>
      <xdr:row>855</xdr:row>
      <xdr:rowOff>95250</xdr:rowOff>
    </xdr:to>
    <xdr:sp macro="" textlink="">
      <xdr:nvSpPr>
        <xdr:cNvPr id="9" name="Rectangle 8"/>
        <xdr:cNvSpPr/>
      </xdr:nvSpPr>
      <xdr:spPr>
        <a:xfrm>
          <a:off x="171451" y="124763212"/>
          <a:ext cx="20402550" cy="421243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107950</xdr:colOff>
      <xdr:row>856</xdr:row>
      <xdr:rowOff>166007</xdr:rowOff>
    </xdr:from>
    <xdr:to>
      <xdr:col>22</xdr:col>
      <xdr:colOff>285750</xdr:colOff>
      <xdr:row>1075</xdr:row>
      <xdr:rowOff>71437</xdr:rowOff>
    </xdr:to>
    <xdr:sp macro="" textlink="">
      <xdr:nvSpPr>
        <xdr:cNvPr id="10" name="Rectangle 9"/>
        <xdr:cNvSpPr/>
      </xdr:nvSpPr>
      <xdr:spPr>
        <a:xfrm>
          <a:off x="107950" y="167148782"/>
          <a:ext cx="20466050" cy="4259648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971550</xdr:colOff>
      <xdr:row>858</xdr:row>
      <xdr:rowOff>38100</xdr:rowOff>
    </xdr:from>
    <xdr:to>
      <xdr:col>18</xdr:col>
      <xdr:colOff>473645</xdr:colOff>
      <xdr:row>861</xdr:row>
      <xdr:rowOff>85725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533900" y="167401875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(BLUE</a:t>
          </a:r>
          <a:r>
            <a:rPr lang="en-US" sz="3200" b="1" baseline="0">
              <a:solidFill>
                <a:schemeClr val="tx1"/>
              </a:solidFill>
            </a:rPr>
            <a:t> </a:t>
          </a:r>
          <a:r>
            <a:rPr lang="en-US" sz="3200" b="1">
              <a:solidFill>
                <a:schemeClr val="tx1"/>
              </a:solidFill>
            </a:rPr>
            <a:t> RING)</a:t>
          </a:r>
        </a:p>
      </xdr:txBody>
    </xdr:sp>
    <xdr:clientData/>
  </xdr:twoCellAnchor>
  <xdr:twoCellAnchor>
    <xdr:from>
      <xdr:col>0</xdr:col>
      <xdr:colOff>142875</xdr:colOff>
      <xdr:row>1076</xdr:row>
      <xdr:rowOff>71438</xdr:rowOff>
    </xdr:from>
    <xdr:to>
      <xdr:col>22</xdr:col>
      <xdr:colOff>320675</xdr:colOff>
      <xdr:row>1239</xdr:row>
      <xdr:rowOff>0</xdr:rowOff>
    </xdr:to>
    <xdr:sp macro="" textlink="">
      <xdr:nvSpPr>
        <xdr:cNvPr id="12" name="Rectangle 11"/>
        <xdr:cNvSpPr/>
      </xdr:nvSpPr>
      <xdr:spPr>
        <a:xfrm>
          <a:off x="142875" y="209935763"/>
          <a:ext cx="20466050" cy="41762362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452438</xdr:colOff>
      <xdr:row>1077</xdr:row>
      <xdr:rowOff>95250</xdr:rowOff>
    </xdr:from>
    <xdr:to>
      <xdr:col>17</xdr:col>
      <xdr:colOff>645095</xdr:colOff>
      <xdr:row>1080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014788" y="210150075"/>
          <a:ext cx="12460857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(BLUE RING)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</xdr:colOff>
      <xdr:row>2</xdr:row>
      <xdr:rowOff>71438</xdr:rowOff>
    </xdr:from>
    <xdr:to>
      <xdr:col>18</xdr:col>
      <xdr:colOff>311727</xdr:colOff>
      <xdr:row>4</xdr:row>
      <xdr:rowOff>22113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619632" y="452438"/>
          <a:ext cx="12217970" cy="5412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</a:t>
          </a:r>
          <a:r>
            <a:rPr lang="en-US" sz="3200" b="1">
              <a:solidFill>
                <a:schemeClr val="tx1"/>
              </a:solidFill>
            </a:rPr>
            <a:t> BLOCK (ORANGE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RING)</a:t>
          </a:r>
        </a:p>
      </xdr:txBody>
    </xdr:sp>
    <xdr:clientData/>
  </xdr:twoCellAnchor>
  <xdr:twoCellAnchor>
    <xdr:from>
      <xdr:col>0</xdr:col>
      <xdr:colOff>190500</xdr:colOff>
      <xdr:row>1</xdr:row>
      <xdr:rowOff>23812</xdr:rowOff>
    </xdr:from>
    <xdr:to>
      <xdr:col>23</xdr:col>
      <xdr:colOff>31750</xdr:colOff>
      <xdr:row>212</xdr:row>
      <xdr:rowOff>127000</xdr:rowOff>
    </xdr:to>
    <xdr:sp macro="" textlink="">
      <xdr:nvSpPr>
        <xdr:cNvPr id="3" name="Rectangle 2"/>
        <xdr:cNvSpPr/>
      </xdr:nvSpPr>
      <xdr:spPr>
        <a:xfrm>
          <a:off x="190500" y="214312"/>
          <a:ext cx="20786725" cy="413750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619124</xdr:colOff>
      <xdr:row>214</xdr:row>
      <xdr:rowOff>131330</xdr:rowOff>
    </xdr:from>
    <xdr:to>
      <xdr:col>18</xdr:col>
      <xdr:colOff>121219</xdr:colOff>
      <xdr:row>217</xdr:row>
      <xdr:rowOff>99323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175124" y="42231830"/>
          <a:ext cx="12471970" cy="539493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(ORANGERING)</a:t>
          </a:r>
        </a:p>
      </xdr:txBody>
    </xdr:sp>
    <xdr:clientData/>
  </xdr:twoCellAnchor>
  <xdr:twoCellAnchor>
    <xdr:from>
      <xdr:col>4</xdr:col>
      <xdr:colOff>607002</xdr:colOff>
      <xdr:row>427</xdr:row>
      <xdr:rowOff>69273</xdr:rowOff>
    </xdr:from>
    <xdr:to>
      <xdr:col>18</xdr:col>
      <xdr:colOff>194822</xdr:colOff>
      <xdr:row>430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169352" y="83422548"/>
          <a:ext cx="12551345" cy="502227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 </a:t>
          </a:r>
          <a:r>
            <a:rPr lang="en-US" sz="3200" b="1">
              <a:solidFill>
                <a:schemeClr val="tx1"/>
              </a:solidFill>
            </a:rPr>
            <a:t>BLOCK (ORANGE RING)</a:t>
          </a:r>
        </a:p>
      </xdr:txBody>
    </xdr:sp>
    <xdr:clientData/>
  </xdr:twoCellAnchor>
  <xdr:twoCellAnchor>
    <xdr:from>
      <xdr:col>4</xdr:col>
      <xdr:colOff>707880</xdr:colOff>
      <xdr:row>640</xdr:row>
      <xdr:rowOff>47625</xdr:rowOff>
    </xdr:from>
    <xdr:to>
      <xdr:col>18</xdr:col>
      <xdr:colOff>209975</xdr:colOff>
      <xdr:row>643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270230" y="124929900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(ORANGE RING)</a:t>
          </a:r>
        </a:p>
      </xdr:txBody>
    </xdr:sp>
    <xdr:clientData/>
  </xdr:twoCellAnchor>
  <xdr:twoCellAnchor>
    <xdr:from>
      <xdr:col>0</xdr:col>
      <xdr:colOff>171450</xdr:colOff>
      <xdr:row>213</xdr:row>
      <xdr:rowOff>152400</xdr:rowOff>
    </xdr:from>
    <xdr:to>
      <xdr:col>23</xdr:col>
      <xdr:colOff>38100</xdr:colOff>
      <xdr:row>425</xdr:row>
      <xdr:rowOff>133350</xdr:rowOff>
    </xdr:to>
    <xdr:sp macro="" textlink="">
      <xdr:nvSpPr>
        <xdr:cNvPr id="7" name="Rectangle 6"/>
        <xdr:cNvSpPr/>
      </xdr:nvSpPr>
      <xdr:spPr>
        <a:xfrm>
          <a:off x="171450" y="41805225"/>
          <a:ext cx="20812125" cy="4130040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426</xdr:row>
      <xdr:rowOff>133349</xdr:rowOff>
    </xdr:from>
    <xdr:to>
      <xdr:col>23</xdr:col>
      <xdr:colOff>0</xdr:colOff>
      <xdr:row>638</xdr:row>
      <xdr:rowOff>119062</xdr:rowOff>
    </xdr:to>
    <xdr:sp macro="" textlink="">
      <xdr:nvSpPr>
        <xdr:cNvPr id="8" name="Rectangle 7"/>
        <xdr:cNvSpPr/>
      </xdr:nvSpPr>
      <xdr:spPr>
        <a:xfrm>
          <a:off x="152400" y="83296124"/>
          <a:ext cx="20793075" cy="413242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171451</xdr:colOff>
      <xdr:row>639</xdr:row>
      <xdr:rowOff>71437</xdr:rowOff>
    </xdr:from>
    <xdr:to>
      <xdr:col>22</xdr:col>
      <xdr:colOff>285751</xdr:colOff>
      <xdr:row>801</xdr:row>
      <xdr:rowOff>79375</xdr:rowOff>
    </xdr:to>
    <xdr:sp macro="" textlink="">
      <xdr:nvSpPr>
        <xdr:cNvPr id="9" name="Rectangle 8"/>
        <xdr:cNvSpPr/>
      </xdr:nvSpPr>
      <xdr:spPr>
        <a:xfrm>
          <a:off x="171451" y="125531562"/>
          <a:ext cx="20386675" cy="317738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174625</xdr:colOff>
      <xdr:row>803</xdr:row>
      <xdr:rowOff>0</xdr:rowOff>
    </xdr:from>
    <xdr:to>
      <xdr:col>22</xdr:col>
      <xdr:colOff>288925</xdr:colOff>
      <xdr:row>967</xdr:row>
      <xdr:rowOff>158750</xdr:rowOff>
    </xdr:to>
    <xdr:sp macro="" textlink="">
      <xdr:nvSpPr>
        <xdr:cNvPr id="10" name="Rectangle 9"/>
        <xdr:cNvSpPr/>
      </xdr:nvSpPr>
      <xdr:spPr>
        <a:xfrm>
          <a:off x="174625" y="155448000"/>
          <a:ext cx="20402550" cy="3187700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806</xdr:row>
      <xdr:rowOff>15875</xdr:rowOff>
    </xdr:from>
    <xdr:to>
      <xdr:col>18</xdr:col>
      <xdr:colOff>264095</xdr:colOff>
      <xdr:row>809</xdr:row>
      <xdr:rowOff>63500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318000" y="158194375"/>
          <a:ext cx="1247197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(ORANGE RING)</a:t>
          </a:r>
        </a:p>
      </xdr:txBody>
    </xdr:sp>
    <xdr:clientData/>
  </xdr:twoCellAnchor>
  <xdr:twoCellAnchor>
    <xdr:from>
      <xdr:col>0</xdr:col>
      <xdr:colOff>174625</xdr:colOff>
      <xdr:row>969</xdr:row>
      <xdr:rowOff>0</xdr:rowOff>
    </xdr:from>
    <xdr:to>
      <xdr:col>22</xdr:col>
      <xdr:colOff>288925</xdr:colOff>
      <xdr:row>1133</xdr:row>
      <xdr:rowOff>158750</xdr:rowOff>
    </xdr:to>
    <xdr:sp macro="" textlink="">
      <xdr:nvSpPr>
        <xdr:cNvPr id="12" name="Rectangle 11"/>
        <xdr:cNvSpPr/>
      </xdr:nvSpPr>
      <xdr:spPr>
        <a:xfrm>
          <a:off x="174625" y="190134875"/>
          <a:ext cx="20386675" cy="32305625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969</xdr:row>
      <xdr:rowOff>127000</xdr:rowOff>
    </xdr:from>
    <xdr:to>
      <xdr:col>17</xdr:col>
      <xdr:colOff>200595</xdr:colOff>
      <xdr:row>972</xdr:row>
      <xdr:rowOff>174625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3556000" y="190261875"/>
          <a:ext cx="1247197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(ORANGE RING)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</xdr:colOff>
      <xdr:row>2</xdr:row>
      <xdr:rowOff>71438</xdr:rowOff>
    </xdr:from>
    <xdr:to>
      <xdr:col>18</xdr:col>
      <xdr:colOff>311727</xdr:colOff>
      <xdr:row>4</xdr:row>
      <xdr:rowOff>22113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619632" y="452438"/>
          <a:ext cx="12217970" cy="5412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</a:t>
          </a:r>
          <a:r>
            <a:rPr lang="en-US" sz="3200" b="1">
              <a:solidFill>
                <a:schemeClr val="tx1"/>
              </a:solidFill>
            </a:rPr>
            <a:t> BLOCK (PINK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RING)</a:t>
          </a:r>
        </a:p>
      </xdr:txBody>
    </xdr:sp>
    <xdr:clientData/>
  </xdr:twoCellAnchor>
  <xdr:twoCellAnchor>
    <xdr:from>
      <xdr:col>0</xdr:col>
      <xdr:colOff>190500</xdr:colOff>
      <xdr:row>1</xdr:row>
      <xdr:rowOff>23812</xdr:rowOff>
    </xdr:from>
    <xdr:to>
      <xdr:col>23</xdr:col>
      <xdr:colOff>31750</xdr:colOff>
      <xdr:row>212</xdr:row>
      <xdr:rowOff>127000</xdr:rowOff>
    </xdr:to>
    <xdr:sp macro="" textlink="">
      <xdr:nvSpPr>
        <xdr:cNvPr id="3" name="Rectangle 2"/>
        <xdr:cNvSpPr/>
      </xdr:nvSpPr>
      <xdr:spPr>
        <a:xfrm>
          <a:off x="190500" y="214312"/>
          <a:ext cx="20786725" cy="413750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619124</xdr:colOff>
      <xdr:row>214</xdr:row>
      <xdr:rowOff>131330</xdr:rowOff>
    </xdr:from>
    <xdr:to>
      <xdr:col>18</xdr:col>
      <xdr:colOff>121219</xdr:colOff>
      <xdr:row>217</xdr:row>
      <xdr:rowOff>99323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181474" y="41974655"/>
          <a:ext cx="12465620" cy="539493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(PINK RING)</a:t>
          </a:r>
        </a:p>
      </xdr:txBody>
    </xdr:sp>
    <xdr:clientData/>
  </xdr:twoCellAnchor>
  <xdr:twoCellAnchor>
    <xdr:from>
      <xdr:col>4</xdr:col>
      <xdr:colOff>607002</xdr:colOff>
      <xdr:row>427</xdr:row>
      <xdr:rowOff>69273</xdr:rowOff>
    </xdr:from>
    <xdr:to>
      <xdr:col>18</xdr:col>
      <xdr:colOff>194822</xdr:colOff>
      <xdr:row>430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169352" y="83422548"/>
          <a:ext cx="12551345" cy="502227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 </a:t>
          </a:r>
          <a:r>
            <a:rPr lang="en-US" sz="3200" b="1">
              <a:solidFill>
                <a:schemeClr val="tx1"/>
              </a:solidFill>
            </a:rPr>
            <a:t>BLOCK (PINK RING)</a:t>
          </a:r>
        </a:p>
      </xdr:txBody>
    </xdr:sp>
    <xdr:clientData/>
  </xdr:twoCellAnchor>
  <xdr:twoCellAnchor>
    <xdr:from>
      <xdr:col>4</xdr:col>
      <xdr:colOff>707880</xdr:colOff>
      <xdr:row>640</xdr:row>
      <xdr:rowOff>47625</xdr:rowOff>
    </xdr:from>
    <xdr:to>
      <xdr:col>18</xdr:col>
      <xdr:colOff>209975</xdr:colOff>
      <xdr:row>643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270230" y="124929900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(PINK RING)</a:t>
          </a:r>
        </a:p>
      </xdr:txBody>
    </xdr:sp>
    <xdr:clientData/>
  </xdr:twoCellAnchor>
  <xdr:twoCellAnchor>
    <xdr:from>
      <xdr:col>0</xdr:col>
      <xdr:colOff>171450</xdr:colOff>
      <xdr:row>213</xdr:row>
      <xdr:rowOff>152400</xdr:rowOff>
    </xdr:from>
    <xdr:to>
      <xdr:col>23</xdr:col>
      <xdr:colOff>38100</xdr:colOff>
      <xdr:row>425</xdr:row>
      <xdr:rowOff>133350</xdr:rowOff>
    </xdr:to>
    <xdr:sp macro="" textlink="">
      <xdr:nvSpPr>
        <xdr:cNvPr id="7" name="Rectangle 6"/>
        <xdr:cNvSpPr/>
      </xdr:nvSpPr>
      <xdr:spPr>
        <a:xfrm>
          <a:off x="171450" y="41805225"/>
          <a:ext cx="20812125" cy="4130040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426</xdr:row>
      <xdr:rowOff>133349</xdr:rowOff>
    </xdr:from>
    <xdr:to>
      <xdr:col>23</xdr:col>
      <xdr:colOff>0</xdr:colOff>
      <xdr:row>638</xdr:row>
      <xdr:rowOff>119062</xdr:rowOff>
    </xdr:to>
    <xdr:sp macro="" textlink="">
      <xdr:nvSpPr>
        <xdr:cNvPr id="8" name="Rectangle 7"/>
        <xdr:cNvSpPr/>
      </xdr:nvSpPr>
      <xdr:spPr>
        <a:xfrm>
          <a:off x="152400" y="83296124"/>
          <a:ext cx="20793075" cy="413242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171451</xdr:colOff>
      <xdr:row>639</xdr:row>
      <xdr:rowOff>71437</xdr:rowOff>
    </xdr:from>
    <xdr:to>
      <xdr:col>22</xdr:col>
      <xdr:colOff>285751</xdr:colOff>
      <xdr:row>801</xdr:row>
      <xdr:rowOff>79375</xdr:rowOff>
    </xdr:to>
    <xdr:sp macro="" textlink="">
      <xdr:nvSpPr>
        <xdr:cNvPr id="9" name="Rectangle 8"/>
        <xdr:cNvSpPr/>
      </xdr:nvSpPr>
      <xdr:spPr>
        <a:xfrm>
          <a:off x="171451" y="124763212"/>
          <a:ext cx="20402550" cy="315833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174625</xdr:colOff>
      <xdr:row>803</xdr:row>
      <xdr:rowOff>0</xdr:rowOff>
    </xdr:from>
    <xdr:to>
      <xdr:col>22</xdr:col>
      <xdr:colOff>288925</xdr:colOff>
      <xdr:row>1022</xdr:row>
      <xdr:rowOff>63500</xdr:rowOff>
    </xdr:to>
    <xdr:sp macro="" textlink="">
      <xdr:nvSpPr>
        <xdr:cNvPr id="10" name="Rectangle 9"/>
        <xdr:cNvSpPr/>
      </xdr:nvSpPr>
      <xdr:spPr>
        <a:xfrm>
          <a:off x="174625" y="157607000"/>
          <a:ext cx="20386675" cy="4298950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806</xdr:row>
      <xdr:rowOff>15875</xdr:rowOff>
    </xdr:from>
    <xdr:to>
      <xdr:col>18</xdr:col>
      <xdr:colOff>264095</xdr:colOff>
      <xdr:row>809</xdr:row>
      <xdr:rowOff>63500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324350" y="157235525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(PINK RING)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</xdr:colOff>
      <xdr:row>2</xdr:row>
      <xdr:rowOff>71438</xdr:rowOff>
    </xdr:from>
    <xdr:to>
      <xdr:col>18</xdr:col>
      <xdr:colOff>311727</xdr:colOff>
      <xdr:row>4</xdr:row>
      <xdr:rowOff>22113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619632" y="452438"/>
          <a:ext cx="12217970" cy="5412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 PAKHANJORE</a:t>
          </a:r>
          <a:r>
            <a:rPr lang="en-US" sz="3200" b="1">
              <a:solidFill>
                <a:schemeClr val="tx1"/>
              </a:solidFill>
            </a:rPr>
            <a:t> BLOCK (BROWN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RING)</a:t>
          </a:r>
        </a:p>
      </xdr:txBody>
    </xdr:sp>
    <xdr:clientData/>
  </xdr:twoCellAnchor>
  <xdr:twoCellAnchor>
    <xdr:from>
      <xdr:col>4</xdr:col>
      <xdr:colOff>707880</xdr:colOff>
      <xdr:row>266</xdr:row>
      <xdr:rowOff>47625</xdr:rowOff>
    </xdr:from>
    <xdr:to>
      <xdr:col>18</xdr:col>
      <xdr:colOff>209975</xdr:colOff>
      <xdr:row>269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270230" y="124929900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(BROWN RING)</a:t>
          </a:r>
        </a:p>
      </xdr:txBody>
    </xdr:sp>
    <xdr:clientData/>
  </xdr:twoCellAnchor>
  <xdr:twoCellAnchor>
    <xdr:from>
      <xdr:col>0</xdr:col>
      <xdr:colOff>152400</xdr:colOff>
      <xdr:row>0</xdr:row>
      <xdr:rowOff>111125</xdr:rowOff>
    </xdr:from>
    <xdr:to>
      <xdr:col>23</xdr:col>
      <xdr:colOff>0</xdr:colOff>
      <xdr:row>264</xdr:row>
      <xdr:rowOff>119062</xdr:rowOff>
    </xdr:to>
    <xdr:sp macro="" textlink="">
      <xdr:nvSpPr>
        <xdr:cNvPr id="8" name="Rectangle 7"/>
        <xdr:cNvSpPr/>
      </xdr:nvSpPr>
      <xdr:spPr>
        <a:xfrm>
          <a:off x="152400" y="111125"/>
          <a:ext cx="20770850" cy="52966937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171451</xdr:colOff>
      <xdr:row>265</xdr:row>
      <xdr:rowOff>71437</xdr:rowOff>
    </xdr:from>
    <xdr:to>
      <xdr:col>22</xdr:col>
      <xdr:colOff>285751</xdr:colOff>
      <xdr:row>481</xdr:row>
      <xdr:rowOff>95250</xdr:rowOff>
    </xdr:to>
    <xdr:sp macro="" textlink="">
      <xdr:nvSpPr>
        <xdr:cNvPr id="9" name="Rectangle 8"/>
        <xdr:cNvSpPr/>
      </xdr:nvSpPr>
      <xdr:spPr>
        <a:xfrm>
          <a:off x="171451" y="124763212"/>
          <a:ext cx="20402550" cy="42124313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107950</xdr:colOff>
      <xdr:row>482</xdr:row>
      <xdr:rowOff>166007</xdr:rowOff>
    </xdr:from>
    <xdr:to>
      <xdr:col>22</xdr:col>
      <xdr:colOff>285750</xdr:colOff>
      <xdr:row>701</xdr:row>
      <xdr:rowOff>71437</xdr:rowOff>
    </xdr:to>
    <xdr:sp macro="" textlink="">
      <xdr:nvSpPr>
        <xdr:cNvPr id="10" name="Rectangle 9"/>
        <xdr:cNvSpPr/>
      </xdr:nvSpPr>
      <xdr:spPr>
        <a:xfrm>
          <a:off x="107950" y="167148782"/>
          <a:ext cx="20466050" cy="42596480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971550</xdr:colOff>
      <xdr:row>484</xdr:row>
      <xdr:rowOff>38100</xdr:rowOff>
    </xdr:from>
    <xdr:to>
      <xdr:col>18</xdr:col>
      <xdr:colOff>473645</xdr:colOff>
      <xdr:row>487</xdr:row>
      <xdr:rowOff>85725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533900" y="167401875"/>
          <a:ext cx="12465620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(BROWN</a:t>
          </a:r>
          <a:r>
            <a:rPr lang="en-US" sz="3200" b="1" baseline="0">
              <a:solidFill>
                <a:schemeClr val="tx1"/>
              </a:solidFill>
            </a:rPr>
            <a:t> </a:t>
          </a:r>
          <a:r>
            <a:rPr lang="en-US" sz="3200" b="1">
              <a:solidFill>
                <a:schemeClr val="tx1"/>
              </a:solidFill>
            </a:rPr>
            <a:t> RING)</a:t>
          </a:r>
        </a:p>
      </xdr:txBody>
    </xdr:sp>
    <xdr:clientData/>
  </xdr:twoCellAnchor>
  <xdr:twoCellAnchor>
    <xdr:from>
      <xdr:col>0</xdr:col>
      <xdr:colOff>142875</xdr:colOff>
      <xdr:row>702</xdr:row>
      <xdr:rowOff>71438</xdr:rowOff>
    </xdr:from>
    <xdr:to>
      <xdr:col>22</xdr:col>
      <xdr:colOff>320675</xdr:colOff>
      <xdr:row>918</xdr:row>
      <xdr:rowOff>57150</xdr:rowOff>
    </xdr:to>
    <xdr:sp macro="" textlink="">
      <xdr:nvSpPr>
        <xdr:cNvPr id="12" name="Rectangle 11"/>
        <xdr:cNvSpPr/>
      </xdr:nvSpPr>
      <xdr:spPr>
        <a:xfrm>
          <a:off x="142875" y="138488738"/>
          <a:ext cx="20580350" cy="42505312"/>
        </a:xfrm>
        <a:prstGeom prst="rect">
          <a:avLst/>
        </a:prstGeom>
        <a:noFill/>
        <a:ln w="762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452438</xdr:colOff>
      <xdr:row>703</xdr:row>
      <xdr:rowOff>95250</xdr:rowOff>
    </xdr:from>
    <xdr:to>
      <xdr:col>17</xdr:col>
      <xdr:colOff>645095</xdr:colOff>
      <xdr:row>706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014788" y="210150075"/>
          <a:ext cx="12460857" cy="619125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FDMS</a:t>
          </a:r>
          <a:r>
            <a:rPr lang="en-US" sz="3200" b="1" baseline="0">
              <a:solidFill>
                <a:schemeClr val="tx1"/>
              </a:solidFill>
            </a:rPr>
            <a:t> PLAN</a:t>
          </a:r>
          <a:r>
            <a:rPr lang="en-US" sz="3200" b="1">
              <a:solidFill>
                <a:schemeClr val="tx1"/>
              </a:solidFill>
            </a:rPr>
            <a:t> PAKHANJORE BLOCK (BROWN RING)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119062</xdr:colOff>
      <xdr:row>6</xdr:row>
      <xdr:rowOff>23812</xdr:rowOff>
    </xdr:from>
    <xdr:to>
      <xdr:col>30</xdr:col>
      <xdr:colOff>95248</xdr:colOff>
      <xdr:row>27</xdr:row>
      <xdr:rowOff>169863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320837" y="1376362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587375</xdr:colOff>
      <xdr:row>6</xdr:row>
      <xdr:rowOff>24279</xdr:rowOff>
    </xdr:from>
    <xdr:to>
      <xdr:col>7</xdr:col>
      <xdr:colOff>301625</xdr:colOff>
      <xdr:row>27</xdr:row>
      <xdr:rowOff>174624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14ABEE8-2B74-4233-9375-474BB9040945}"/>
            </a:ext>
          </a:extLst>
        </xdr:cNvPr>
        <xdr:cNvSpPr txBox="1"/>
      </xdr:nvSpPr>
      <xdr:spPr>
        <a:xfrm>
          <a:off x="587375" y="1376829"/>
          <a:ext cx="5991225" cy="4150845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20</xdr:col>
      <xdr:colOff>600074</xdr:colOff>
      <xdr:row>8</xdr:row>
      <xdr:rowOff>189170</xdr:rowOff>
    </xdr:from>
    <xdr:to>
      <xdr:col>29</xdr:col>
      <xdr:colOff>179923</xdr:colOff>
      <xdr:row>27</xdr:row>
      <xdr:rowOff>58736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0618"/>
        <a:stretch/>
      </xdr:blipFill>
      <xdr:spPr>
        <a:xfrm>
          <a:off x="14801849" y="1922720"/>
          <a:ext cx="5066249" cy="3489066"/>
        </a:xfrm>
        <a:prstGeom prst="rect">
          <a:avLst/>
        </a:prstGeom>
      </xdr:spPr>
    </xdr:pic>
    <xdr:clientData/>
  </xdr:twoCellAnchor>
  <xdr:twoCellAnchor>
    <xdr:from>
      <xdr:col>8</xdr:col>
      <xdr:colOff>373064</xdr:colOff>
      <xdr:row>6</xdr:row>
      <xdr:rowOff>50799</xdr:rowOff>
    </xdr:from>
    <xdr:to>
      <xdr:col>18</xdr:col>
      <xdr:colOff>349250</xdr:colOff>
      <xdr:row>28</xdr:row>
      <xdr:rowOff>6350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259639" y="1403349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846139</xdr:colOff>
      <xdr:row>8</xdr:row>
      <xdr:rowOff>101784</xdr:rowOff>
    </xdr:from>
    <xdr:to>
      <xdr:col>7</xdr:col>
      <xdr:colOff>203200</xdr:colOff>
      <xdr:row>27</xdr:row>
      <xdr:rowOff>138113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139" y="1835334"/>
          <a:ext cx="5659436" cy="3655829"/>
        </a:xfrm>
        <a:prstGeom prst="rect">
          <a:avLst/>
        </a:prstGeom>
      </xdr:spPr>
    </xdr:pic>
    <xdr:clientData/>
  </xdr:twoCellAnchor>
  <xdr:twoCellAnchor>
    <xdr:from>
      <xdr:col>23</xdr:col>
      <xdr:colOff>13495</xdr:colOff>
      <xdr:row>6</xdr:row>
      <xdr:rowOff>147635</xdr:rowOff>
    </xdr:from>
    <xdr:to>
      <xdr:col>28</xdr:col>
      <xdr:colOff>111125</xdr:colOff>
      <xdr:row>9</xdr:row>
      <xdr:rowOff>111124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5904370" y="1497010"/>
          <a:ext cx="3113880" cy="534989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FDMS1,FDMS2,FDMS3</a:t>
          </a:r>
        </a:p>
      </xdr:txBody>
    </xdr:sp>
    <xdr:clientData/>
  </xdr:twoCellAnchor>
  <xdr:twoCellAnchor>
    <xdr:from>
      <xdr:col>0</xdr:col>
      <xdr:colOff>2379663</xdr:colOff>
      <xdr:row>6</xdr:row>
      <xdr:rowOff>88900</xdr:rowOff>
    </xdr:from>
    <xdr:to>
      <xdr:col>6</xdr:col>
      <xdr:colOff>304800</xdr:colOff>
      <xdr:row>8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2379663" y="1441450"/>
          <a:ext cx="3602037" cy="4254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SC-1(Blue</a:t>
          </a:r>
          <a:r>
            <a:rPr lang="en-IN" sz="1600" baseline="0"/>
            <a:t> ring),SC-1(Orange ring)</a:t>
          </a:r>
          <a:endParaRPr lang="en-IN" sz="1600"/>
        </a:p>
      </xdr:txBody>
    </xdr:sp>
    <xdr:clientData/>
  </xdr:twoCellAnchor>
  <xdr:twoCellAnchor>
    <xdr:from>
      <xdr:col>19</xdr:col>
      <xdr:colOff>457200</xdr:colOff>
      <xdr:row>31</xdr:row>
      <xdr:rowOff>171451</xdr:rowOff>
    </xdr:from>
    <xdr:to>
      <xdr:col>30</xdr:col>
      <xdr:colOff>323850</xdr:colOff>
      <xdr:row>53</xdr:row>
      <xdr:rowOff>107952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049375" y="6286501"/>
          <a:ext cx="6572250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682625</xdr:colOff>
      <xdr:row>31</xdr:row>
      <xdr:rowOff>127000</xdr:rowOff>
    </xdr:from>
    <xdr:to>
      <xdr:col>7</xdr:col>
      <xdr:colOff>452436</xdr:colOff>
      <xdr:row>55</xdr:row>
      <xdr:rowOff>47624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682625" y="6246813"/>
          <a:ext cx="6103936" cy="44926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349250</xdr:colOff>
      <xdr:row>58</xdr:row>
      <xdr:rowOff>15875</xdr:rowOff>
    </xdr:from>
    <xdr:to>
      <xdr:col>18</xdr:col>
      <xdr:colOff>325436</xdr:colOff>
      <xdr:row>79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235825" y="11274425"/>
          <a:ext cx="607218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555625</xdr:colOff>
      <xdr:row>58</xdr:row>
      <xdr:rowOff>31750</xdr:rowOff>
    </xdr:from>
    <xdr:to>
      <xdr:col>7</xdr:col>
      <xdr:colOff>325436</xdr:colOff>
      <xdr:row>79</xdr:row>
      <xdr:rowOff>158751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555625" y="11290300"/>
          <a:ext cx="604678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20</xdr:col>
      <xdr:colOff>574676</xdr:colOff>
      <xdr:row>32</xdr:row>
      <xdr:rowOff>55562</xdr:rowOff>
    </xdr:from>
    <xdr:to>
      <xdr:col>29</xdr:col>
      <xdr:colOff>238126</xdr:colOff>
      <xdr:row>34</xdr:row>
      <xdr:rowOff>182562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776451" y="6361112"/>
          <a:ext cx="514985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SC-7,SC-26,SC-69,SC-73,SC-78</a:t>
          </a:r>
        </a:p>
      </xdr:txBody>
    </xdr:sp>
    <xdr:clientData/>
  </xdr:twoCellAnchor>
  <xdr:twoCellAnchor>
    <xdr:from>
      <xdr:col>9</xdr:col>
      <xdr:colOff>395287</xdr:colOff>
      <xdr:row>1</xdr:row>
      <xdr:rowOff>131763</xdr:rowOff>
    </xdr:from>
    <xdr:to>
      <xdr:col>27</xdr:col>
      <xdr:colOff>119062</xdr:colOff>
      <xdr:row>4</xdr:row>
      <xdr:rowOff>381000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7967662" y="322263"/>
          <a:ext cx="10868025" cy="820737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SPLICE PATTERN PAKHANJORE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BLOCK(BLUE RING)</a:t>
          </a:r>
        </a:p>
      </xdr:txBody>
    </xdr:sp>
    <xdr:clientData/>
  </xdr:twoCellAnchor>
  <xdr:twoCellAnchor>
    <xdr:from>
      <xdr:col>0</xdr:col>
      <xdr:colOff>178593</xdr:colOff>
      <xdr:row>0</xdr:row>
      <xdr:rowOff>190498</xdr:rowOff>
    </xdr:from>
    <xdr:to>
      <xdr:col>42</xdr:col>
      <xdr:colOff>428624</xdr:colOff>
      <xdr:row>139</xdr:row>
      <xdr:rowOff>23812</xdr:rowOff>
    </xdr:to>
    <xdr:sp macro="" textlink="">
      <xdr:nvSpPr>
        <xdr:cNvPr id="21" name="Rectangle 20"/>
        <xdr:cNvSpPr/>
      </xdr:nvSpPr>
      <xdr:spPr>
        <a:xfrm>
          <a:off x="178593" y="190498"/>
          <a:ext cx="28253531" cy="26527127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746125</xdr:colOff>
      <xdr:row>35</xdr:row>
      <xdr:rowOff>79376</xdr:rowOff>
    </xdr:from>
    <xdr:to>
      <xdr:col>7</xdr:col>
      <xdr:colOff>292099</xdr:colOff>
      <xdr:row>52</xdr:row>
      <xdr:rowOff>142874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125" y="6961189"/>
          <a:ext cx="5880099" cy="3301998"/>
        </a:xfrm>
        <a:prstGeom prst="rect">
          <a:avLst/>
        </a:prstGeom>
      </xdr:spPr>
    </xdr:pic>
    <xdr:clientData/>
  </xdr:twoCellAnchor>
  <xdr:twoCellAnchor editAs="oneCell">
    <xdr:from>
      <xdr:col>20</xdr:col>
      <xdr:colOff>339725</xdr:colOff>
      <xdr:row>35</xdr:row>
      <xdr:rowOff>95250</xdr:rowOff>
    </xdr:from>
    <xdr:to>
      <xdr:col>29</xdr:col>
      <xdr:colOff>558800</xdr:colOff>
      <xdr:row>53</xdr:row>
      <xdr:rowOff>95729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51025" y="6972300"/>
          <a:ext cx="5705475" cy="3429479"/>
        </a:xfrm>
        <a:prstGeom prst="rect">
          <a:avLst/>
        </a:prstGeom>
      </xdr:spPr>
    </xdr:pic>
    <xdr:clientData/>
  </xdr:twoCellAnchor>
  <xdr:twoCellAnchor>
    <xdr:from>
      <xdr:col>8</xdr:col>
      <xdr:colOff>404813</xdr:colOff>
      <xdr:row>31</xdr:row>
      <xdr:rowOff>142875</xdr:rowOff>
    </xdr:from>
    <xdr:to>
      <xdr:col>18</xdr:col>
      <xdr:colOff>380999</xdr:colOff>
      <xdr:row>56</xdr:row>
      <xdr:rowOff>166686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358063" y="6262688"/>
          <a:ext cx="6167436" cy="478631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981074</xdr:colOff>
      <xdr:row>32</xdr:row>
      <xdr:rowOff>88900</xdr:rowOff>
    </xdr:from>
    <xdr:to>
      <xdr:col>7</xdr:col>
      <xdr:colOff>0</xdr:colOff>
      <xdr:row>35</xdr:row>
      <xdr:rowOff>133350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981074" y="6394450"/>
          <a:ext cx="5305426" cy="6159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SC-4,SC-19,SC-24,SC-38,SC-75,SC-91</a:t>
          </a:r>
        </a:p>
      </xdr:txBody>
    </xdr:sp>
    <xdr:clientData/>
  </xdr:twoCellAnchor>
  <xdr:twoCellAnchor>
    <xdr:from>
      <xdr:col>0</xdr:col>
      <xdr:colOff>1131093</xdr:colOff>
      <xdr:row>58</xdr:row>
      <xdr:rowOff>134938</xdr:rowOff>
    </xdr:from>
    <xdr:to>
      <xdr:col>6</xdr:col>
      <xdr:colOff>492125</xdr:colOff>
      <xdr:row>61</xdr:row>
      <xdr:rowOff>71438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131093" y="11393488"/>
          <a:ext cx="5028407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SC-14,SC-32,SC-67,SC-83,SC-86,SC-94</a:t>
          </a:r>
        </a:p>
      </xdr:txBody>
    </xdr:sp>
    <xdr:clientData/>
  </xdr:twoCellAnchor>
  <xdr:twoCellAnchor>
    <xdr:from>
      <xdr:col>31</xdr:col>
      <xdr:colOff>133350</xdr:colOff>
      <xdr:row>32</xdr:row>
      <xdr:rowOff>0</xdr:rowOff>
    </xdr:from>
    <xdr:to>
      <xdr:col>42</xdr:col>
      <xdr:colOff>19050</xdr:colOff>
      <xdr:row>53</xdr:row>
      <xdr:rowOff>127001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040725" y="6305550"/>
          <a:ext cx="6591300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10</xdr:col>
      <xdr:colOff>306389</xdr:colOff>
      <xdr:row>6</xdr:row>
      <xdr:rowOff>146049</xdr:rowOff>
    </xdr:from>
    <xdr:to>
      <xdr:col>16</xdr:col>
      <xdr:colOff>250826</xdr:colOff>
      <xdr:row>9</xdr:row>
      <xdr:rowOff>-1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8421689" y="1498599"/>
          <a:ext cx="3602037" cy="4254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SC-1(Blue</a:t>
          </a:r>
          <a:r>
            <a:rPr lang="en-IN" sz="1600" baseline="0"/>
            <a:t> ring),SC-1(Orange ring)</a:t>
          </a:r>
          <a:endParaRPr lang="en-IN" sz="1600"/>
        </a:p>
      </xdr:txBody>
    </xdr:sp>
    <xdr:clientData/>
  </xdr:twoCellAnchor>
  <xdr:twoCellAnchor editAs="oneCell">
    <xdr:from>
      <xdr:col>0</xdr:col>
      <xdr:colOff>1412875</xdr:colOff>
      <xdr:row>61</xdr:row>
      <xdr:rowOff>122237</xdr:rowOff>
    </xdr:from>
    <xdr:to>
      <xdr:col>6</xdr:col>
      <xdr:colOff>226063</xdr:colOff>
      <xdr:row>79</xdr:row>
      <xdr:rowOff>122716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2875" y="11957050"/>
          <a:ext cx="4528188" cy="3429479"/>
        </a:xfrm>
        <a:prstGeom prst="rect">
          <a:avLst/>
        </a:prstGeom>
      </xdr:spPr>
    </xdr:pic>
    <xdr:clientData/>
  </xdr:twoCellAnchor>
  <xdr:twoCellAnchor>
    <xdr:from>
      <xdr:col>20</xdr:col>
      <xdr:colOff>23812</xdr:colOff>
      <xdr:row>57</xdr:row>
      <xdr:rowOff>0</xdr:rowOff>
    </xdr:from>
    <xdr:to>
      <xdr:col>29</xdr:col>
      <xdr:colOff>609598</xdr:colOff>
      <xdr:row>79</xdr:row>
      <xdr:rowOff>127002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406562" y="11072813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31</xdr:col>
      <xdr:colOff>190500</xdr:colOff>
      <xdr:row>58</xdr:row>
      <xdr:rowOff>0</xdr:rowOff>
    </xdr:from>
    <xdr:to>
      <xdr:col>41</xdr:col>
      <xdr:colOff>571500</xdr:colOff>
      <xdr:row>79</xdr:row>
      <xdr:rowOff>127001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383625" y="11263313"/>
          <a:ext cx="6572250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20</xdr:col>
      <xdr:colOff>476249</xdr:colOff>
      <xdr:row>57</xdr:row>
      <xdr:rowOff>142875</xdr:rowOff>
    </xdr:from>
    <xdr:to>
      <xdr:col>28</xdr:col>
      <xdr:colOff>599281</xdr:colOff>
      <xdr:row>60</xdr:row>
      <xdr:rowOff>79375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858999" y="11215688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SC-41</a:t>
          </a:r>
        </a:p>
      </xdr:txBody>
    </xdr:sp>
    <xdr:clientData/>
  </xdr:twoCellAnchor>
  <xdr:twoCellAnchor>
    <xdr:from>
      <xdr:col>0</xdr:col>
      <xdr:colOff>571500</xdr:colOff>
      <xdr:row>84</xdr:row>
      <xdr:rowOff>0</xdr:rowOff>
    </xdr:from>
    <xdr:to>
      <xdr:col>7</xdr:col>
      <xdr:colOff>395286</xdr:colOff>
      <xdr:row>106</xdr:row>
      <xdr:rowOff>127002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571500" y="16216313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523875</xdr:colOff>
      <xdr:row>84</xdr:row>
      <xdr:rowOff>0</xdr:rowOff>
    </xdr:from>
    <xdr:to>
      <xdr:col>18</xdr:col>
      <xdr:colOff>490536</xdr:colOff>
      <xdr:row>106</xdr:row>
      <xdr:rowOff>127002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477125" y="16216313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20</xdr:col>
      <xdr:colOff>214313</xdr:colOff>
      <xdr:row>83</xdr:row>
      <xdr:rowOff>166687</xdr:rowOff>
    </xdr:from>
    <xdr:to>
      <xdr:col>30</xdr:col>
      <xdr:colOff>180974</xdr:colOff>
      <xdr:row>106</xdr:row>
      <xdr:rowOff>103189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597063" y="16192500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31</xdr:col>
      <xdr:colOff>333375</xdr:colOff>
      <xdr:row>83</xdr:row>
      <xdr:rowOff>119063</xdr:rowOff>
    </xdr:from>
    <xdr:to>
      <xdr:col>41</xdr:col>
      <xdr:colOff>300036</xdr:colOff>
      <xdr:row>106</xdr:row>
      <xdr:rowOff>55565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526500" y="16144876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595313</xdr:colOff>
      <xdr:row>110</xdr:row>
      <xdr:rowOff>47625</xdr:rowOff>
    </xdr:from>
    <xdr:to>
      <xdr:col>7</xdr:col>
      <xdr:colOff>419099</xdr:colOff>
      <xdr:row>132</xdr:row>
      <xdr:rowOff>174627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595313" y="21216938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595312</xdr:colOff>
      <xdr:row>110</xdr:row>
      <xdr:rowOff>47625</xdr:rowOff>
    </xdr:from>
    <xdr:to>
      <xdr:col>18</xdr:col>
      <xdr:colOff>561973</xdr:colOff>
      <xdr:row>132</xdr:row>
      <xdr:rowOff>174627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548562" y="21216938"/>
          <a:ext cx="6157911" cy="4318002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809625</xdr:colOff>
      <xdr:row>84</xdr:row>
      <xdr:rowOff>142875</xdr:rowOff>
    </xdr:from>
    <xdr:to>
      <xdr:col>6</xdr:col>
      <xdr:colOff>170657</xdr:colOff>
      <xdr:row>87</xdr:row>
      <xdr:rowOff>79375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809625" y="16359188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SC-50</a:t>
          </a:r>
        </a:p>
      </xdr:txBody>
    </xdr:sp>
    <xdr:clientData/>
  </xdr:twoCellAnchor>
  <xdr:twoCellAnchor>
    <xdr:from>
      <xdr:col>9</xdr:col>
      <xdr:colOff>261938</xdr:colOff>
      <xdr:row>85</xdr:row>
      <xdr:rowOff>23812</xdr:rowOff>
    </xdr:from>
    <xdr:to>
      <xdr:col>17</xdr:col>
      <xdr:colOff>384970</xdr:colOff>
      <xdr:row>87</xdr:row>
      <xdr:rowOff>150812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834313" y="16430625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SC-50</a:t>
          </a:r>
        </a:p>
      </xdr:txBody>
    </xdr:sp>
    <xdr:clientData/>
  </xdr:twoCellAnchor>
  <xdr:twoCellAnchor>
    <xdr:from>
      <xdr:col>20</xdr:col>
      <xdr:colOff>500063</xdr:colOff>
      <xdr:row>84</xdr:row>
      <xdr:rowOff>119062</xdr:rowOff>
    </xdr:from>
    <xdr:to>
      <xdr:col>29</xdr:col>
      <xdr:colOff>3970</xdr:colOff>
      <xdr:row>87</xdr:row>
      <xdr:rowOff>55562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882813" y="16335375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SC-48</a:t>
          </a:r>
        </a:p>
      </xdr:txBody>
    </xdr:sp>
    <xdr:clientData/>
  </xdr:twoCellAnchor>
  <xdr:twoCellAnchor>
    <xdr:from>
      <xdr:col>32</xdr:col>
      <xdr:colOff>166687</xdr:colOff>
      <xdr:row>84</xdr:row>
      <xdr:rowOff>166688</xdr:rowOff>
    </xdr:from>
    <xdr:to>
      <xdr:col>40</xdr:col>
      <xdr:colOff>289719</xdr:colOff>
      <xdr:row>87</xdr:row>
      <xdr:rowOff>103188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978937" y="16383001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SC-48</a:t>
          </a:r>
        </a:p>
      </xdr:txBody>
    </xdr:sp>
    <xdr:clientData/>
  </xdr:twoCellAnchor>
  <xdr:twoCellAnchor>
    <xdr:from>
      <xdr:col>0</xdr:col>
      <xdr:colOff>1309688</xdr:colOff>
      <xdr:row>111</xdr:row>
      <xdr:rowOff>0</xdr:rowOff>
    </xdr:from>
    <xdr:to>
      <xdr:col>7</xdr:col>
      <xdr:colOff>51595</xdr:colOff>
      <xdr:row>113</xdr:row>
      <xdr:rowOff>127000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309688" y="21359813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SC-52</a:t>
          </a:r>
        </a:p>
      </xdr:txBody>
    </xdr:sp>
    <xdr:clientData/>
  </xdr:twoCellAnchor>
  <xdr:twoCellAnchor>
    <xdr:from>
      <xdr:col>9</xdr:col>
      <xdr:colOff>414338</xdr:colOff>
      <xdr:row>111</xdr:row>
      <xdr:rowOff>57150</xdr:rowOff>
    </xdr:from>
    <xdr:to>
      <xdr:col>17</xdr:col>
      <xdr:colOff>537370</xdr:colOff>
      <xdr:row>113</xdr:row>
      <xdr:rowOff>184150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986713" y="21416963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SC-52</a:t>
          </a:r>
        </a:p>
      </xdr:txBody>
    </xdr:sp>
    <xdr:clientData/>
  </xdr:twoCellAnchor>
  <xdr:twoCellAnchor>
    <xdr:from>
      <xdr:col>32</xdr:col>
      <xdr:colOff>200025</xdr:colOff>
      <xdr:row>58</xdr:row>
      <xdr:rowOff>176213</xdr:rowOff>
    </xdr:from>
    <xdr:to>
      <xdr:col>40</xdr:col>
      <xdr:colOff>323057</xdr:colOff>
      <xdr:row>61</xdr:row>
      <xdr:rowOff>112713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726525" y="11434763"/>
          <a:ext cx="49998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SC-41</a:t>
          </a:r>
        </a:p>
      </xdr:txBody>
    </xdr:sp>
    <xdr:clientData/>
  </xdr:twoCellAnchor>
  <xdr:twoCellAnchor>
    <xdr:from>
      <xdr:col>9</xdr:col>
      <xdr:colOff>166688</xdr:colOff>
      <xdr:row>32</xdr:row>
      <xdr:rowOff>166688</xdr:rowOff>
    </xdr:from>
    <xdr:to>
      <xdr:col>17</xdr:col>
      <xdr:colOff>566739</xdr:colOff>
      <xdr:row>36</xdr:row>
      <xdr:rowOff>20638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739063" y="6477001"/>
          <a:ext cx="5353051" cy="6159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SC-4,SC-19,SC-24,SC-38,SC-75,SC-91</a:t>
          </a:r>
        </a:p>
      </xdr:txBody>
    </xdr:sp>
    <xdr:clientData/>
  </xdr:twoCellAnchor>
  <xdr:twoCellAnchor>
    <xdr:from>
      <xdr:col>31</xdr:col>
      <xdr:colOff>466725</xdr:colOff>
      <xdr:row>32</xdr:row>
      <xdr:rowOff>185737</xdr:rowOff>
    </xdr:from>
    <xdr:to>
      <xdr:col>40</xdr:col>
      <xdr:colOff>130175</xdr:colOff>
      <xdr:row>35</xdr:row>
      <xdr:rowOff>122237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659850" y="6496050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SC-7,SC-26,SC-69,SC-73,SC-78</a:t>
          </a:r>
        </a:p>
      </xdr:txBody>
    </xdr:sp>
    <xdr:clientData/>
  </xdr:twoCellAnchor>
  <xdr:twoCellAnchor>
    <xdr:from>
      <xdr:col>9</xdr:col>
      <xdr:colOff>44450</xdr:colOff>
      <xdr:row>58</xdr:row>
      <xdr:rowOff>106362</xdr:rowOff>
    </xdr:from>
    <xdr:to>
      <xdr:col>17</xdr:col>
      <xdr:colOff>167482</xdr:colOff>
      <xdr:row>61</xdr:row>
      <xdr:rowOff>42862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616825" y="11369675"/>
          <a:ext cx="5076032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SC-14,SC-32,SC-67,SC-83,SC-86,SC-94</a:t>
          </a:r>
        </a:p>
      </xdr:txBody>
    </xdr:sp>
    <xdr:clientData/>
  </xdr:twoCellAnchor>
  <xdr:twoCellAnchor editAs="oneCell">
    <xdr:from>
      <xdr:col>21</xdr:col>
      <xdr:colOff>276225</xdr:colOff>
      <xdr:row>61</xdr:row>
      <xdr:rowOff>0</xdr:rowOff>
    </xdr:from>
    <xdr:to>
      <xdr:col>28</xdr:col>
      <xdr:colOff>514988</xdr:colOff>
      <xdr:row>79</xdr:row>
      <xdr:rowOff>479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97125" y="11830050"/>
          <a:ext cx="4505963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1357312</xdr:colOff>
      <xdr:row>88</xdr:row>
      <xdr:rowOff>47625</xdr:rowOff>
    </xdr:from>
    <xdr:to>
      <xdr:col>6</xdr:col>
      <xdr:colOff>214950</xdr:colOff>
      <xdr:row>106</xdr:row>
      <xdr:rowOff>48104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312" y="17025938"/>
          <a:ext cx="4572638" cy="3429479"/>
        </a:xfrm>
        <a:prstGeom prst="rect">
          <a:avLst/>
        </a:prstGeom>
      </xdr:spPr>
    </xdr:pic>
    <xdr:clientData/>
  </xdr:twoCellAnchor>
  <xdr:twoCellAnchor editAs="oneCell">
    <xdr:from>
      <xdr:col>21</xdr:col>
      <xdr:colOff>261938</xdr:colOff>
      <xdr:row>88</xdr:row>
      <xdr:rowOff>47624</xdr:rowOff>
    </xdr:from>
    <xdr:to>
      <xdr:col>28</xdr:col>
      <xdr:colOff>500701</xdr:colOff>
      <xdr:row>106</xdr:row>
      <xdr:rowOff>48103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63813" y="17025937"/>
          <a:ext cx="4572638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1504949</xdr:colOff>
      <xdr:row>114</xdr:row>
      <xdr:rowOff>172641</xdr:rowOff>
    </xdr:from>
    <xdr:to>
      <xdr:col>6</xdr:col>
      <xdr:colOff>214950</xdr:colOff>
      <xdr:row>132</xdr:row>
      <xdr:rowOff>33817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4949" y="22099191"/>
          <a:ext cx="4386901" cy="3290176"/>
        </a:xfrm>
        <a:prstGeom prst="rect">
          <a:avLst/>
        </a:prstGeom>
      </xdr:spPr>
    </xdr:pic>
    <xdr:clientData/>
  </xdr:twoCellAnchor>
  <xdr:twoCellAnchor editAs="oneCell">
    <xdr:from>
      <xdr:col>8</xdr:col>
      <xdr:colOff>606426</xdr:colOff>
      <xdr:row>11</xdr:row>
      <xdr:rowOff>93660</xdr:rowOff>
    </xdr:from>
    <xdr:to>
      <xdr:col>17</xdr:col>
      <xdr:colOff>358112</xdr:colOff>
      <xdr:row>25</xdr:row>
      <xdr:rowOff>142873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9676" y="2403473"/>
          <a:ext cx="5323811" cy="2716213"/>
        </a:xfrm>
        <a:prstGeom prst="rect">
          <a:avLst/>
        </a:prstGeom>
      </xdr:spPr>
    </xdr:pic>
    <xdr:clientData/>
  </xdr:twoCellAnchor>
  <xdr:twoCellAnchor editAs="oneCell">
    <xdr:from>
      <xdr:col>9</xdr:col>
      <xdr:colOff>261938</xdr:colOff>
      <xdr:row>38</xdr:row>
      <xdr:rowOff>95250</xdr:rowOff>
    </xdr:from>
    <xdr:to>
      <xdr:col>17</xdr:col>
      <xdr:colOff>566081</xdr:colOff>
      <xdr:row>54</xdr:row>
      <xdr:rowOff>142874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34313" y="7548563"/>
          <a:ext cx="5257143" cy="3095624"/>
        </a:xfrm>
        <a:prstGeom prst="rect">
          <a:avLst/>
        </a:prstGeom>
      </xdr:spPr>
    </xdr:pic>
    <xdr:clientData/>
  </xdr:twoCellAnchor>
  <xdr:twoCellAnchor editAs="oneCell">
    <xdr:from>
      <xdr:col>32</xdr:col>
      <xdr:colOff>85725</xdr:colOff>
      <xdr:row>36</xdr:row>
      <xdr:rowOff>161925</xdr:rowOff>
    </xdr:from>
    <xdr:to>
      <xdr:col>40</xdr:col>
      <xdr:colOff>427963</xdr:colOff>
      <xdr:row>52</xdr:row>
      <xdr:rowOff>-1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897975" y="7234238"/>
          <a:ext cx="5295238" cy="2886074"/>
        </a:xfrm>
        <a:prstGeom prst="rect">
          <a:avLst/>
        </a:prstGeom>
      </xdr:spPr>
    </xdr:pic>
    <xdr:clientData/>
  </xdr:twoCellAnchor>
  <xdr:twoCellAnchor editAs="oneCell">
    <xdr:from>
      <xdr:col>9</xdr:col>
      <xdr:colOff>15875</xdr:colOff>
      <xdr:row>63</xdr:row>
      <xdr:rowOff>15874</xdr:rowOff>
    </xdr:from>
    <xdr:to>
      <xdr:col>17</xdr:col>
      <xdr:colOff>434313</xdr:colOff>
      <xdr:row>78</xdr:row>
      <xdr:rowOff>57149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21575" y="12226924"/>
          <a:ext cx="5295238" cy="2898775"/>
        </a:xfrm>
        <a:prstGeom prst="rect">
          <a:avLst/>
        </a:prstGeom>
      </xdr:spPr>
    </xdr:pic>
    <xdr:clientData/>
  </xdr:twoCellAnchor>
  <xdr:twoCellAnchor editAs="oneCell">
    <xdr:from>
      <xdr:col>31</xdr:col>
      <xdr:colOff>352425</xdr:colOff>
      <xdr:row>63</xdr:row>
      <xdr:rowOff>100013</xdr:rowOff>
    </xdr:from>
    <xdr:to>
      <xdr:col>40</xdr:col>
      <xdr:colOff>227930</xdr:colOff>
      <xdr:row>77</xdr:row>
      <xdr:rowOff>76200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269325" y="12311063"/>
          <a:ext cx="5361905" cy="2643187"/>
        </a:xfrm>
        <a:prstGeom prst="rect">
          <a:avLst/>
        </a:prstGeom>
      </xdr:spPr>
    </xdr:pic>
    <xdr:clientData/>
  </xdr:twoCellAnchor>
  <xdr:twoCellAnchor editAs="oneCell">
    <xdr:from>
      <xdr:col>9</xdr:col>
      <xdr:colOff>257175</xdr:colOff>
      <xdr:row>89</xdr:row>
      <xdr:rowOff>176212</xdr:rowOff>
    </xdr:from>
    <xdr:to>
      <xdr:col>18</xdr:col>
      <xdr:colOff>237442</xdr:colOff>
      <xdr:row>103</xdr:row>
      <xdr:rowOff>171449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62875" y="17340262"/>
          <a:ext cx="5466667" cy="2662237"/>
        </a:xfrm>
        <a:prstGeom prst="rect">
          <a:avLst/>
        </a:prstGeom>
      </xdr:spPr>
    </xdr:pic>
    <xdr:clientData/>
  </xdr:twoCellAnchor>
  <xdr:twoCellAnchor editAs="oneCell">
    <xdr:from>
      <xdr:col>32</xdr:col>
      <xdr:colOff>247650</xdr:colOff>
      <xdr:row>91</xdr:row>
      <xdr:rowOff>9526</xdr:rowOff>
    </xdr:from>
    <xdr:to>
      <xdr:col>41</xdr:col>
      <xdr:colOff>56488</xdr:colOff>
      <xdr:row>101</xdr:row>
      <xdr:rowOff>76200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774150" y="17554576"/>
          <a:ext cx="5295238" cy="1971674"/>
        </a:xfrm>
        <a:prstGeom prst="rect">
          <a:avLst/>
        </a:prstGeom>
      </xdr:spPr>
    </xdr:pic>
    <xdr:clientData/>
  </xdr:twoCellAnchor>
  <xdr:twoCellAnchor editAs="oneCell">
    <xdr:from>
      <xdr:col>9</xdr:col>
      <xdr:colOff>214312</xdr:colOff>
      <xdr:row>114</xdr:row>
      <xdr:rowOff>166688</xdr:rowOff>
    </xdr:from>
    <xdr:to>
      <xdr:col>18</xdr:col>
      <xdr:colOff>42198</xdr:colOff>
      <xdr:row>128</xdr:row>
      <xdr:rowOff>152400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20012" y="22093238"/>
          <a:ext cx="5314286" cy="26527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119062</xdr:colOff>
      <xdr:row>6</xdr:row>
      <xdr:rowOff>23812</xdr:rowOff>
    </xdr:from>
    <xdr:to>
      <xdr:col>30</xdr:col>
      <xdr:colOff>95248</xdr:colOff>
      <xdr:row>27</xdr:row>
      <xdr:rowOff>169863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320837" y="1376362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587375</xdr:colOff>
      <xdr:row>6</xdr:row>
      <xdr:rowOff>24279</xdr:rowOff>
    </xdr:from>
    <xdr:to>
      <xdr:col>7</xdr:col>
      <xdr:colOff>301625</xdr:colOff>
      <xdr:row>27</xdr:row>
      <xdr:rowOff>174624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4ABEE8-2B74-4233-9375-474BB9040945}"/>
            </a:ext>
          </a:extLst>
        </xdr:cNvPr>
        <xdr:cNvSpPr txBox="1"/>
      </xdr:nvSpPr>
      <xdr:spPr>
        <a:xfrm>
          <a:off x="587375" y="1376829"/>
          <a:ext cx="5991225" cy="4150845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20</xdr:col>
      <xdr:colOff>600074</xdr:colOff>
      <xdr:row>8</xdr:row>
      <xdr:rowOff>189170</xdr:rowOff>
    </xdr:from>
    <xdr:to>
      <xdr:col>29</xdr:col>
      <xdr:colOff>179923</xdr:colOff>
      <xdr:row>27</xdr:row>
      <xdr:rowOff>58736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0618"/>
        <a:stretch/>
      </xdr:blipFill>
      <xdr:spPr>
        <a:xfrm>
          <a:off x="14801849" y="1922720"/>
          <a:ext cx="5066249" cy="3489066"/>
        </a:xfrm>
        <a:prstGeom prst="rect">
          <a:avLst/>
        </a:prstGeom>
      </xdr:spPr>
    </xdr:pic>
    <xdr:clientData/>
  </xdr:twoCellAnchor>
  <xdr:twoCellAnchor>
    <xdr:from>
      <xdr:col>8</xdr:col>
      <xdr:colOff>293689</xdr:colOff>
      <xdr:row>6</xdr:row>
      <xdr:rowOff>3174</xdr:rowOff>
    </xdr:from>
    <xdr:to>
      <xdr:col>18</xdr:col>
      <xdr:colOff>269875</xdr:colOff>
      <xdr:row>27</xdr:row>
      <xdr:rowOff>149225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135814" y="1352549"/>
          <a:ext cx="60086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846139</xdr:colOff>
      <xdr:row>8</xdr:row>
      <xdr:rowOff>101784</xdr:rowOff>
    </xdr:from>
    <xdr:to>
      <xdr:col>7</xdr:col>
      <xdr:colOff>203200</xdr:colOff>
      <xdr:row>27</xdr:row>
      <xdr:rowOff>138113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139" y="1835334"/>
          <a:ext cx="5634036" cy="3655829"/>
        </a:xfrm>
        <a:prstGeom prst="rect">
          <a:avLst/>
        </a:prstGeom>
      </xdr:spPr>
    </xdr:pic>
    <xdr:clientData/>
  </xdr:twoCellAnchor>
  <xdr:twoCellAnchor>
    <xdr:from>
      <xdr:col>23</xdr:col>
      <xdr:colOff>13495</xdr:colOff>
      <xdr:row>6</xdr:row>
      <xdr:rowOff>147635</xdr:rowOff>
    </xdr:from>
    <xdr:to>
      <xdr:col>28</xdr:col>
      <xdr:colOff>111125</xdr:colOff>
      <xdr:row>9</xdr:row>
      <xdr:rowOff>111124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6044070" y="1500185"/>
          <a:ext cx="3145630" cy="534989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FDMS1,FDMS2,FDMS3,FDMS 4</a:t>
          </a:r>
        </a:p>
      </xdr:txBody>
    </xdr:sp>
    <xdr:clientData/>
  </xdr:twoCellAnchor>
  <xdr:twoCellAnchor>
    <xdr:from>
      <xdr:col>0</xdr:col>
      <xdr:colOff>1884363</xdr:colOff>
      <xdr:row>6</xdr:row>
      <xdr:rowOff>88900</xdr:rowOff>
    </xdr:from>
    <xdr:to>
      <xdr:col>5</xdr:col>
      <xdr:colOff>457200</xdr:colOff>
      <xdr:row>8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1884363" y="1441450"/>
          <a:ext cx="3640137" cy="4445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SC-1(Orange</a:t>
          </a:r>
          <a:r>
            <a:rPr lang="en-IN" sz="1600" baseline="0"/>
            <a:t> ring),SC-01(Pink ring)</a:t>
          </a:r>
          <a:endParaRPr lang="en-IN" sz="1600"/>
        </a:p>
      </xdr:txBody>
    </xdr:sp>
    <xdr:clientData/>
  </xdr:twoCellAnchor>
  <xdr:twoCellAnchor>
    <xdr:from>
      <xdr:col>19</xdr:col>
      <xdr:colOff>457200</xdr:colOff>
      <xdr:row>31</xdr:row>
      <xdr:rowOff>171451</xdr:rowOff>
    </xdr:from>
    <xdr:to>
      <xdr:col>30</xdr:col>
      <xdr:colOff>323850</xdr:colOff>
      <xdr:row>53</xdr:row>
      <xdr:rowOff>107952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049375" y="6286501"/>
          <a:ext cx="6572250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682625</xdr:colOff>
      <xdr:row>31</xdr:row>
      <xdr:rowOff>127000</xdr:rowOff>
    </xdr:from>
    <xdr:to>
      <xdr:col>7</xdr:col>
      <xdr:colOff>452436</xdr:colOff>
      <xdr:row>53</xdr:row>
      <xdr:rowOff>63501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682625" y="6242050"/>
          <a:ext cx="604678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20</xdr:col>
      <xdr:colOff>574676</xdr:colOff>
      <xdr:row>32</xdr:row>
      <xdr:rowOff>55562</xdr:rowOff>
    </xdr:from>
    <xdr:to>
      <xdr:col>29</xdr:col>
      <xdr:colOff>238126</xdr:colOff>
      <xdr:row>34</xdr:row>
      <xdr:rowOff>182562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776451" y="6361112"/>
          <a:ext cx="514985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SC-34,SC-37,SC-39,SC-41,SC-68,SC-55,SC-59</a:t>
          </a:r>
        </a:p>
      </xdr:txBody>
    </xdr:sp>
    <xdr:clientData/>
  </xdr:twoCellAnchor>
  <xdr:twoCellAnchor>
    <xdr:from>
      <xdr:col>9</xdr:col>
      <xdr:colOff>157162</xdr:colOff>
      <xdr:row>2</xdr:row>
      <xdr:rowOff>60325</xdr:rowOff>
    </xdr:from>
    <xdr:to>
      <xdr:col>24</xdr:col>
      <xdr:colOff>544512</xdr:colOff>
      <xdr:row>4</xdr:row>
      <xdr:rowOff>278606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7653337" y="441325"/>
          <a:ext cx="9531350" cy="599281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SPLICE PATTERN PAKHANJORE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BLOCK(ORANGE RING)</a:t>
          </a:r>
        </a:p>
      </xdr:txBody>
    </xdr:sp>
    <xdr:clientData/>
  </xdr:twoCellAnchor>
  <xdr:twoCellAnchor>
    <xdr:from>
      <xdr:col>0</xdr:col>
      <xdr:colOff>178593</xdr:colOff>
      <xdr:row>1</xdr:row>
      <xdr:rowOff>-1</xdr:rowOff>
    </xdr:from>
    <xdr:to>
      <xdr:col>42</xdr:col>
      <xdr:colOff>428624</xdr:colOff>
      <xdr:row>113</xdr:row>
      <xdr:rowOff>142874</xdr:rowOff>
    </xdr:to>
    <xdr:sp macro="" textlink="">
      <xdr:nvSpPr>
        <xdr:cNvPr id="20" name="Rectangle 19"/>
        <xdr:cNvSpPr/>
      </xdr:nvSpPr>
      <xdr:spPr>
        <a:xfrm>
          <a:off x="178593" y="190499"/>
          <a:ext cx="28253531" cy="21693188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746125</xdr:colOff>
      <xdr:row>35</xdr:row>
      <xdr:rowOff>79375</xdr:rowOff>
    </xdr:from>
    <xdr:to>
      <xdr:col>7</xdr:col>
      <xdr:colOff>292099</xdr:colOff>
      <xdr:row>53</xdr:row>
      <xdr:rowOff>31750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125" y="6956425"/>
          <a:ext cx="5822949" cy="3381375"/>
        </a:xfrm>
        <a:prstGeom prst="rect">
          <a:avLst/>
        </a:prstGeom>
      </xdr:spPr>
    </xdr:pic>
    <xdr:clientData/>
  </xdr:twoCellAnchor>
  <xdr:twoCellAnchor editAs="oneCell">
    <xdr:from>
      <xdr:col>20</xdr:col>
      <xdr:colOff>349250</xdr:colOff>
      <xdr:row>35</xdr:row>
      <xdr:rowOff>0</xdr:rowOff>
    </xdr:from>
    <xdr:to>
      <xdr:col>29</xdr:col>
      <xdr:colOff>530225</xdr:colOff>
      <xdr:row>53</xdr:row>
      <xdr:rowOff>479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32000" y="6881813"/>
          <a:ext cx="5753100" cy="3429479"/>
        </a:xfrm>
        <a:prstGeom prst="rect">
          <a:avLst/>
        </a:prstGeom>
      </xdr:spPr>
    </xdr:pic>
    <xdr:clientData/>
  </xdr:twoCellAnchor>
  <xdr:twoCellAnchor>
    <xdr:from>
      <xdr:col>8</xdr:col>
      <xdr:colOff>404813</xdr:colOff>
      <xdr:row>31</xdr:row>
      <xdr:rowOff>142876</xdr:rowOff>
    </xdr:from>
    <xdr:to>
      <xdr:col>18</xdr:col>
      <xdr:colOff>380999</xdr:colOff>
      <xdr:row>53</xdr:row>
      <xdr:rowOff>79377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291388" y="6257926"/>
          <a:ext cx="607218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1381124</xdr:colOff>
      <xdr:row>32</xdr:row>
      <xdr:rowOff>50800</xdr:rowOff>
    </xdr:from>
    <xdr:to>
      <xdr:col>6</xdr:col>
      <xdr:colOff>492124</xdr:colOff>
      <xdr:row>34</xdr:row>
      <xdr:rowOff>177800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381124" y="6356350"/>
          <a:ext cx="47783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SC-4,SC-8,SC-12,SC-14,SC-16,SC-29,SC-54</a:t>
          </a:r>
        </a:p>
      </xdr:txBody>
    </xdr:sp>
    <xdr:clientData/>
  </xdr:twoCellAnchor>
  <xdr:twoCellAnchor>
    <xdr:from>
      <xdr:col>31</xdr:col>
      <xdr:colOff>133350</xdr:colOff>
      <xdr:row>32</xdr:row>
      <xdr:rowOff>0</xdr:rowOff>
    </xdr:from>
    <xdr:to>
      <xdr:col>42</xdr:col>
      <xdr:colOff>19050</xdr:colOff>
      <xdr:row>53</xdr:row>
      <xdr:rowOff>127001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040725" y="6305550"/>
          <a:ext cx="6591300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10</xdr:col>
      <xdr:colOff>125414</xdr:colOff>
      <xdr:row>6</xdr:row>
      <xdr:rowOff>133349</xdr:rowOff>
    </xdr:from>
    <xdr:to>
      <xdr:col>16</xdr:col>
      <xdr:colOff>107951</xdr:colOff>
      <xdr:row>9</xdr:row>
      <xdr:rowOff>6349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8240714" y="1485899"/>
          <a:ext cx="3640137" cy="4445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SC-1(Orange</a:t>
          </a:r>
          <a:r>
            <a:rPr lang="en-IN" sz="1600" baseline="0"/>
            <a:t> ring),SC-1(Pink ring)</a:t>
          </a:r>
          <a:endParaRPr lang="en-IN" sz="1600"/>
        </a:p>
      </xdr:txBody>
    </xdr:sp>
    <xdr:clientData/>
  </xdr:twoCellAnchor>
  <xdr:twoCellAnchor>
    <xdr:from>
      <xdr:col>9</xdr:col>
      <xdr:colOff>219076</xdr:colOff>
      <xdr:row>32</xdr:row>
      <xdr:rowOff>161925</xdr:rowOff>
    </xdr:from>
    <xdr:to>
      <xdr:col>17</xdr:col>
      <xdr:colOff>92076</xdr:colOff>
      <xdr:row>35</xdr:row>
      <xdr:rowOff>98425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791451" y="6472238"/>
          <a:ext cx="48260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SC-4,SC-8,SC-12,SC-14,SC-16,SC-29,SC-54</a:t>
          </a:r>
        </a:p>
      </xdr:txBody>
    </xdr:sp>
    <xdr:clientData/>
  </xdr:twoCellAnchor>
  <xdr:twoCellAnchor>
    <xdr:from>
      <xdr:col>31</xdr:col>
      <xdr:colOff>538163</xdr:colOff>
      <xdr:row>33</xdr:row>
      <xdr:rowOff>19049</xdr:rowOff>
    </xdr:from>
    <xdr:to>
      <xdr:col>40</xdr:col>
      <xdr:colOff>201613</xdr:colOff>
      <xdr:row>35</xdr:row>
      <xdr:rowOff>146049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731288" y="6519862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SC-34,SC-37,SC-39,SC-41,SC-68,SC-55,SC-59</a:t>
          </a:r>
        </a:p>
      </xdr:txBody>
    </xdr:sp>
    <xdr:clientData/>
  </xdr:twoCellAnchor>
  <xdr:twoCellAnchor>
    <xdr:from>
      <xdr:col>0</xdr:col>
      <xdr:colOff>666750</xdr:colOff>
      <xdr:row>55</xdr:row>
      <xdr:rowOff>71438</xdr:rowOff>
    </xdr:from>
    <xdr:to>
      <xdr:col>7</xdr:col>
      <xdr:colOff>436561</xdr:colOff>
      <xdr:row>77</xdr:row>
      <xdr:rowOff>7939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666750" y="10763251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476250</xdr:colOff>
      <xdr:row>55</xdr:row>
      <xdr:rowOff>142875</xdr:rowOff>
    </xdr:from>
    <xdr:to>
      <xdr:col>18</xdr:col>
      <xdr:colOff>388936</xdr:colOff>
      <xdr:row>77</xdr:row>
      <xdr:rowOff>79376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429500" y="10834688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19</xdr:col>
      <xdr:colOff>595313</xdr:colOff>
      <xdr:row>56</xdr:row>
      <xdr:rowOff>0</xdr:rowOff>
    </xdr:from>
    <xdr:to>
      <xdr:col>29</xdr:col>
      <xdr:colOff>507999</xdr:colOff>
      <xdr:row>77</xdr:row>
      <xdr:rowOff>127001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358938" y="10882313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31</xdr:col>
      <xdr:colOff>190500</xdr:colOff>
      <xdr:row>56</xdr:row>
      <xdr:rowOff>0</xdr:rowOff>
    </xdr:from>
    <xdr:to>
      <xdr:col>41</xdr:col>
      <xdr:colOff>103186</xdr:colOff>
      <xdr:row>77</xdr:row>
      <xdr:rowOff>127001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383625" y="10882313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1381125</xdr:colOff>
      <xdr:row>58</xdr:row>
      <xdr:rowOff>47626</xdr:rowOff>
    </xdr:from>
    <xdr:to>
      <xdr:col>6</xdr:col>
      <xdr:colOff>172088</xdr:colOff>
      <xdr:row>76</xdr:row>
      <xdr:rowOff>48105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1125" y="11310939"/>
          <a:ext cx="4505963" cy="3429479"/>
        </a:xfrm>
        <a:prstGeom prst="rect">
          <a:avLst/>
        </a:prstGeom>
      </xdr:spPr>
    </xdr:pic>
    <xdr:clientData/>
  </xdr:twoCellAnchor>
  <xdr:twoCellAnchor>
    <xdr:from>
      <xdr:col>9</xdr:col>
      <xdr:colOff>261938</xdr:colOff>
      <xdr:row>56</xdr:row>
      <xdr:rowOff>71437</xdr:rowOff>
    </xdr:from>
    <xdr:to>
      <xdr:col>17</xdr:col>
      <xdr:colOff>544513</xdr:colOff>
      <xdr:row>59</xdr:row>
      <xdr:rowOff>7937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834313" y="10953750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SC-22</a:t>
          </a:r>
        </a:p>
      </xdr:txBody>
    </xdr:sp>
    <xdr:clientData/>
  </xdr:twoCellAnchor>
  <xdr:twoCellAnchor>
    <xdr:from>
      <xdr:col>0</xdr:col>
      <xdr:colOff>1000125</xdr:colOff>
      <xdr:row>56</xdr:row>
      <xdr:rowOff>1</xdr:rowOff>
    </xdr:from>
    <xdr:to>
      <xdr:col>6</xdr:col>
      <xdr:colOff>520700</xdr:colOff>
      <xdr:row>58</xdr:row>
      <xdr:rowOff>127001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000125" y="10882314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SC-22</a:t>
          </a:r>
        </a:p>
      </xdr:txBody>
    </xdr:sp>
    <xdr:clientData/>
  </xdr:twoCellAnchor>
  <xdr:twoCellAnchor editAs="oneCell">
    <xdr:from>
      <xdr:col>21</xdr:col>
      <xdr:colOff>309563</xdr:colOff>
      <xdr:row>59</xdr:row>
      <xdr:rowOff>95250</xdr:rowOff>
    </xdr:from>
    <xdr:to>
      <xdr:col>28</xdr:col>
      <xdr:colOff>510226</xdr:colOff>
      <xdr:row>77</xdr:row>
      <xdr:rowOff>95729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11438" y="11549063"/>
          <a:ext cx="4534538" cy="3429479"/>
        </a:xfrm>
        <a:prstGeom prst="rect">
          <a:avLst/>
        </a:prstGeom>
      </xdr:spPr>
    </xdr:pic>
    <xdr:clientData/>
  </xdr:twoCellAnchor>
  <xdr:twoCellAnchor>
    <xdr:from>
      <xdr:col>20</xdr:col>
      <xdr:colOff>261938</xdr:colOff>
      <xdr:row>56</xdr:row>
      <xdr:rowOff>95250</xdr:rowOff>
    </xdr:from>
    <xdr:to>
      <xdr:col>28</xdr:col>
      <xdr:colOff>544513</xdr:colOff>
      <xdr:row>59</xdr:row>
      <xdr:rowOff>31750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644688" y="10977563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SC-46</a:t>
          </a:r>
        </a:p>
      </xdr:txBody>
    </xdr:sp>
    <xdr:clientData/>
  </xdr:twoCellAnchor>
  <xdr:twoCellAnchor>
    <xdr:from>
      <xdr:col>31</xdr:col>
      <xdr:colOff>381000</xdr:colOff>
      <xdr:row>57</xdr:row>
      <xdr:rowOff>47625</xdr:rowOff>
    </xdr:from>
    <xdr:to>
      <xdr:col>40</xdr:col>
      <xdr:colOff>44450</xdr:colOff>
      <xdr:row>59</xdr:row>
      <xdr:rowOff>174625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574125" y="11120438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SC-46</a:t>
          </a:r>
        </a:p>
      </xdr:txBody>
    </xdr:sp>
    <xdr:clientData/>
  </xdr:twoCellAnchor>
  <xdr:twoCellAnchor>
    <xdr:from>
      <xdr:col>0</xdr:col>
      <xdr:colOff>666750</xdr:colOff>
      <xdr:row>79</xdr:row>
      <xdr:rowOff>166687</xdr:rowOff>
    </xdr:from>
    <xdr:to>
      <xdr:col>7</xdr:col>
      <xdr:colOff>436561</xdr:colOff>
      <xdr:row>101</xdr:row>
      <xdr:rowOff>103188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666750" y="15430500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547688</xdr:colOff>
      <xdr:row>80</xdr:row>
      <xdr:rowOff>0</xdr:rowOff>
    </xdr:from>
    <xdr:to>
      <xdr:col>18</xdr:col>
      <xdr:colOff>460374</xdr:colOff>
      <xdr:row>101</xdr:row>
      <xdr:rowOff>127001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500938" y="15454313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20</xdr:col>
      <xdr:colOff>47625</xdr:colOff>
      <xdr:row>80</xdr:row>
      <xdr:rowOff>23812</xdr:rowOff>
    </xdr:from>
    <xdr:to>
      <xdr:col>29</xdr:col>
      <xdr:colOff>579436</xdr:colOff>
      <xdr:row>101</xdr:row>
      <xdr:rowOff>150813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430375" y="15478125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31</xdr:col>
      <xdr:colOff>238124</xdr:colOff>
      <xdr:row>80</xdr:row>
      <xdr:rowOff>71438</xdr:rowOff>
    </xdr:from>
    <xdr:to>
      <xdr:col>41</xdr:col>
      <xdr:colOff>150810</xdr:colOff>
      <xdr:row>102</xdr:row>
      <xdr:rowOff>7939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431249" y="15525751"/>
          <a:ext cx="610393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1357312</xdr:colOff>
      <xdr:row>83</xdr:row>
      <xdr:rowOff>47625</xdr:rowOff>
    </xdr:from>
    <xdr:to>
      <xdr:col>6</xdr:col>
      <xdr:colOff>148275</xdr:colOff>
      <xdr:row>101</xdr:row>
      <xdr:rowOff>48104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312" y="16073438"/>
          <a:ext cx="4505963" cy="3429479"/>
        </a:xfrm>
        <a:prstGeom prst="rect">
          <a:avLst/>
        </a:prstGeom>
      </xdr:spPr>
    </xdr:pic>
    <xdr:clientData/>
  </xdr:twoCellAnchor>
  <xdr:twoCellAnchor>
    <xdr:from>
      <xdr:col>0</xdr:col>
      <xdr:colOff>1333500</xdr:colOff>
      <xdr:row>81</xdr:row>
      <xdr:rowOff>23812</xdr:rowOff>
    </xdr:from>
    <xdr:to>
      <xdr:col>7</xdr:col>
      <xdr:colOff>234950</xdr:colOff>
      <xdr:row>83</xdr:row>
      <xdr:rowOff>150812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333500" y="15668625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SC-62</a:t>
          </a:r>
        </a:p>
      </xdr:txBody>
    </xdr:sp>
    <xdr:clientData/>
  </xdr:twoCellAnchor>
  <xdr:twoCellAnchor>
    <xdr:from>
      <xdr:col>9</xdr:col>
      <xdr:colOff>238125</xdr:colOff>
      <xdr:row>80</xdr:row>
      <xdr:rowOff>142875</xdr:rowOff>
    </xdr:from>
    <xdr:to>
      <xdr:col>17</xdr:col>
      <xdr:colOff>520700</xdr:colOff>
      <xdr:row>83</xdr:row>
      <xdr:rowOff>79375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810500" y="15597188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SC-62</a:t>
          </a:r>
        </a:p>
      </xdr:txBody>
    </xdr:sp>
    <xdr:clientData/>
  </xdr:twoCellAnchor>
  <xdr:twoCellAnchor>
    <xdr:from>
      <xdr:col>20</xdr:col>
      <xdr:colOff>333375</xdr:colOff>
      <xdr:row>80</xdr:row>
      <xdr:rowOff>142875</xdr:rowOff>
    </xdr:from>
    <xdr:to>
      <xdr:col>28</xdr:col>
      <xdr:colOff>615950</xdr:colOff>
      <xdr:row>83</xdr:row>
      <xdr:rowOff>79375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716125" y="15597188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SC-63</a:t>
          </a:r>
        </a:p>
      </xdr:txBody>
    </xdr:sp>
    <xdr:clientData/>
  </xdr:twoCellAnchor>
  <xdr:twoCellAnchor>
    <xdr:from>
      <xdr:col>31</xdr:col>
      <xdr:colOff>523874</xdr:colOff>
      <xdr:row>81</xdr:row>
      <xdr:rowOff>1</xdr:rowOff>
    </xdr:from>
    <xdr:to>
      <xdr:col>40</xdr:col>
      <xdr:colOff>187324</xdr:colOff>
      <xdr:row>83</xdr:row>
      <xdr:rowOff>127001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716999" y="15644814"/>
          <a:ext cx="52355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SC-63</a:t>
          </a:r>
        </a:p>
      </xdr:txBody>
    </xdr:sp>
    <xdr:clientData/>
  </xdr:twoCellAnchor>
  <xdr:twoCellAnchor editAs="oneCell">
    <xdr:from>
      <xdr:col>21</xdr:col>
      <xdr:colOff>166687</xdr:colOff>
      <xdr:row>84</xdr:row>
      <xdr:rowOff>0</xdr:rowOff>
    </xdr:from>
    <xdr:to>
      <xdr:col>28</xdr:col>
      <xdr:colOff>219713</xdr:colOff>
      <xdr:row>101</xdr:row>
      <xdr:rowOff>51676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68562" y="16216313"/>
          <a:ext cx="4386901" cy="3290176"/>
        </a:xfrm>
        <a:prstGeom prst="rect">
          <a:avLst/>
        </a:prstGeom>
      </xdr:spPr>
    </xdr:pic>
    <xdr:clientData/>
  </xdr:twoCellAnchor>
  <xdr:twoCellAnchor editAs="oneCell">
    <xdr:from>
      <xdr:col>9</xdr:col>
      <xdr:colOff>15876</xdr:colOff>
      <xdr:row>11</xdr:row>
      <xdr:rowOff>19048</xdr:rowOff>
    </xdr:from>
    <xdr:to>
      <xdr:col>17</xdr:col>
      <xdr:colOff>396209</xdr:colOff>
      <xdr:row>25</xdr:row>
      <xdr:rowOff>142873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88251" y="2328861"/>
          <a:ext cx="5333333" cy="2790825"/>
        </a:xfrm>
        <a:prstGeom prst="rect">
          <a:avLst/>
        </a:prstGeom>
      </xdr:spPr>
    </xdr:pic>
    <xdr:clientData/>
  </xdr:twoCellAnchor>
  <xdr:twoCellAnchor editAs="oneCell">
    <xdr:from>
      <xdr:col>9</xdr:col>
      <xdr:colOff>195263</xdr:colOff>
      <xdr:row>36</xdr:row>
      <xdr:rowOff>185738</xdr:rowOff>
    </xdr:from>
    <xdr:to>
      <xdr:col>17</xdr:col>
      <xdr:colOff>594644</xdr:colOff>
      <xdr:row>51</xdr:row>
      <xdr:rowOff>42524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7638" y="7258051"/>
          <a:ext cx="5352381" cy="2714286"/>
        </a:xfrm>
        <a:prstGeom prst="rect">
          <a:avLst/>
        </a:prstGeom>
      </xdr:spPr>
    </xdr:pic>
    <xdr:clientData/>
  </xdr:twoCellAnchor>
  <xdr:twoCellAnchor editAs="oneCell">
    <xdr:from>
      <xdr:col>31</xdr:col>
      <xdr:colOff>561975</xdr:colOff>
      <xdr:row>36</xdr:row>
      <xdr:rowOff>185737</xdr:rowOff>
    </xdr:from>
    <xdr:to>
      <xdr:col>40</xdr:col>
      <xdr:colOff>266040</xdr:colOff>
      <xdr:row>52</xdr:row>
      <xdr:rowOff>142874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755100" y="7258050"/>
          <a:ext cx="5276190" cy="3005137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61</xdr:row>
      <xdr:rowOff>23812</xdr:rowOff>
    </xdr:from>
    <xdr:to>
      <xdr:col>18</xdr:col>
      <xdr:colOff>46946</xdr:colOff>
      <xdr:row>77</xdr:row>
      <xdr:rowOff>47624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62875" y="11858625"/>
          <a:ext cx="5428571" cy="3071812"/>
        </a:xfrm>
        <a:prstGeom prst="rect">
          <a:avLst/>
        </a:prstGeom>
      </xdr:spPr>
    </xdr:pic>
    <xdr:clientData/>
  </xdr:twoCellAnchor>
  <xdr:twoCellAnchor editAs="oneCell">
    <xdr:from>
      <xdr:col>31</xdr:col>
      <xdr:colOff>428625</xdr:colOff>
      <xdr:row>61</xdr:row>
      <xdr:rowOff>119063</xdr:rowOff>
    </xdr:from>
    <xdr:to>
      <xdr:col>40</xdr:col>
      <xdr:colOff>227927</xdr:colOff>
      <xdr:row>75</xdr:row>
      <xdr:rowOff>142874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21750" y="11953876"/>
          <a:ext cx="5371427" cy="2690811"/>
        </a:xfrm>
        <a:prstGeom prst="rect">
          <a:avLst/>
        </a:prstGeom>
      </xdr:spPr>
    </xdr:pic>
    <xdr:clientData/>
  </xdr:twoCellAnchor>
  <xdr:twoCellAnchor editAs="oneCell">
    <xdr:from>
      <xdr:col>9</xdr:col>
      <xdr:colOff>261938</xdr:colOff>
      <xdr:row>85</xdr:row>
      <xdr:rowOff>71437</xdr:rowOff>
    </xdr:from>
    <xdr:to>
      <xdr:col>18</xdr:col>
      <xdr:colOff>23146</xdr:colOff>
      <xdr:row>98</xdr:row>
      <xdr:rowOff>71436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34313" y="16478250"/>
          <a:ext cx="5333333" cy="2476499"/>
        </a:xfrm>
        <a:prstGeom prst="rect">
          <a:avLst/>
        </a:prstGeom>
      </xdr:spPr>
    </xdr:pic>
    <xdr:clientData/>
  </xdr:twoCellAnchor>
  <xdr:twoCellAnchor editAs="oneCell">
    <xdr:from>
      <xdr:col>31</xdr:col>
      <xdr:colOff>571499</xdr:colOff>
      <xdr:row>85</xdr:row>
      <xdr:rowOff>142876</xdr:rowOff>
    </xdr:from>
    <xdr:to>
      <xdr:col>40</xdr:col>
      <xdr:colOff>437469</xdr:colOff>
      <xdr:row>98</xdr:row>
      <xdr:rowOff>142874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764624" y="16549689"/>
          <a:ext cx="5438095" cy="24764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119062</xdr:colOff>
      <xdr:row>6</xdr:row>
      <xdr:rowOff>23812</xdr:rowOff>
    </xdr:from>
    <xdr:to>
      <xdr:col>30</xdr:col>
      <xdr:colOff>95248</xdr:colOff>
      <xdr:row>27</xdr:row>
      <xdr:rowOff>169863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320837" y="1376362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587375</xdr:colOff>
      <xdr:row>6</xdr:row>
      <xdr:rowOff>24279</xdr:rowOff>
    </xdr:from>
    <xdr:to>
      <xdr:col>7</xdr:col>
      <xdr:colOff>301625</xdr:colOff>
      <xdr:row>27</xdr:row>
      <xdr:rowOff>174624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4ABEE8-2B74-4233-9375-474BB9040945}"/>
            </a:ext>
          </a:extLst>
        </xdr:cNvPr>
        <xdr:cNvSpPr txBox="1"/>
      </xdr:nvSpPr>
      <xdr:spPr>
        <a:xfrm>
          <a:off x="587375" y="1376829"/>
          <a:ext cx="5991225" cy="4150845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20</xdr:col>
      <xdr:colOff>600074</xdr:colOff>
      <xdr:row>8</xdr:row>
      <xdr:rowOff>189170</xdr:rowOff>
    </xdr:from>
    <xdr:to>
      <xdr:col>29</xdr:col>
      <xdr:colOff>179923</xdr:colOff>
      <xdr:row>27</xdr:row>
      <xdr:rowOff>58736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0618"/>
        <a:stretch/>
      </xdr:blipFill>
      <xdr:spPr>
        <a:xfrm>
          <a:off x="14801849" y="1922720"/>
          <a:ext cx="5066249" cy="3489066"/>
        </a:xfrm>
        <a:prstGeom prst="rect">
          <a:avLst/>
        </a:prstGeom>
      </xdr:spPr>
    </xdr:pic>
    <xdr:clientData/>
  </xdr:twoCellAnchor>
  <xdr:twoCellAnchor>
    <xdr:from>
      <xdr:col>8</xdr:col>
      <xdr:colOff>373064</xdr:colOff>
      <xdr:row>6</xdr:row>
      <xdr:rowOff>50799</xdr:rowOff>
    </xdr:from>
    <xdr:to>
      <xdr:col>18</xdr:col>
      <xdr:colOff>349250</xdr:colOff>
      <xdr:row>28</xdr:row>
      <xdr:rowOff>6350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259639" y="1403349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846139</xdr:colOff>
      <xdr:row>8</xdr:row>
      <xdr:rowOff>101784</xdr:rowOff>
    </xdr:from>
    <xdr:to>
      <xdr:col>7</xdr:col>
      <xdr:colOff>203200</xdr:colOff>
      <xdr:row>27</xdr:row>
      <xdr:rowOff>138113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139" y="1835334"/>
          <a:ext cx="5634036" cy="3655829"/>
        </a:xfrm>
        <a:prstGeom prst="rect">
          <a:avLst/>
        </a:prstGeom>
      </xdr:spPr>
    </xdr:pic>
    <xdr:clientData/>
  </xdr:twoCellAnchor>
  <xdr:twoCellAnchor>
    <xdr:from>
      <xdr:col>21</xdr:col>
      <xdr:colOff>381000</xdr:colOff>
      <xdr:row>6</xdr:row>
      <xdr:rowOff>147635</xdr:rowOff>
    </xdr:from>
    <xdr:to>
      <xdr:col>29</xdr:col>
      <xdr:colOff>539749</xdr:colOff>
      <xdr:row>9</xdr:row>
      <xdr:rowOff>111124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5065375" y="1497010"/>
          <a:ext cx="4984749" cy="534989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FDMS1,FDMS2,FDMS3,FDMS 4,FDMS 5,FDMS 6</a:t>
          </a:r>
        </a:p>
      </xdr:txBody>
    </xdr:sp>
    <xdr:clientData/>
  </xdr:twoCellAnchor>
  <xdr:twoCellAnchor>
    <xdr:from>
      <xdr:col>0</xdr:col>
      <xdr:colOff>2379663</xdr:colOff>
      <xdr:row>6</xdr:row>
      <xdr:rowOff>88900</xdr:rowOff>
    </xdr:from>
    <xdr:to>
      <xdr:col>5</xdr:col>
      <xdr:colOff>323850</xdr:colOff>
      <xdr:row>8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2379663" y="1441450"/>
          <a:ext cx="3001962" cy="4254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SC-1(Pink</a:t>
          </a:r>
          <a:r>
            <a:rPr lang="en-IN" sz="1600" baseline="0"/>
            <a:t> ring),SC-1(Brown ring)</a:t>
          </a:r>
          <a:endParaRPr lang="en-IN" sz="1600"/>
        </a:p>
      </xdr:txBody>
    </xdr:sp>
    <xdr:clientData/>
  </xdr:twoCellAnchor>
  <xdr:twoCellAnchor>
    <xdr:from>
      <xdr:col>0</xdr:col>
      <xdr:colOff>682625</xdr:colOff>
      <xdr:row>31</xdr:row>
      <xdr:rowOff>127000</xdr:rowOff>
    </xdr:from>
    <xdr:to>
      <xdr:col>7</xdr:col>
      <xdr:colOff>452436</xdr:colOff>
      <xdr:row>53</xdr:row>
      <xdr:rowOff>63501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682625" y="6242050"/>
          <a:ext cx="604678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9</xdr:col>
      <xdr:colOff>157162</xdr:colOff>
      <xdr:row>2</xdr:row>
      <xdr:rowOff>60325</xdr:rowOff>
    </xdr:from>
    <xdr:to>
      <xdr:col>24</xdr:col>
      <xdr:colOff>544512</xdr:colOff>
      <xdr:row>4</xdr:row>
      <xdr:rowOff>278606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7653337" y="441325"/>
          <a:ext cx="9531350" cy="599281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SPLICE PATTERN PAKHANJORE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BLOCK(PINK RING)</a:t>
          </a:r>
        </a:p>
      </xdr:txBody>
    </xdr:sp>
    <xdr:clientData/>
  </xdr:twoCellAnchor>
  <xdr:twoCellAnchor>
    <xdr:from>
      <xdr:col>0</xdr:col>
      <xdr:colOff>178593</xdr:colOff>
      <xdr:row>1</xdr:row>
      <xdr:rowOff>-1</xdr:rowOff>
    </xdr:from>
    <xdr:to>
      <xdr:col>42</xdr:col>
      <xdr:colOff>428624</xdr:colOff>
      <xdr:row>80</xdr:row>
      <xdr:rowOff>133350</xdr:rowOff>
    </xdr:to>
    <xdr:sp macro="" textlink="">
      <xdr:nvSpPr>
        <xdr:cNvPr id="20" name="Rectangle 19"/>
        <xdr:cNvSpPr/>
      </xdr:nvSpPr>
      <xdr:spPr>
        <a:xfrm>
          <a:off x="178593" y="190499"/>
          <a:ext cx="27872531" cy="15392401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746125</xdr:colOff>
      <xdr:row>35</xdr:row>
      <xdr:rowOff>79375</xdr:rowOff>
    </xdr:from>
    <xdr:to>
      <xdr:col>7</xdr:col>
      <xdr:colOff>292099</xdr:colOff>
      <xdr:row>53</xdr:row>
      <xdr:rowOff>31750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125" y="6956425"/>
          <a:ext cx="5822949" cy="3381375"/>
        </a:xfrm>
        <a:prstGeom prst="rect">
          <a:avLst/>
        </a:prstGeom>
      </xdr:spPr>
    </xdr:pic>
    <xdr:clientData/>
  </xdr:twoCellAnchor>
  <xdr:twoCellAnchor>
    <xdr:from>
      <xdr:col>8</xdr:col>
      <xdr:colOff>404813</xdr:colOff>
      <xdr:row>31</xdr:row>
      <xdr:rowOff>142876</xdr:rowOff>
    </xdr:from>
    <xdr:to>
      <xdr:col>18</xdr:col>
      <xdr:colOff>380999</xdr:colOff>
      <xdr:row>54</xdr:row>
      <xdr:rowOff>114300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300913" y="6257926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1381124</xdr:colOff>
      <xdr:row>32</xdr:row>
      <xdr:rowOff>50800</xdr:rowOff>
    </xdr:from>
    <xdr:to>
      <xdr:col>6</xdr:col>
      <xdr:colOff>492124</xdr:colOff>
      <xdr:row>34</xdr:row>
      <xdr:rowOff>177800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381124" y="6356350"/>
          <a:ext cx="47783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SC-4,SC-8,SC-18,SC-21,SC-23,SC-42,SC-50,SC-55,SC-58</a:t>
          </a:r>
        </a:p>
      </xdr:txBody>
    </xdr:sp>
    <xdr:clientData/>
  </xdr:twoCellAnchor>
  <xdr:twoCellAnchor>
    <xdr:from>
      <xdr:col>10</xdr:col>
      <xdr:colOff>544514</xdr:colOff>
      <xdr:row>7</xdr:row>
      <xdr:rowOff>22223</xdr:rowOff>
    </xdr:from>
    <xdr:to>
      <xdr:col>15</xdr:col>
      <xdr:colOff>488951</xdr:colOff>
      <xdr:row>9</xdr:row>
      <xdr:rowOff>66673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8736014" y="1570036"/>
          <a:ext cx="3040062" cy="4254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SC-1(Pink</a:t>
          </a:r>
          <a:r>
            <a:rPr lang="en-IN" sz="1600" baseline="0"/>
            <a:t> ring),SC-1(Brown ring)</a:t>
          </a:r>
          <a:endParaRPr lang="en-IN" sz="1600"/>
        </a:p>
      </xdr:txBody>
    </xdr:sp>
    <xdr:clientData/>
  </xdr:twoCellAnchor>
  <xdr:twoCellAnchor>
    <xdr:from>
      <xdr:col>9</xdr:col>
      <xdr:colOff>404813</xdr:colOff>
      <xdr:row>32</xdr:row>
      <xdr:rowOff>104776</xdr:rowOff>
    </xdr:from>
    <xdr:to>
      <xdr:col>17</xdr:col>
      <xdr:colOff>315913</xdr:colOff>
      <xdr:row>35</xdr:row>
      <xdr:rowOff>41276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910513" y="6410326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SC-4,SC-8,SC-18,SC-21,SC-23,SC-42,SC-50,SC-55,SC-58</a:t>
          </a:r>
        </a:p>
      </xdr:txBody>
    </xdr:sp>
    <xdr:clientData/>
  </xdr:twoCellAnchor>
  <xdr:twoCellAnchor>
    <xdr:from>
      <xdr:col>20</xdr:col>
      <xdr:colOff>209550</xdr:colOff>
      <xdr:row>31</xdr:row>
      <xdr:rowOff>133350</xdr:rowOff>
    </xdr:from>
    <xdr:to>
      <xdr:col>30</xdr:col>
      <xdr:colOff>185736</xdr:colOff>
      <xdr:row>54</xdr:row>
      <xdr:rowOff>104774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420850" y="624840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32</xdr:col>
      <xdr:colOff>38100</xdr:colOff>
      <xdr:row>31</xdr:row>
      <xdr:rowOff>133350</xdr:rowOff>
    </xdr:from>
    <xdr:to>
      <xdr:col>42</xdr:col>
      <xdr:colOff>14286</xdr:colOff>
      <xdr:row>54</xdr:row>
      <xdr:rowOff>104774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564600" y="624840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20</xdr:col>
      <xdr:colOff>476250</xdr:colOff>
      <xdr:row>35</xdr:row>
      <xdr:rowOff>114300</xdr:rowOff>
    </xdr:from>
    <xdr:to>
      <xdr:col>30</xdr:col>
      <xdr:colOff>133350</xdr:colOff>
      <xdr:row>53</xdr:row>
      <xdr:rowOff>114779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87550" y="6991350"/>
          <a:ext cx="5753100" cy="3429479"/>
        </a:xfrm>
        <a:prstGeom prst="rect">
          <a:avLst/>
        </a:prstGeom>
      </xdr:spPr>
    </xdr:pic>
    <xdr:clientData/>
  </xdr:twoCellAnchor>
  <xdr:twoCellAnchor>
    <xdr:from>
      <xdr:col>21</xdr:col>
      <xdr:colOff>152400</xdr:colOff>
      <xdr:row>32</xdr:row>
      <xdr:rowOff>0</xdr:rowOff>
    </xdr:from>
    <xdr:to>
      <xdr:col>29</xdr:col>
      <xdr:colOff>63500</xdr:colOff>
      <xdr:row>34</xdr:row>
      <xdr:rowOff>127000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973300" y="630555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SC-28,SC-31,SC-33,SC-39,SC-62,SC-64,SC-67</a:t>
          </a:r>
        </a:p>
      </xdr:txBody>
    </xdr:sp>
    <xdr:clientData/>
  </xdr:twoCellAnchor>
  <xdr:twoCellAnchor>
    <xdr:from>
      <xdr:col>32</xdr:col>
      <xdr:colOff>285750</xdr:colOff>
      <xdr:row>32</xdr:row>
      <xdr:rowOff>76200</xdr:rowOff>
    </xdr:from>
    <xdr:to>
      <xdr:col>40</xdr:col>
      <xdr:colOff>196850</xdr:colOff>
      <xdr:row>35</xdr:row>
      <xdr:rowOff>12700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812250" y="638175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SC-28,SC-31,SC-33,SC-39,SC-62,SC-64,SC-67</a:t>
          </a:r>
        </a:p>
      </xdr:txBody>
    </xdr:sp>
    <xdr:clientData/>
  </xdr:twoCellAnchor>
  <xdr:twoCellAnchor>
    <xdr:from>
      <xdr:col>0</xdr:col>
      <xdr:colOff>781050</xdr:colOff>
      <xdr:row>55</xdr:row>
      <xdr:rowOff>171450</xdr:rowOff>
    </xdr:from>
    <xdr:to>
      <xdr:col>7</xdr:col>
      <xdr:colOff>566736</xdr:colOff>
      <xdr:row>78</xdr:row>
      <xdr:rowOff>142874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81050" y="1085850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438150</xdr:colOff>
      <xdr:row>55</xdr:row>
      <xdr:rowOff>152400</xdr:rowOff>
    </xdr:from>
    <xdr:to>
      <xdr:col>18</xdr:col>
      <xdr:colOff>414336</xdr:colOff>
      <xdr:row>78</xdr:row>
      <xdr:rowOff>123824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334250" y="1083945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1619250</xdr:colOff>
      <xdr:row>60</xdr:row>
      <xdr:rowOff>76200</xdr:rowOff>
    </xdr:from>
    <xdr:to>
      <xdr:col>6</xdr:col>
      <xdr:colOff>476888</xdr:colOff>
      <xdr:row>78</xdr:row>
      <xdr:rowOff>76679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50" y="11715750"/>
          <a:ext cx="4534538" cy="3429479"/>
        </a:xfrm>
        <a:prstGeom prst="rect">
          <a:avLst/>
        </a:prstGeom>
      </xdr:spPr>
    </xdr:pic>
    <xdr:clientData/>
  </xdr:twoCellAnchor>
  <xdr:twoCellAnchor>
    <xdr:from>
      <xdr:col>0</xdr:col>
      <xdr:colOff>1238250</xdr:colOff>
      <xdr:row>56</xdr:row>
      <xdr:rowOff>76200</xdr:rowOff>
    </xdr:from>
    <xdr:to>
      <xdr:col>6</xdr:col>
      <xdr:colOff>349250</xdr:colOff>
      <xdr:row>59</xdr:row>
      <xdr:rowOff>12700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238250" y="1095375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SC-13</a:t>
          </a:r>
        </a:p>
      </xdr:txBody>
    </xdr:sp>
    <xdr:clientData/>
  </xdr:twoCellAnchor>
  <xdr:twoCellAnchor>
    <xdr:from>
      <xdr:col>9</xdr:col>
      <xdr:colOff>304800</xdr:colOff>
      <xdr:row>56</xdr:row>
      <xdr:rowOff>76200</xdr:rowOff>
    </xdr:from>
    <xdr:to>
      <xdr:col>17</xdr:col>
      <xdr:colOff>215900</xdr:colOff>
      <xdr:row>59</xdr:row>
      <xdr:rowOff>12700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810500" y="1095375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SC-13</a:t>
          </a:r>
        </a:p>
      </xdr:txBody>
    </xdr:sp>
    <xdr:clientData/>
  </xdr:twoCellAnchor>
  <xdr:twoCellAnchor editAs="oneCell">
    <xdr:from>
      <xdr:col>9</xdr:col>
      <xdr:colOff>92077</xdr:colOff>
      <xdr:row>11</xdr:row>
      <xdr:rowOff>165098</xdr:rowOff>
    </xdr:from>
    <xdr:to>
      <xdr:col>17</xdr:col>
      <xdr:colOff>500982</xdr:colOff>
      <xdr:row>26</xdr:row>
      <xdr:rowOff>166687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64452" y="2474911"/>
          <a:ext cx="5361905" cy="2859089"/>
        </a:xfrm>
        <a:prstGeom prst="rect">
          <a:avLst/>
        </a:prstGeom>
      </xdr:spPr>
    </xdr:pic>
    <xdr:clientData/>
  </xdr:twoCellAnchor>
  <xdr:twoCellAnchor editAs="oneCell">
    <xdr:from>
      <xdr:col>9</xdr:col>
      <xdr:colOff>109538</xdr:colOff>
      <xdr:row>35</xdr:row>
      <xdr:rowOff>138113</xdr:rowOff>
    </xdr:from>
    <xdr:to>
      <xdr:col>17</xdr:col>
      <xdr:colOff>432728</xdr:colOff>
      <xdr:row>53</xdr:row>
      <xdr:rowOff>61494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81913" y="7019926"/>
          <a:ext cx="5276190" cy="3352381"/>
        </a:xfrm>
        <a:prstGeom prst="rect">
          <a:avLst/>
        </a:prstGeom>
      </xdr:spPr>
    </xdr:pic>
    <xdr:clientData/>
  </xdr:twoCellAnchor>
  <xdr:twoCellAnchor editAs="oneCell">
    <xdr:from>
      <xdr:col>32</xdr:col>
      <xdr:colOff>442913</xdr:colOff>
      <xdr:row>36</xdr:row>
      <xdr:rowOff>176212</xdr:rowOff>
    </xdr:from>
    <xdr:to>
      <xdr:col>41</xdr:col>
      <xdr:colOff>137455</xdr:colOff>
      <xdr:row>51</xdr:row>
      <xdr:rowOff>32998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255163" y="7248525"/>
          <a:ext cx="5266667" cy="2714286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62</xdr:row>
      <xdr:rowOff>171449</xdr:rowOff>
    </xdr:from>
    <xdr:to>
      <xdr:col>18</xdr:col>
      <xdr:colOff>218363</xdr:colOff>
      <xdr:row>75</xdr:row>
      <xdr:rowOff>119062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67625" y="12196762"/>
          <a:ext cx="5695238" cy="24241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119062</xdr:colOff>
      <xdr:row>6</xdr:row>
      <xdr:rowOff>23812</xdr:rowOff>
    </xdr:from>
    <xdr:to>
      <xdr:col>30</xdr:col>
      <xdr:colOff>95248</xdr:colOff>
      <xdr:row>27</xdr:row>
      <xdr:rowOff>169863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320837" y="1376362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587375</xdr:colOff>
      <xdr:row>6</xdr:row>
      <xdr:rowOff>24279</xdr:rowOff>
    </xdr:from>
    <xdr:to>
      <xdr:col>7</xdr:col>
      <xdr:colOff>301625</xdr:colOff>
      <xdr:row>27</xdr:row>
      <xdr:rowOff>174624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4ABEE8-2B74-4233-9375-474BB9040945}"/>
            </a:ext>
          </a:extLst>
        </xdr:cNvPr>
        <xdr:cNvSpPr txBox="1"/>
      </xdr:nvSpPr>
      <xdr:spPr>
        <a:xfrm>
          <a:off x="587375" y="1376829"/>
          <a:ext cx="5991225" cy="4150845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20</xdr:col>
      <xdr:colOff>600074</xdr:colOff>
      <xdr:row>8</xdr:row>
      <xdr:rowOff>189170</xdr:rowOff>
    </xdr:from>
    <xdr:to>
      <xdr:col>29</xdr:col>
      <xdr:colOff>179923</xdr:colOff>
      <xdr:row>27</xdr:row>
      <xdr:rowOff>58736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0618"/>
        <a:stretch/>
      </xdr:blipFill>
      <xdr:spPr>
        <a:xfrm>
          <a:off x="14801849" y="1922720"/>
          <a:ext cx="5066249" cy="3489066"/>
        </a:xfrm>
        <a:prstGeom prst="rect">
          <a:avLst/>
        </a:prstGeom>
      </xdr:spPr>
    </xdr:pic>
    <xdr:clientData/>
  </xdr:twoCellAnchor>
  <xdr:twoCellAnchor>
    <xdr:from>
      <xdr:col>8</xdr:col>
      <xdr:colOff>373064</xdr:colOff>
      <xdr:row>6</xdr:row>
      <xdr:rowOff>50799</xdr:rowOff>
    </xdr:from>
    <xdr:to>
      <xdr:col>18</xdr:col>
      <xdr:colOff>349250</xdr:colOff>
      <xdr:row>28</xdr:row>
      <xdr:rowOff>6350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259639" y="1403349"/>
          <a:ext cx="6072186" cy="414655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846139</xdr:colOff>
      <xdr:row>8</xdr:row>
      <xdr:rowOff>101784</xdr:rowOff>
    </xdr:from>
    <xdr:to>
      <xdr:col>7</xdr:col>
      <xdr:colOff>203200</xdr:colOff>
      <xdr:row>27</xdr:row>
      <xdr:rowOff>138113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139" y="1835334"/>
          <a:ext cx="5634036" cy="3655829"/>
        </a:xfrm>
        <a:prstGeom prst="rect">
          <a:avLst/>
        </a:prstGeom>
      </xdr:spPr>
    </xdr:pic>
    <xdr:clientData/>
  </xdr:twoCellAnchor>
  <xdr:twoCellAnchor>
    <xdr:from>
      <xdr:col>21</xdr:col>
      <xdr:colOff>381000</xdr:colOff>
      <xdr:row>6</xdr:row>
      <xdr:rowOff>147635</xdr:rowOff>
    </xdr:from>
    <xdr:to>
      <xdr:col>29</xdr:col>
      <xdr:colOff>539749</xdr:colOff>
      <xdr:row>9</xdr:row>
      <xdr:rowOff>111124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5192375" y="1500185"/>
          <a:ext cx="5035549" cy="534989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FDMS1,FDMS2,FDMS3,FDMS 4,FDMS 5,FDMS 6</a:t>
          </a:r>
        </a:p>
      </xdr:txBody>
    </xdr:sp>
    <xdr:clientData/>
  </xdr:twoCellAnchor>
  <xdr:twoCellAnchor>
    <xdr:from>
      <xdr:col>0</xdr:col>
      <xdr:colOff>2379663</xdr:colOff>
      <xdr:row>6</xdr:row>
      <xdr:rowOff>88900</xdr:rowOff>
    </xdr:from>
    <xdr:to>
      <xdr:col>5</xdr:col>
      <xdr:colOff>323850</xdr:colOff>
      <xdr:row>8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2379663" y="1441450"/>
          <a:ext cx="3001962" cy="4254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aseline="0"/>
            <a:t>SC-1(Brown ring)</a:t>
          </a:r>
          <a:endParaRPr lang="en-IN" sz="1600"/>
        </a:p>
      </xdr:txBody>
    </xdr:sp>
    <xdr:clientData/>
  </xdr:twoCellAnchor>
  <xdr:twoCellAnchor>
    <xdr:from>
      <xdr:col>0</xdr:col>
      <xdr:colOff>682625</xdr:colOff>
      <xdr:row>31</xdr:row>
      <xdr:rowOff>127000</xdr:rowOff>
    </xdr:from>
    <xdr:to>
      <xdr:col>7</xdr:col>
      <xdr:colOff>452436</xdr:colOff>
      <xdr:row>53</xdr:row>
      <xdr:rowOff>63501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682625" y="6242050"/>
          <a:ext cx="6046786" cy="4127501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9</xdr:col>
      <xdr:colOff>157162</xdr:colOff>
      <xdr:row>2</xdr:row>
      <xdr:rowOff>60325</xdr:rowOff>
    </xdr:from>
    <xdr:to>
      <xdr:col>24</xdr:col>
      <xdr:colOff>544512</xdr:colOff>
      <xdr:row>4</xdr:row>
      <xdr:rowOff>278606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7653337" y="441325"/>
          <a:ext cx="9531350" cy="599281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SPLICE PATTERN PAKHANJORE</a:t>
          </a:r>
          <a:r>
            <a:rPr lang="en-US" sz="3200" b="1" baseline="0">
              <a:solidFill>
                <a:schemeClr val="tx1"/>
              </a:solidFill>
            </a:rPr>
            <a:t>  </a:t>
          </a:r>
          <a:r>
            <a:rPr lang="en-US" sz="3200" b="1">
              <a:solidFill>
                <a:schemeClr val="tx1"/>
              </a:solidFill>
            </a:rPr>
            <a:t>BLOCK(BROWN RING)</a:t>
          </a:r>
        </a:p>
      </xdr:txBody>
    </xdr:sp>
    <xdr:clientData/>
  </xdr:twoCellAnchor>
  <xdr:twoCellAnchor>
    <xdr:from>
      <xdr:col>0</xdr:col>
      <xdr:colOff>178593</xdr:colOff>
      <xdr:row>1</xdr:row>
      <xdr:rowOff>-1</xdr:rowOff>
    </xdr:from>
    <xdr:to>
      <xdr:col>42</xdr:col>
      <xdr:colOff>428624</xdr:colOff>
      <xdr:row>80</xdr:row>
      <xdr:rowOff>133350</xdr:rowOff>
    </xdr:to>
    <xdr:sp macro="" textlink="">
      <xdr:nvSpPr>
        <xdr:cNvPr id="11" name="Rectangle 10"/>
        <xdr:cNvSpPr/>
      </xdr:nvSpPr>
      <xdr:spPr>
        <a:xfrm>
          <a:off x="178593" y="190499"/>
          <a:ext cx="27863006" cy="15392401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404813</xdr:colOff>
      <xdr:row>31</xdr:row>
      <xdr:rowOff>142876</xdr:rowOff>
    </xdr:from>
    <xdr:to>
      <xdr:col>18</xdr:col>
      <xdr:colOff>380999</xdr:colOff>
      <xdr:row>54</xdr:row>
      <xdr:rowOff>114300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291388" y="6257926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1381124</xdr:colOff>
      <xdr:row>32</xdr:row>
      <xdr:rowOff>50800</xdr:rowOff>
    </xdr:from>
    <xdr:to>
      <xdr:col>6</xdr:col>
      <xdr:colOff>492124</xdr:colOff>
      <xdr:row>34</xdr:row>
      <xdr:rowOff>177800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381124" y="6356350"/>
          <a:ext cx="47783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SC-14,SC-16,SC-30,SC-36,SC-38,SC-45,SC-48,SC-74</a:t>
          </a:r>
        </a:p>
      </xdr:txBody>
    </xdr:sp>
    <xdr:clientData/>
  </xdr:twoCellAnchor>
  <xdr:twoCellAnchor>
    <xdr:from>
      <xdr:col>10</xdr:col>
      <xdr:colOff>544514</xdr:colOff>
      <xdr:row>7</xdr:row>
      <xdr:rowOff>22223</xdr:rowOff>
    </xdr:from>
    <xdr:to>
      <xdr:col>15</xdr:col>
      <xdr:colOff>488951</xdr:colOff>
      <xdr:row>9</xdr:row>
      <xdr:rowOff>66673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25C08B-912B-40BF-BA4E-1CFFE022956C}"/>
            </a:ext>
          </a:extLst>
        </xdr:cNvPr>
        <xdr:cNvSpPr txBox="1"/>
      </xdr:nvSpPr>
      <xdr:spPr>
        <a:xfrm>
          <a:off x="8650289" y="1565273"/>
          <a:ext cx="2992437" cy="42545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aseline="0"/>
            <a:t>SC-1(Brown ring)</a:t>
          </a:r>
          <a:endParaRPr lang="en-IN" sz="1600"/>
        </a:p>
      </xdr:txBody>
    </xdr:sp>
    <xdr:clientData/>
  </xdr:twoCellAnchor>
  <xdr:twoCellAnchor>
    <xdr:from>
      <xdr:col>20</xdr:col>
      <xdr:colOff>209550</xdr:colOff>
      <xdr:row>31</xdr:row>
      <xdr:rowOff>133350</xdr:rowOff>
    </xdr:from>
    <xdr:to>
      <xdr:col>30</xdr:col>
      <xdr:colOff>185736</xdr:colOff>
      <xdr:row>54</xdr:row>
      <xdr:rowOff>104774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14411325" y="624840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32</xdr:col>
      <xdr:colOff>38100</xdr:colOff>
      <xdr:row>31</xdr:row>
      <xdr:rowOff>133350</xdr:rowOff>
    </xdr:from>
    <xdr:to>
      <xdr:col>42</xdr:col>
      <xdr:colOff>14286</xdr:colOff>
      <xdr:row>54</xdr:row>
      <xdr:rowOff>104774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21555075" y="624840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0</xdr:col>
      <xdr:colOff>914400</xdr:colOff>
      <xdr:row>35</xdr:row>
      <xdr:rowOff>76200</xdr:rowOff>
    </xdr:from>
    <xdr:to>
      <xdr:col>7</xdr:col>
      <xdr:colOff>381000</xdr:colOff>
      <xdr:row>53</xdr:row>
      <xdr:rowOff>76679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6953250"/>
          <a:ext cx="5753100" cy="3429479"/>
        </a:xfrm>
        <a:prstGeom prst="rect">
          <a:avLst/>
        </a:prstGeom>
      </xdr:spPr>
    </xdr:pic>
    <xdr:clientData/>
  </xdr:twoCellAnchor>
  <xdr:twoCellAnchor>
    <xdr:from>
      <xdr:col>21</xdr:col>
      <xdr:colOff>152400</xdr:colOff>
      <xdr:row>32</xdr:row>
      <xdr:rowOff>0</xdr:rowOff>
    </xdr:from>
    <xdr:to>
      <xdr:col>29</xdr:col>
      <xdr:colOff>63500</xdr:colOff>
      <xdr:row>34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4963775" y="630555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SC-19,SC-33,SC-52,SC-63,SC-65,SC-70</a:t>
          </a:r>
        </a:p>
      </xdr:txBody>
    </xdr:sp>
    <xdr:clientData/>
  </xdr:twoCellAnchor>
  <xdr:twoCellAnchor>
    <xdr:from>
      <xdr:col>0</xdr:col>
      <xdr:colOff>781050</xdr:colOff>
      <xdr:row>55</xdr:row>
      <xdr:rowOff>171450</xdr:rowOff>
    </xdr:from>
    <xdr:to>
      <xdr:col>7</xdr:col>
      <xdr:colOff>566736</xdr:colOff>
      <xdr:row>78</xdr:row>
      <xdr:rowOff>142874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81050" y="10858500"/>
          <a:ext cx="6062661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438150</xdr:colOff>
      <xdr:row>55</xdr:row>
      <xdr:rowOff>152400</xdr:rowOff>
    </xdr:from>
    <xdr:to>
      <xdr:col>18</xdr:col>
      <xdr:colOff>414336</xdr:colOff>
      <xdr:row>78</xdr:row>
      <xdr:rowOff>123824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C70DC09-5A7B-4ACD-9F92-B94A6A069D31}"/>
            </a:ext>
          </a:extLst>
        </xdr:cNvPr>
        <xdr:cNvSpPr txBox="1"/>
      </xdr:nvSpPr>
      <xdr:spPr>
        <a:xfrm>
          <a:off x="7324725" y="10839450"/>
          <a:ext cx="6072186" cy="4352924"/>
        </a:xfrm>
        <a:prstGeom prst="rect">
          <a:avLst/>
        </a:prstGeom>
        <a:solidFill>
          <a:schemeClr val="lt1"/>
        </a:solidFill>
        <a:ln w="444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1238250</xdr:colOff>
      <xdr:row>56</xdr:row>
      <xdr:rowOff>76200</xdr:rowOff>
    </xdr:from>
    <xdr:to>
      <xdr:col>6</xdr:col>
      <xdr:colOff>349250</xdr:colOff>
      <xdr:row>59</xdr:row>
      <xdr:rowOff>12700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1238250" y="10953750"/>
          <a:ext cx="4778375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SC-60</a:t>
          </a:r>
        </a:p>
      </xdr:txBody>
    </xdr:sp>
    <xdr:clientData/>
  </xdr:twoCellAnchor>
  <xdr:twoCellAnchor>
    <xdr:from>
      <xdr:col>9</xdr:col>
      <xdr:colOff>304800</xdr:colOff>
      <xdr:row>56</xdr:row>
      <xdr:rowOff>76200</xdr:rowOff>
    </xdr:from>
    <xdr:to>
      <xdr:col>17</xdr:col>
      <xdr:colOff>215900</xdr:colOff>
      <xdr:row>59</xdr:row>
      <xdr:rowOff>12700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800975" y="1095375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SC-60</a:t>
          </a:r>
        </a:p>
      </xdr:txBody>
    </xdr:sp>
    <xdr:clientData/>
  </xdr:twoCellAnchor>
  <xdr:twoCellAnchor>
    <xdr:from>
      <xdr:col>9</xdr:col>
      <xdr:colOff>204788</xdr:colOff>
      <xdr:row>32</xdr:row>
      <xdr:rowOff>85726</xdr:rowOff>
    </xdr:from>
    <xdr:to>
      <xdr:col>17</xdr:col>
      <xdr:colOff>115888</xdr:colOff>
      <xdr:row>35</xdr:row>
      <xdr:rowOff>22226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7710488" y="6391276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SC-14,SC-16,SC-30,SC-36,SC-38,SC-45,SC-48,SC-74</a:t>
          </a:r>
        </a:p>
      </xdr:txBody>
    </xdr:sp>
    <xdr:clientData/>
  </xdr:twoCellAnchor>
  <xdr:twoCellAnchor editAs="oneCell">
    <xdr:from>
      <xdr:col>21</xdr:col>
      <xdr:colOff>123825</xdr:colOff>
      <xdr:row>36</xdr:row>
      <xdr:rowOff>38100</xdr:rowOff>
    </xdr:from>
    <xdr:to>
      <xdr:col>28</xdr:col>
      <xdr:colOff>346713</xdr:colOff>
      <xdr:row>54</xdr:row>
      <xdr:rowOff>38579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44725" y="7105650"/>
          <a:ext cx="4490088" cy="3429479"/>
        </a:xfrm>
        <a:prstGeom prst="rect">
          <a:avLst/>
        </a:prstGeom>
      </xdr:spPr>
    </xdr:pic>
    <xdr:clientData/>
  </xdr:twoCellAnchor>
  <xdr:twoCellAnchor>
    <xdr:from>
      <xdr:col>32</xdr:col>
      <xdr:colOff>257175</xdr:colOff>
      <xdr:row>32</xdr:row>
      <xdr:rowOff>133350</xdr:rowOff>
    </xdr:from>
    <xdr:to>
      <xdr:col>40</xdr:col>
      <xdr:colOff>168275</xdr:colOff>
      <xdr:row>35</xdr:row>
      <xdr:rowOff>69850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DFE2267-CD01-4BD7-8BE1-AE2FFDA921CB}"/>
            </a:ext>
          </a:extLst>
        </xdr:cNvPr>
        <xdr:cNvSpPr txBox="1"/>
      </xdr:nvSpPr>
      <xdr:spPr>
        <a:xfrm>
          <a:off x="21783675" y="6438900"/>
          <a:ext cx="4787900" cy="5080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/>
            <a:t>SC-19,SC-33,SC-52,SC-63,SC-65,SC-70</a:t>
          </a:r>
        </a:p>
      </xdr:txBody>
    </xdr:sp>
    <xdr:clientData/>
  </xdr:twoCellAnchor>
  <xdr:twoCellAnchor editAs="oneCell">
    <xdr:from>
      <xdr:col>0</xdr:col>
      <xdr:colOff>1238250</xdr:colOff>
      <xdr:row>59</xdr:row>
      <xdr:rowOff>171450</xdr:rowOff>
    </xdr:from>
    <xdr:to>
      <xdr:col>6</xdr:col>
      <xdr:colOff>133988</xdr:colOff>
      <xdr:row>77</xdr:row>
      <xdr:rowOff>171929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0" y="11620500"/>
          <a:ext cx="4572638" cy="3429479"/>
        </a:xfrm>
        <a:prstGeom prst="rect">
          <a:avLst/>
        </a:prstGeom>
      </xdr:spPr>
    </xdr:pic>
    <xdr:clientData/>
  </xdr:twoCellAnchor>
  <xdr:twoCellAnchor editAs="oneCell">
    <xdr:from>
      <xdr:col>9</xdr:col>
      <xdr:colOff>39689</xdr:colOff>
      <xdr:row>11</xdr:row>
      <xdr:rowOff>31748</xdr:rowOff>
    </xdr:from>
    <xdr:to>
      <xdr:col>17</xdr:col>
      <xdr:colOff>486698</xdr:colOff>
      <xdr:row>22</xdr:row>
      <xdr:rowOff>76199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5389" y="2336798"/>
          <a:ext cx="5323809" cy="2139951"/>
        </a:xfrm>
        <a:prstGeom prst="rect">
          <a:avLst/>
        </a:prstGeom>
      </xdr:spPr>
    </xdr:pic>
    <xdr:clientData/>
  </xdr:twoCellAnchor>
  <xdr:twoCellAnchor editAs="oneCell">
    <xdr:from>
      <xdr:col>9</xdr:col>
      <xdr:colOff>128588</xdr:colOff>
      <xdr:row>36</xdr:row>
      <xdr:rowOff>142876</xdr:rowOff>
    </xdr:from>
    <xdr:to>
      <xdr:col>17</xdr:col>
      <xdr:colOff>556550</xdr:colOff>
      <xdr:row>52</xdr:row>
      <xdr:rowOff>104400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34288" y="7210426"/>
          <a:ext cx="5304762" cy="3009524"/>
        </a:xfrm>
        <a:prstGeom prst="rect">
          <a:avLst/>
        </a:prstGeom>
      </xdr:spPr>
    </xdr:pic>
    <xdr:clientData/>
  </xdr:twoCellAnchor>
  <xdr:twoCellAnchor editAs="oneCell">
    <xdr:from>
      <xdr:col>32</xdr:col>
      <xdr:colOff>219075</xdr:colOff>
      <xdr:row>37</xdr:row>
      <xdr:rowOff>114300</xdr:rowOff>
    </xdr:from>
    <xdr:to>
      <xdr:col>41</xdr:col>
      <xdr:colOff>37437</xdr:colOff>
      <xdr:row>50</xdr:row>
      <xdr:rowOff>56848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45575" y="7372350"/>
          <a:ext cx="5304762" cy="24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61</xdr:row>
      <xdr:rowOff>95250</xdr:rowOff>
    </xdr:from>
    <xdr:to>
      <xdr:col>18</xdr:col>
      <xdr:colOff>27899</xdr:colOff>
      <xdr:row>74</xdr:row>
      <xdr:rowOff>171450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10475" y="11925300"/>
          <a:ext cx="5409524" cy="2552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0</xdr:row>
      <xdr:rowOff>119060</xdr:rowOff>
    </xdr:from>
    <xdr:to>
      <xdr:col>14</xdr:col>
      <xdr:colOff>419100</xdr:colOff>
      <xdr:row>93</xdr:row>
      <xdr:rowOff>130969</xdr:rowOff>
    </xdr:to>
    <xdr:sp macro="" textlink="">
      <xdr:nvSpPr>
        <xdr:cNvPr id="2" name="Rectangle 1"/>
        <xdr:cNvSpPr/>
      </xdr:nvSpPr>
      <xdr:spPr>
        <a:xfrm>
          <a:off x="883444" y="119060"/>
          <a:ext cx="12894469" cy="21347909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1</xdr:row>
      <xdr:rowOff>76200</xdr:rowOff>
    </xdr:from>
    <xdr:to>
      <xdr:col>10</xdr:col>
      <xdr:colOff>600075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3048000" y="266700"/>
          <a:ext cx="6048375" cy="495300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DISTANCE</a:t>
          </a:r>
          <a:r>
            <a:rPr lang="en-US" sz="2000" b="1" baseline="0">
              <a:solidFill>
                <a:schemeClr val="tx1"/>
              </a:solidFill>
            </a:rPr>
            <a:t> SHEET PAKHANJORE </a:t>
          </a:r>
          <a:r>
            <a:rPr lang="en-US" sz="2000" b="1">
              <a:solidFill>
                <a:schemeClr val="tx1"/>
              </a:solidFill>
            </a:rPr>
            <a:t>BLOCK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9526</xdr:rowOff>
    </xdr:from>
    <xdr:to>
      <xdr:col>9</xdr:col>
      <xdr:colOff>152400</xdr:colOff>
      <xdr:row>12</xdr:row>
      <xdr:rowOff>111126</xdr:rowOff>
    </xdr:to>
    <xdr:sp macro="" textlink="">
      <xdr:nvSpPr>
        <xdr:cNvPr id="2" name="Rectangle 1"/>
        <xdr:cNvSpPr/>
      </xdr:nvSpPr>
      <xdr:spPr>
        <a:xfrm>
          <a:off x="285750" y="200026"/>
          <a:ext cx="11979275" cy="4895850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1643391</xdr:colOff>
      <xdr:row>1</xdr:row>
      <xdr:rowOff>146051</xdr:rowOff>
    </xdr:from>
    <xdr:to>
      <xdr:col>6</xdr:col>
      <xdr:colOff>293100</xdr:colOff>
      <xdr:row>3</xdr:row>
      <xdr:rowOff>40821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2710191" y="336551"/>
          <a:ext cx="6126834" cy="275770"/>
        </a:xfrm>
        <a:prstGeom prst="rect">
          <a:avLst/>
        </a:prstGeom>
        <a:ln w="571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>
              <a:solidFill>
                <a:schemeClr val="tx1"/>
              </a:solidFill>
            </a:rPr>
            <a:t>ASSUMPTIONS PAKHANJORE </a:t>
          </a:r>
          <a:r>
            <a:rPr lang="en-US" sz="2000" b="1">
              <a:solidFill>
                <a:schemeClr val="tx1"/>
              </a:solidFill>
            </a:rPr>
            <a:t>BLOCK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tabSelected="1" zoomScale="90" zoomScaleNormal="90" workbookViewId="0">
      <selection activeCell="E21" sqref="E21"/>
    </sheetView>
  </sheetViews>
  <sheetFormatPr defaultRowHeight="15.75" x14ac:dyDescent="0.25"/>
  <cols>
    <col min="1" max="1" width="9.140625" style="80"/>
    <col min="2" max="2" width="31.5703125" style="80" customWidth="1"/>
    <col min="3" max="3" width="28.28515625" style="80" customWidth="1"/>
    <col min="4" max="4" width="32.7109375" style="80" customWidth="1"/>
    <col min="5" max="5" width="34.85546875" style="80" bestFit="1" customWidth="1"/>
    <col min="6" max="6" width="34.85546875" style="80" customWidth="1"/>
    <col min="7" max="7" width="21.85546875" style="80" customWidth="1"/>
    <col min="8" max="16384" width="9.140625" style="80"/>
  </cols>
  <sheetData>
    <row r="1" spans="2:7" ht="16.5" thickBot="1" x14ac:dyDescent="0.3"/>
    <row r="2" spans="2:7" ht="16.5" customHeight="1" x14ac:dyDescent="0.25">
      <c r="B2" s="138" t="s">
        <v>420</v>
      </c>
      <c r="C2" s="139"/>
      <c r="D2" s="139"/>
      <c r="E2" s="139"/>
      <c r="F2" s="139"/>
      <c r="G2" s="140"/>
    </row>
    <row r="3" spans="2:7" ht="16.5" thickBot="1" x14ac:dyDescent="0.3">
      <c r="B3" s="141"/>
      <c r="C3" s="142"/>
      <c r="D3" s="142"/>
      <c r="E3" s="142"/>
      <c r="F3" s="142"/>
      <c r="G3" s="143"/>
    </row>
    <row r="4" spans="2:7" x14ac:dyDescent="0.25">
      <c r="B4" s="81"/>
      <c r="C4" s="82" t="s">
        <v>100</v>
      </c>
      <c r="D4" s="82" t="s">
        <v>101</v>
      </c>
      <c r="E4" s="82" t="s">
        <v>102</v>
      </c>
      <c r="F4" s="214" t="s">
        <v>424</v>
      </c>
      <c r="G4" s="83" t="s">
        <v>103</v>
      </c>
    </row>
    <row r="5" spans="2:7" x14ac:dyDescent="0.25">
      <c r="B5" s="84" t="s">
        <v>131</v>
      </c>
      <c r="C5" s="85">
        <v>19</v>
      </c>
      <c r="D5" s="85">
        <v>17</v>
      </c>
      <c r="E5" s="85">
        <v>17</v>
      </c>
      <c r="F5" s="215">
        <v>15</v>
      </c>
      <c r="G5" s="86">
        <f>C5+D5+E5+F5</f>
        <v>68</v>
      </c>
    </row>
    <row r="6" spans="2:7" x14ac:dyDescent="0.25">
      <c r="B6" s="87" t="s">
        <v>104</v>
      </c>
      <c r="C6" s="88">
        <v>3</v>
      </c>
      <c r="D6" s="88">
        <v>3</v>
      </c>
      <c r="E6" s="88">
        <v>1</v>
      </c>
      <c r="F6" s="216">
        <v>1</v>
      </c>
      <c r="G6" s="86">
        <f t="shared" ref="G6:G8" si="0">C6+D6+E6+F6</f>
        <v>8</v>
      </c>
    </row>
    <row r="7" spans="2:7" ht="16.5" customHeight="1" x14ac:dyDescent="0.25">
      <c r="B7" s="89" t="s">
        <v>105</v>
      </c>
      <c r="C7" s="90">
        <f>C5+C6</f>
        <v>22</v>
      </c>
      <c r="D7" s="90">
        <f t="shared" ref="D7:F7" si="1">D5+D6</f>
        <v>20</v>
      </c>
      <c r="E7" s="90">
        <f t="shared" si="1"/>
        <v>18</v>
      </c>
      <c r="F7" s="90">
        <f t="shared" si="1"/>
        <v>16</v>
      </c>
      <c r="G7" s="91">
        <f t="shared" si="0"/>
        <v>76</v>
      </c>
    </row>
    <row r="8" spans="2:7" x14ac:dyDescent="0.25">
      <c r="B8" s="84" t="s">
        <v>106</v>
      </c>
      <c r="C8" s="92">
        <v>145.77799999999999</v>
      </c>
      <c r="D8" s="92">
        <v>95.817999999999998</v>
      </c>
      <c r="E8" s="92">
        <v>101.23</v>
      </c>
      <c r="F8" s="217">
        <v>129.34</v>
      </c>
      <c r="G8" s="86">
        <f t="shared" si="0"/>
        <v>472.16600000000005</v>
      </c>
    </row>
    <row r="9" spans="2:7" x14ac:dyDescent="0.25">
      <c r="B9" s="93"/>
      <c r="C9" s="94"/>
      <c r="D9" s="94"/>
      <c r="E9" s="94"/>
      <c r="F9" s="94"/>
      <c r="G9" s="95"/>
    </row>
    <row r="10" spans="2:7" ht="16.5" customHeight="1" x14ac:dyDescent="0.25">
      <c r="B10" s="96" t="s">
        <v>107</v>
      </c>
      <c r="C10" s="97"/>
      <c r="D10" s="97"/>
      <c r="E10" s="97"/>
      <c r="F10" s="97"/>
      <c r="G10" s="98"/>
    </row>
    <row r="11" spans="2:7" ht="16.5" customHeight="1" x14ac:dyDescent="0.25">
      <c r="B11" s="99" t="s">
        <v>421</v>
      </c>
      <c r="C11" s="100" t="s">
        <v>422</v>
      </c>
      <c r="D11" s="100" t="s">
        <v>108</v>
      </c>
      <c r="E11" s="100" t="s">
        <v>425</v>
      </c>
      <c r="F11" s="100" t="s">
        <v>117</v>
      </c>
      <c r="G11" s="144" t="s">
        <v>110</v>
      </c>
    </row>
    <row r="12" spans="2:7" ht="16.5" customHeight="1" x14ac:dyDescent="0.25">
      <c r="B12" s="99" t="s">
        <v>111</v>
      </c>
      <c r="C12" s="100" t="s">
        <v>112</v>
      </c>
      <c r="D12" s="100" t="s">
        <v>113</v>
      </c>
      <c r="E12" s="100" t="s">
        <v>109</v>
      </c>
      <c r="F12" s="100" t="s">
        <v>426</v>
      </c>
      <c r="G12" s="144"/>
    </row>
    <row r="13" spans="2:7" ht="16.5" customHeight="1" x14ac:dyDescent="0.25">
      <c r="B13" s="99" t="s">
        <v>423</v>
      </c>
      <c r="C13" s="100" t="s">
        <v>115</v>
      </c>
      <c r="D13" s="100" t="s">
        <v>116</v>
      </c>
      <c r="E13" s="100" t="s">
        <v>114</v>
      </c>
      <c r="F13" s="100"/>
      <c r="G13" s="144"/>
    </row>
    <row r="14" spans="2:7" ht="16.5" customHeight="1" x14ac:dyDescent="0.25">
      <c r="B14" s="101"/>
      <c r="C14" s="102"/>
      <c r="D14" s="102"/>
      <c r="E14" s="102"/>
      <c r="F14" s="102"/>
      <c r="G14" s="144"/>
    </row>
    <row r="15" spans="2:7" x14ac:dyDescent="0.25">
      <c r="B15" s="103"/>
      <c r="C15" s="104"/>
      <c r="D15" s="104"/>
      <c r="E15" s="104"/>
      <c r="F15" s="218"/>
      <c r="G15" s="105"/>
    </row>
    <row r="16" spans="2:7" ht="16.5" customHeight="1" x14ac:dyDescent="0.25">
      <c r="B16" s="106" t="s">
        <v>118</v>
      </c>
      <c r="C16" s="107" t="s">
        <v>119</v>
      </c>
      <c r="D16" s="107" t="s">
        <v>120</v>
      </c>
      <c r="E16" s="107" t="s">
        <v>121</v>
      </c>
      <c r="F16" s="102" t="s">
        <v>427</v>
      </c>
      <c r="G16" s="108"/>
    </row>
    <row r="17" spans="2:7" ht="16.5" customHeight="1" x14ac:dyDescent="0.25">
      <c r="B17" s="109"/>
      <c r="C17" s="110"/>
      <c r="D17" s="110"/>
      <c r="E17" s="110"/>
      <c r="F17" s="219"/>
      <c r="G17" s="111"/>
    </row>
    <row r="18" spans="2:7" ht="16.5" thickBot="1" x14ac:dyDescent="0.3">
      <c r="B18" s="112"/>
      <c r="C18" s="113"/>
      <c r="D18" s="113"/>
      <c r="E18" s="113"/>
      <c r="F18" s="220"/>
      <c r="G18" s="114"/>
    </row>
  </sheetData>
  <mergeCells count="2">
    <mergeCell ref="B2:G3"/>
    <mergeCell ref="G11:G14"/>
  </mergeCells>
  <hyperlinks>
    <hyperlink ref="B11" location="'Link Loss Budget-Pakhanjore '!A1" display="PAKHANJORE Link Loss Budget"/>
    <hyperlink ref="B12" location="'Spare link loss-Pakhanjore'!A1" display="Spare Fiber Link Loss"/>
    <hyperlink ref="B13" location="'Pakhanjore  Block to Block'!A1" display="PAKHANJORE Block to Block"/>
    <hyperlink ref="C11" location="'Pakhanjore Inter Ring'!A1" display="PAKHANJORE Inter Ring"/>
    <hyperlink ref="C12" location="'Fiber utilisation'!A1" display="Fiber Utilisation"/>
    <hyperlink ref="C13" location="Assumptions!A1" display="Assumptions"/>
    <hyperlink ref="D11" location="'FDMS Plan Blue Ring'!A1" display="FDMS Plan Blue Ring"/>
    <hyperlink ref="D12" location="'FDMS Plan Orange Ring'!A1" display="FDMS Plan Orange Ring"/>
    <hyperlink ref="D13" location="'FDMS Plan Pink Ring'!A1" display="FDMS Plan Pink Ring"/>
    <hyperlink ref="E11" location="'FDMS Plan Brown Ring'!A1" display="FDMS Plan Brown Ring"/>
    <hyperlink ref="E12" location="'Splice Pattern Blue Ring'!A1" display="Splice Pattern Blue Ring"/>
    <hyperlink ref="E13" location="'Splice Pattern Orange Ring'!A1" display="Splice Pattern Orange Ring"/>
    <hyperlink ref="F11" location="'Splice Pattern Pink Ring.'!A1" display="Splice Pattern Pink Ring"/>
    <hyperlink ref="F12" location="'Splice Pattern Brown Ring'!A1" display="Splice Pattern Brown Ring"/>
    <hyperlink ref="G11:G14" location="'Distance sheet'!A1" display="Distance Shee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6"/>
  <sheetViews>
    <sheetView topLeftCell="A19" zoomScale="50" zoomScaleNormal="50" workbookViewId="0">
      <selection activeCell="G87" sqref="G87"/>
    </sheetView>
  </sheetViews>
  <sheetFormatPr defaultRowHeight="18.75" x14ac:dyDescent="0.25"/>
  <cols>
    <col min="1" max="1" width="12" style="117" customWidth="1"/>
    <col min="2" max="2" width="20.7109375" style="117" bestFit="1" customWidth="1"/>
    <col min="3" max="3" width="18.85546875" style="117" bestFit="1" customWidth="1"/>
    <col min="4" max="4" width="13" style="117" customWidth="1"/>
    <col min="5" max="5" width="35.7109375" style="117" customWidth="1"/>
    <col min="6" max="6" width="38.7109375" style="135" customWidth="1"/>
    <col min="7" max="7" width="39" style="135" customWidth="1"/>
    <col min="8" max="8" width="24.7109375" style="135" customWidth="1"/>
    <col min="9" max="9" width="21.7109375" style="117" customWidth="1"/>
    <col min="10" max="10" width="13.7109375" style="117" customWidth="1"/>
    <col min="11" max="11" width="19.42578125" style="117" bestFit="1" customWidth="1"/>
    <col min="12" max="12" width="51.140625" style="117" bestFit="1" customWidth="1"/>
    <col min="13" max="13" width="60.42578125" style="117" bestFit="1" customWidth="1"/>
    <col min="14" max="14" width="24.85546875" style="117" bestFit="1" customWidth="1"/>
    <col min="15" max="15" width="28.5703125" style="117" customWidth="1"/>
    <col min="16" max="16" width="20.28515625" style="117" customWidth="1"/>
    <col min="17" max="17" width="14.7109375" style="117" customWidth="1"/>
    <col min="18" max="18" width="15.28515625" style="117" customWidth="1"/>
    <col min="19" max="19" width="19.5703125" style="117" customWidth="1"/>
    <col min="20" max="20" width="19.85546875" style="117" customWidth="1"/>
    <col min="21" max="21" width="20.5703125" style="117" customWidth="1"/>
    <col min="22" max="16384" width="9.140625" style="117"/>
  </cols>
  <sheetData>
    <row r="1" spans="1:25" ht="166.5" customHeight="1" x14ac:dyDescent="0.25">
      <c r="A1" s="115" t="s">
        <v>10</v>
      </c>
      <c r="B1" s="115" t="s">
        <v>1</v>
      </c>
      <c r="C1" s="115" t="s">
        <v>0</v>
      </c>
      <c r="D1" s="115" t="s">
        <v>122</v>
      </c>
      <c r="E1" s="115" t="s">
        <v>4</v>
      </c>
      <c r="F1" s="115" t="s">
        <v>13</v>
      </c>
      <c r="G1" s="115" t="s">
        <v>14</v>
      </c>
      <c r="H1" s="115" t="s">
        <v>20</v>
      </c>
      <c r="I1" s="115" t="s">
        <v>21</v>
      </c>
      <c r="J1" s="115" t="s">
        <v>22</v>
      </c>
      <c r="K1" s="115" t="s">
        <v>23</v>
      </c>
      <c r="L1" s="115" t="s">
        <v>24</v>
      </c>
      <c r="M1" s="115" t="s">
        <v>25</v>
      </c>
      <c r="N1" s="116" t="s">
        <v>12</v>
      </c>
      <c r="O1" s="116" t="s">
        <v>26</v>
      </c>
      <c r="P1" s="116" t="s">
        <v>27</v>
      </c>
      <c r="Q1" s="116" t="s">
        <v>28</v>
      </c>
      <c r="R1" s="116" t="s">
        <v>29</v>
      </c>
      <c r="S1" s="116" t="s">
        <v>30</v>
      </c>
      <c r="T1" s="116" t="s">
        <v>31</v>
      </c>
      <c r="U1" s="116" t="s">
        <v>32</v>
      </c>
      <c r="X1" s="118" t="s">
        <v>51</v>
      </c>
      <c r="Y1" s="118" t="s">
        <v>137</v>
      </c>
    </row>
    <row r="2" spans="1:25" s="130" customFormat="1" ht="26.25" customHeight="1" x14ac:dyDescent="0.3">
      <c r="A2" s="119">
        <v>1</v>
      </c>
      <c r="B2" s="120" t="s">
        <v>145</v>
      </c>
      <c r="C2" s="121" t="s">
        <v>155</v>
      </c>
      <c r="D2" s="122" t="s">
        <v>2</v>
      </c>
      <c r="E2" s="122" t="s">
        <v>5</v>
      </c>
      <c r="F2" s="123" t="s">
        <v>156</v>
      </c>
      <c r="G2" s="124" t="s">
        <v>157</v>
      </c>
      <c r="H2" s="121">
        <v>5.7679999999999998</v>
      </c>
      <c r="I2" s="125">
        <f>H2*1.2</f>
        <v>6.9215999999999998</v>
      </c>
      <c r="J2" s="125">
        <v>4</v>
      </c>
      <c r="K2" s="126">
        <v>2</v>
      </c>
      <c r="L2" s="127">
        <f t="shared" ref="L2:L33" si="0">I2*0.329+J2*0.05+K2*0.05+0.5*2</f>
        <v>3.5772064000000001</v>
      </c>
      <c r="M2" s="127">
        <f t="shared" ref="M2:M33" si="1">I2*0.195+J2*0.05+K2*0.05+0.5*2</f>
        <v>2.6497120000000001</v>
      </c>
      <c r="N2" s="136" t="s">
        <v>11</v>
      </c>
      <c r="O2" s="128" t="str">
        <f>IF(I2&lt;=10,"GLC-LH-SMD=",IF(I2&gt;40,"GLC-ZX-SMD=","GLC-EX-SMD="))</f>
        <v>GLC-LH-SMD=</v>
      </c>
      <c r="P2" s="128">
        <f t="shared" ref="P2:P65" si="2">IF(O2="GLC-LH-SMD=", $Y$2,IF(O2="GLC-EX-SMD=", $Y$3,$Y$4))</f>
        <v>-6.25</v>
      </c>
      <c r="Q2" s="129">
        <f>P2-L2</f>
        <v>-9.8272063999999997</v>
      </c>
      <c r="R2" s="145" t="s">
        <v>35</v>
      </c>
      <c r="S2" s="128" t="str">
        <f>IF(O2="GLC-LH-SMD=", "-20",IF(O2="GLC-EX-SMD=", "-22","-23"))</f>
        <v>-20</v>
      </c>
      <c r="T2" s="129">
        <f>Q2-S2</f>
        <v>10.1727936</v>
      </c>
      <c r="U2" s="145" t="s">
        <v>35</v>
      </c>
      <c r="W2" s="131"/>
      <c r="X2" s="128" t="s">
        <v>133</v>
      </c>
      <c r="Y2" s="128">
        <f>((-3)+(-9.5))/2</f>
        <v>-6.25</v>
      </c>
    </row>
    <row r="3" spans="1:25" s="130" customFormat="1" ht="26.25" customHeight="1" x14ac:dyDescent="0.3">
      <c r="A3" s="119">
        <v>2</v>
      </c>
      <c r="B3" s="120" t="s">
        <v>145</v>
      </c>
      <c r="C3" s="121" t="s">
        <v>155</v>
      </c>
      <c r="D3" s="122" t="s">
        <v>2</v>
      </c>
      <c r="E3" s="122" t="s">
        <v>5</v>
      </c>
      <c r="F3" s="124" t="s">
        <v>157</v>
      </c>
      <c r="G3" s="124" t="s">
        <v>158</v>
      </c>
      <c r="H3" s="121">
        <v>15.156000000000001</v>
      </c>
      <c r="I3" s="125">
        <f t="shared" ref="I3:I66" si="3">H3*1.2</f>
        <v>18.187200000000001</v>
      </c>
      <c r="J3" s="125">
        <v>10</v>
      </c>
      <c r="K3" s="126">
        <v>2</v>
      </c>
      <c r="L3" s="127">
        <f t="shared" si="0"/>
        <v>7.5835888000000002</v>
      </c>
      <c r="M3" s="127">
        <f t="shared" si="1"/>
        <v>5.1465040000000002</v>
      </c>
      <c r="N3" s="136" t="s">
        <v>11</v>
      </c>
      <c r="O3" s="128" t="str">
        <f t="shared" ref="O3:O66" si="4">IF(I3&lt;=10,"GLC-LH-SMD=",IF(I3&gt;40,"GLC-ZX-SMD=","GLC-EX-SMD="))</f>
        <v>GLC-EX-SMD=</v>
      </c>
      <c r="P3" s="128">
        <f t="shared" si="2"/>
        <v>1</v>
      </c>
      <c r="Q3" s="129">
        <f t="shared" ref="Q3:Q66" si="5">P3-L3</f>
        <v>-6.5835888000000002</v>
      </c>
      <c r="R3" s="146"/>
      <c r="S3" s="128" t="str">
        <f t="shared" ref="S3:S66" si="6">IF(O3="GLC-LH-SMD=", "-20",IF(O3="GLC-EX-SMD=", "-22","-23"))</f>
        <v>-22</v>
      </c>
      <c r="T3" s="129">
        <f t="shared" ref="T3:T66" si="7">Q3-S3</f>
        <v>15.416411199999999</v>
      </c>
      <c r="U3" s="146"/>
      <c r="W3" s="131"/>
      <c r="X3" s="128" t="s">
        <v>134</v>
      </c>
      <c r="Y3" s="128">
        <f>((3)+(-1))/2</f>
        <v>1</v>
      </c>
    </row>
    <row r="4" spans="1:25" s="130" customFormat="1" x14ac:dyDescent="0.3">
      <c r="A4" s="119">
        <v>3</v>
      </c>
      <c r="B4" s="120" t="s">
        <v>145</v>
      </c>
      <c r="C4" s="121" t="s">
        <v>155</v>
      </c>
      <c r="D4" s="122" t="s">
        <v>2</v>
      </c>
      <c r="E4" s="122" t="s">
        <v>5</v>
      </c>
      <c r="F4" s="124" t="s">
        <v>158</v>
      </c>
      <c r="G4" s="124" t="s">
        <v>159</v>
      </c>
      <c r="H4" s="121">
        <v>10.430999999999999</v>
      </c>
      <c r="I4" s="125">
        <f t="shared" si="3"/>
        <v>12.517199999999999</v>
      </c>
      <c r="J4" s="125">
        <v>7</v>
      </c>
      <c r="K4" s="126">
        <v>2</v>
      </c>
      <c r="L4" s="127">
        <f t="shared" si="0"/>
        <v>5.5681587999999991</v>
      </c>
      <c r="M4" s="127">
        <f t="shared" si="1"/>
        <v>3.890854</v>
      </c>
      <c r="N4" s="136" t="s">
        <v>11</v>
      </c>
      <c r="O4" s="128" t="str">
        <f t="shared" si="4"/>
        <v>GLC-EX-SMD=</v>
      </c>
      <c r="P4" s="128">
        <f t="shared" si="2"/>
        <v>1</v>
      </c>
      <c r="Q4" s="129">
        <f t="shared" si="5"/>
        <v>-4.5681587999999991</v>
      </c>
      <c r="R4" s="146"/>
      <c r="S4" s="128" t="str">
        <f t="shared" si="6"/>
        <v>-22</v>
      </c>
      <c r="T4" s="129">
        <f t="shared" si="7"/>
        <v>17.431841200000001</v>
      </c>
      <c r="U4" s="146"/>
      <c r="W4" s="131"/>
      <c r="X4" s="128" t="s">
        <v>135</v>
      </c>
      <c r="Y4" s="128">
        <f>(5+(0))/2</f>
        <v>2.5</v>
      </c>
    </row>
    <row r="5" spans="1:25" s="130" customFormat="1" x14ac:dyDescent="0.3">
      <c r="A5" s="119">
        <v>4</v>
      </c>
      <c r="B5" s="120" t="s">
        <v>145</v>
      </c>
      <c r="C5" s="121" t="s">
        <v>155</v>
      </c>
      <c r="D5" s="122" t="s">
        <v>2</v>
      </c>
      <c r="E5" s="122" t="s">
        <v>5</v>
      </c>
      <c r="F5" s="124" t="s">
        <v>159</v>
      </c>
      <c r="G5" s="124" t="s">
        <v>160</v>
      </c>
      <c r="H5" s="121">
        <v>21.315999999999999</v>
      </c>
      <c r="I5" s="125">
        <f t="shared" si="3"/>
        <v>25.579199999999997</v>
      </c>
      <c r="J5" s="125">
        <v>14</v>
      </c>
      <c r="K5" s="126">
        <v>2</v>
      </c>
      <c r="L5" s="127">
        <f t="shared" si="0"/>
        <v>10.215556799999998</v>
      </c>
      <c r="M5" s="127">
        <f t="shared" si="1"/>
        <v>6.7879439999999995</v>
      </c>
      <c r="N5" s="136" t="s">
        <v>11</v>
      </c>
      <c r="O5" s="128" t="str">
        <f t="shared" si="4"/>
        <v>GLC-EX-SMD=</v>
      </c>
      <c r="P5" s="128">
        <f t="shared" si="2"/>
        <v>1</v>
      </c>
      <c r="Q5" s="129">
        <f t="shared" si="5"/>
        <v>-9.2155567999999981</v>
      </c>
      <c r="R5" s="146"/>
      <c r="S5" s="128" t="str">
        <f t="shared" si="6"/>
        <v>-22</v>
      </c>
      <c r="T5" s="129">
        <f t="shared" si="7"/>
        <v>12.784443200000002</v>
      </c>
      <c r="U5" s="146"/>
    </row>
    <row r="6" spans="1:25" s="130" customFormat="1" x14ac:dyDescent="0.3">
      <c r="A6" s="119">
        <v>5</v>
      </c>
      <c r="B6" s="120" t="s">
        <v>145</v>
      </c>
      <c r="C6" s="121" t="s">
        <v>155</v>
      </c>
      <c r="D6" s="122" t="s">
        <v>2</v>
      </c>
      <c r="E6" s="122" t="s">
        <v>5</v>
      </c>
      <c r="F6" s="124" t="s">
        <v>160</v>
      </c>
      <c r="G6" s="124" t="s">
        <v>161</v>
      </c>
      <c r="H6" s="121">
        <v>3.7589999999999999</v>
      </c>
      <c r="I6" s="125">
        <f t="shared" si="3"/>
        <v>4.5107999999999997</v>
      </c>
      <c r="J6" s="125">
        <v>4</v>
      </c>
      <c r="K6" s="126">
        <v>2</v>
      </c>
      <c r="L6" s="127">
        <f t="shared" si="0"/>
        <v>2.7840531999999998</v>
      </c>
      <c r="M6" s="127">
        <f t="shared" si="1"/>
        <v>2.1796060000000002</v>
      </c>
      <c r="N6" s="136" t="s">
        <v>11</v>
      </c>
      <c r="O6" s="128" t="str">
        <f t="shared" si="4"/>
        <v>GLC-LH-SMD=</v>
      </c>
      <c r="P6" s="128">
        <f t="shared" si="2"/>
        <v>-6.25</v>
      </c>
      <c r="Q6" s="129">
        <f t="shared" si="5"/>
        <v>-9.0340531999999989</v>
      </c>
      <c r="R6" s="146"/>
      <c r="S6" s="128" t="str">
        <f t="shared" si="6"/>
        <v>-20</v>
      </c>
      <c r="T6" s="129">
        <f t="shared" si="7"/>
        <v>10.965946800000001</v>
      </c>
      <c r="U6" s="146"/>
    </row>
    <row r="7" spans="1:25" s="130" customFormat="1" x14ac:dyDescent="0.3">
      <c r="A7" s="119">
        <v>6</v>
      </c>
      <c r="B7" s="120" t="s">
        <v>145</v>
      </c>
      <c r="C7" s="121" t="s">
        <v>155</v>
      </c>
      <c r="D7" s="122" t="s">
        <v>2</v>
      </c>
      <c r="E7" s="122" t="s">
        <v>5</v>
      </c>
      <c r="F7" s="124" t="s">
        <v>161</v>
      </c>
      <c r="G7" s="124" t="s">
        <v>162</v>
      </c>
      <c r="H7" s="121">
        <v>30.437999999999999</v>
      </c>
      <c r="I7" s="125">
        <f t="shared" si="3"/>
        <v>36.525599999999997</v>
      </c>
      <c r="J7" s="125">
        <v>17</v>
      </c>
      <c r="K7" s="126">
        <v>2</v>
      </c>
      <c r="L7" s="127">
        <f t="shared" si="0"/>
        <v>13.9669224</v>
      </c>
      <c r="M7" s="127">
        <f t="shared" si="1"/>
        <v>9.0724919999999987</v>
      </c>
      <c r="N7" s="136" t="s">
        <v>11</v>
      </c>
      <c r="O7" s="128" t="str">
        <f t="shared" si="4"/>
        <v>GLC-EX-SMD=</v>
      </c>
      <c r="P7" s="128">
        <f t="shared" si="2"/>
        <v>1</v>
      </c>
      <c r="Q7" s="129">
        <f t="shared" si="5"/>
        <v>-12.9669224</v>
      </c>
      <c r="R7" s="146"/>
      <c r="S7" s="128" t="str">
        <f t="shared" si="6"/>
        <v>-22</v>
      </c>
      <c r="T7" s="129">
        <f t="shared" si="7"/>
        <v>9.0330776000000004</v>
      </c>
      <c r="U7" s="146"/>
    </row>
    <row r="8" spans="1:25" s="130" customFormat="1" x14ac:dyDescent="0.3">
      <c r="A8" s="119">
        <v>7</v>
      </c>
      <c r="B8" s="120" t="s">
        <v>145</v>
      </c>
      <c r="C8" s="121" t="s">
        <v>155</v>
      </c>
      <c r="D8" s="122" t="s">
        <v>2</v>
      </c>
      <c r="E8" s="122" t="s">
        <v>5</v>
      </c>
      <c r="F8" s="124" t="s">
        <v>162</v>
      </c>
      <c r="G8" s="124" t="s">
        <v>163</v>
      </c>
      <c r="H8" s="121">
        <v>24.158000000000001</v>
      </c>
      <c r="I8" s="125">
        <f t="shared" si="3"/>
        <v>28.989599999999999</v>
      </c>
      <c r="J8" s="125">
        <v>14</v>
      </c>
      <c r="K8" s="126">
        <v>2</v>
      </c>
      <c r="L8" s="127">
        <f t="shared" si="0"/>
        <v>11.3375784</v>
      </c>
      <c r="M8" s="127">
        <f t="shared" si="1"/>
        <v>7.4529719999999999</v>
      </c>
      <c r="N8" s="136" t="s">
        <v>11</v>
      </c>
      <c r="O8" s="128" t="str">
        <f t="shared" si="4"/>
        <v>GLC-EX-SMD=</v>
      </c>
      <c r="P8" s="128">
        <f t="shared" si="2"/>
        <v>1</v>
      </c>
      <c r="Q8" s="129">
        <f t="shared" si="5"/>
        <v>-10.3375784</v>
      </c>
      <c r="R8" s="146"/>
      <c r="S8" s="128" t="str">
        <f t="shared" si="6"/>
        <v>-22</v>
      </c>
      <c r="T8" s="129">
        <f t="shared" si="7"/>
        <v>11.6624216</v>
      </c>
      <c r="U8" s="146"/>
    </row>
    <row r="9" spans="1:25" s="130" customFormat="1" x14ac:dyDescent="0.3">
      <c r="A9" s="119">
        <v>8</v>
      </c>
      <c r="B9" s="120" t="s">
        <v>145</v>
      </c>
      <c r="C9" s="121" t="s">
        <v>155</v>
      </c>
      <c r="D9" s="122" t="s">
        <v>2</v>
      </c>
      <c r="E9" s="122" t="s">
        <v>5</v>
      </c>
      <c r="F9" s="124" t="s">
        <v>163</v>
      </c>
      <c r="G9" s="123" t="s">
        <v>156</v>
      </c>
      <c r="H9" s="121">
        <v>7.3739999999999997</v>
      </c>
      <c r="I9" s="125">
        <f t="shared" si="3"/>
        <v>8.8487999999999989</v>
      </c>
      <c r="J9" s="125">
        <v>6</v>
      </c>
      <c r="K9" s="126">
        <v>2</v>
      </c>
      <c r="L9" s="127">
        <f t="shared" si="0"/>
        <v>4.3112551999999997</v>
      </c>
      <c r="M9" s="127">
        <f t="shared" si="1"/>
        <v>3.1255159999999997</v>
      </c>
      <c r="N9" s="136" t="s">
        <v>11</v>
      </c>
      <c r="O9" s="128" t="str">
        <f t="shared" si="4"/>
        <v>GLC-LH-SMD=</v>
      </c>
      <c r="P9" s="128">
        <f t="shared" si="2"/>
        <v>-6.25</v>
      </c>
      <c r="Q9" s="129">
        <f t="shared" si="5"/>
        <v>-10.5612552</v>
      </c>
      <c r="R9" s="146"/>
      <c r="S9" s="128" t="str">
        <f t="shared" si="6"/>
        <v>-20</v>
      </c>
      <c r="T9" s="129">
        <f t="shared" si="7"/>
        <v>9.4387448000000003</v>
      </c>
      <c r="U9" s="146"/>
    </row>
    <row r="10" spans="1:25" s="130" customFormat="1" x14ac:dyDescent="0.3">
      <c r="A10" s="119">
        <v>9</v>
      </c>
      <c r="B10" s="120" t="s">
        <v>145</v>
      </c>
      <c r="C10" s="121" t="s">
        <v>155</v>
      </c>
      <c r="D10" s="122" t="s">
        <v>2</v>
      </c>
      <c r="E10" s="122" t="s">
        <v>6</v>
      </c>
      <c r="F10" s="123" t="s">
        <v>156</v>
      </c>
      <c r="G10" s="124" t="s">
        <v>164</v>
      </c>
      <c r="H10" s="121">
        <v>12.445</v>
      </c>
      <c r="I10" s="125">
        <f t="shared" si="3"/>
        <v>14.933999999999999</v>
      </c>
      <c r="J10" s="125">
        <v>8</v>
      </c>
      <c r="K10" s="126">
        <v>2</v>
      </c>
      <c r="L10" s="127">
        <f t="shared" si="0"/>
        <v>6.4132860000000003</v>
      </c>
      <c r="M10" s="127">
        <f t="shared" si="1"/>
        <v>4.4121299999999994</v>
      </c>
      <c r="N10" s="136" t="s">
        <v>16</v>
      </c>
      <c r="O10" s="128" t="str">
        <f t="shared" si="4"/>
        <v>GLC-EX-SMD=</v>
      </c>
      <c r="P10" s="128">
        <f t="shared" si="2"/>
        <v>1</v>
      </c>
      <c r="Q10" s="129">
        <f t="shared" si="5"/>
        <v>-5.4132860000000003</v>
      </c>
      <c r="R10" s="146"/>
      <c r="S10" s="128" t="str">
        <f t="shared" si="6"/>
        <v>-22</v>
      </c>
      <c r="T10" s="129">
        <f t="shared" si="7"/>
        <v>16.586714000000001</v>
      </c>
      <c r="U10" s="146"/>
    </row>
    <row r="11" spans="1:25" s="130" customFormat="1" x14ac:dyDescent="0.3">
      <c r="A11" s="119">
        <v>10</v>
      </c>
      <c r="B11" s="120" t="s">
        <v>145</v>
      </c>
      <c r="C11" s="121" t="s">
        <v>155</v>
      </c>
      <c r="D11" s="122" t="s">
        <v>2</v>
      </c>
      <c r="E11" s="122" t="s">
        <v>6</v>
      </c>
      <c r="F11" s="124" t="s">
        <v>164</v>
      </c>
      <c r="G11" s="124" t="s">
        <v>165</v>
      </c>
      <c r="H11" s="121">
        <v>23.434000000000001</v>
      </c>
      <c r="I11" s="125">
        <f t="shared" si="3"/>
        <v>28.120799999999999</v>
      </c>
      <c r="J11" s="125">
        <v>15</v>
      </c>
      <c r="K11" s="126">
        <v>2</v>
      </c>
      <c r="L11" s="127">
        <f t="shared" si="0"/>
        <v>11.1017432</v>
      </c>
      <c r="M11" s="127">
        <f t="shared" si="1"/>
        <v>7.3335559999999997</v>
      </c>
      <c r="N11" s="136" t="s">
        <v>16</v>
      </c>
      <c r="O11" s="128" t="str">
        <f t="shared" si="4"/>
        <v>GLC-EX-SMD=</v>
      </c>
      <c r="P11" s="128">
        <f t="shared" si="2"/>
        <v>1</v>
      </c>
      <c r="Q11" s="129">
        <f t="shared" si="5"/>
        <v>-10.1017432</v>
      </c>
      <c r="R11" s="146"/>
      <c r="S11" s="128" t="str">
        <f t="shared" si="6"/>
        <v>-22</v>
      </c>
      <c r="T11" s="129">
        <f t="shared" si="7"/>
        <v>11.8982568</v>
      </c>
      <c r="U11" s="146"/>
    </row>
    <row r="12" spans="1:25" s="130" customFormat="1" x14ac:dyDescent="0.3">
      <c r="A12" s="119">
        <v>11</v>
      </c>
      <c r="B12" s="120" t="s">
        <v>145</v>
      </c>
      <c r="C12" s="121" t="s">
        <v>155</v>
      </c>
      <c r="D12" s="122" t="s">
        <v>2</v>
      </c>
      <c r="E12" s="122" t="s">
        <v>6</v>
      </c>
      <c r="F12" s="124" t="s">
        <v>165</v>
      </c>
      <c r="G12" s="124" t="s">
        <v>166</v>
      </c>
      <c r="H12" s="121">
        <v>31.904</v>
      </c>
      <c r="I12" s="125">
        <f t="shared" si="3"/>
        <v>38.284799999999997</v>
      </c>
      <c r="J12" s="125">
        <v>19</v>
      </c>
      <c r="K12" s="126">
        <v>2</v>
      </c>
      <c r="L12" s="127">
        <f t="shared" si="0"/>
        <v>14.645699199999999</v>
      </c>
      <c r="M12" s="127">
        <f t="shared" si="1"/>
        <v>9.5155359999999991</v>
      </c>
      <c r="N12" s="136" t="s">
        <v>16</v>
      </c>
      <c r="O12" s="128" t="str">
        <f t="shared" si="4"/>
        <v>GLC-EX-SMD=</v>
      </c>
      <c r="P12" s="128">
        <f t="shared" si="2"/>
        <v>1</v>
      </c>
      <c r="Q12" s="129">
        <f t="shared" si="5"/>
        <v>-13.645699199999999</v>
      </c>
      <c r="R12" s="146"/>
      <c r="S12" s="128" t="str">
        <f t="shared" si="6"/>
        <v>-22</v>
      </c>
      <c r="T12" s="129">
        <f t="shared" si="7"/>
        <v>8.3543008000000007</v>
      </c>
      <c r="U12" s="146"/>
    </row>
    <row r="13" spans="1:25" s="130" customFormat="1" x14ac:dyDescent="0.3">
      <c r="A13" s="119">
        <v>12</v>
      </c>
      <c r="B13" s="120" t="s">
        <v>145</v>
      </c>
      <c r="C13" s="121" t="s">
        <v>155</v>
      </c>
      <c r="D13" s="122" t="s">
        <v>2</v>
      </c>
      <c r="E13" s="122" t="s">
        <v>6</v>
      </c>
      <c r="F13" s="124" t="s">
        <v>166</v>
      </c>
      <c r="G13" s="124" t="s">
        <v>167</v>
      </c>
      <c r="H13" s="121">
        <v>18.777999999999999</v>
      </c>
      <c r="I13" s="125">
        <f t="shared" si="3"/>
        <v>22.533599999999996</v>
      </c>
      <c r="J13" s="125">
        <v>12</v>
      </c>
      <c r="K13" s="126">
        <v>2</v>
      </c>
      <c r="L13" s="127">
        <f t="shared" si="0"/>
        <v>9.1135543999999982</v>
      </c>
      <c r="M13" s="127">
        <f t="shared" si="1"/>
        <v>6.0940519999999996</v>
      </c>
      <c r="N13" s="136" t="s">
        <v>16</v>
      </c>
      <c r="O13" s="128" t="str">
        <f t="shared" si="4"/>
        <v>GLC-EX-SMD=</v>
      </c>
      <c r="P13" s="128">
        <f t="shared" si="2"/>
        <v>1</v>
      </c>
      <c r="Q13" s="129">
        <f t="shared" si="5"/>
        <v>-8.1135543999999982</v>
      </c>
      <c r="R13" s="146"/>
      <c r="S13" s="128" t="str">
        <f t="shared" si="6"/>
        <v>-22</v>
      </c>
      <c r="T13" s="129">
        <f t="shared" si="7"/>
        <v>13.886445600000002</v>
      </c>
      <c r="U13" s="146"/>
    </row>
    <row r="14" spans="1:25" s="130" customFormat="1" x14ac:dyDescent="0.3">
      <c r="A14" s="119">
        <v>13</v>
      </c>
      <c r="B14" s="120" t="s">
        <v>145</v>
      </c>
      <c r="C14" s="121" t="s">
        <v>155</v>
      </c>
      <c r="D14" s="122" t="s">
        <v>2</v>
      </c>
      <c r="E14" s="122" t="s">
        <v>6</v>
      </c>
      <c r="F14" s="124" t="s">
        <v>167</v>
      </c>
      <c r="G14" s="124" t="s">
        <v>168</v>
      </c>
      <c r="H14" s="121">
        <v>7.1749999999999998</v>
      </c>
      <c r="I14" s="125">
        <f t="shared" si="3"/>
        <v>8.61</v>
      </c>
      <c r="J14" s="125">
        <v>5</v>
      </c>
      <c r="K14" s="126">
        <v>2</v>
      </c>
      <c r="L14" s="127">
        <f t="shared" si="0"/>
        <v>4.18269</v>
      </c>
      <c r="M14" s="127">
        <f t="shared" si="1"/>
        <v>3.02895</v>
      </c>
      <c r="N14" s="136" t="s">
        <v>16</v>
      </c>
      <c r="O14" s="128" t="str">
        <f t="shared" si="4"/>
        <v>GLC-LH-SMD=</v>
      </c>
      <c r="P14" s="128">
        <f t="shared" si="2"/>
        <v>-6.25</v>
      </c>
      <c r="Q14" s="129">
        <f t="shared" si="5"/>
        <v>-10.432690000000001</v>
      </c>
      <c r="R14" s="146"/>
      <c r="S14" s="128" t="str">
        <f t="shared" si="6"/>
        <v>-20</v>
      </c>
      <c r="T14" s="129">
        <f t="shared" si="7"/>
        <v>9.5673099999999991</v>
      </c>
      <c r="U14" s="146"/>
    </row>
    <row r="15" spans="1:25" s="130" customFormat="1" x14ac:dyDescent="0.3">
      <c r="A15" s="119">
        <v>14</v>
      </c>
      <c r="B15" s="120" t="s">
        <v>145</v>
      </c>
      <c r="C15" s="121" t="s">
        <v>155</v>
      </c>
      <c r="D15" s="122" t="s">
        <v>2</v>
      </c>
      <c r="E15" s="122" t="s">
        <v>6</v>
      </c>
      <c r="F15" s="124" t="s">
        <v>168</v>
      </c>
      <c r="G15" s="124" t="s">
        <v>169</v>
      </c>
      <c r="H15" s="121">
        <v>6.4050000000000002</v>
      </c>
      <c r="I15" s="125">
        <f t="shared" si="3"/>
        <v>7.6859999999999999</v>
      </c>
      <c r="J15" s="125">
        <v>5</v>
      </c>
      <c r="K15" s="126">
        <v>2</v>
      </c>
      <c r="L15" s="127">
        <f t="shared" si="0"/>
        <v>3.8786940000000003</v>
      </c>
      <c r="M15" s="127">
        <f t="shared" si="1"/>
        <v>2.84877</v>
      </c>
      <c r="N15" s="136" t="s">
        <v>16</v>
      </c>
      <c r="O15" s="128" t="str">
        <f t="shared" si="4"/>
        <v>GLC-LH-SMD=</v>
      </c>
      <c r="P15" s="128">
        <f t="shared" si="2"/>
        <v>-6.25</v>
      </c>
      <c r="Q15" s="129">
        <f t="shared" si="5"/>
        <v>-10.128693999999999</v>
      </c>
      <c r="R15" s="146"/>
      <c r="S15" s="128" t="str">
        <f t="shared" si="6"/>
        <v>-20</v>
      </c>
      <c r="T15" s="129">
        <f t="shared" si="7"/>
        <v>9.8713060000000006</v>
      </c>
      <c r="U15" s="146"/>
    </row>
    <row r="16" spans="1:25" s="130" customFormat="1" x14ac:dyDescent="0.3">
      <c r="A16" s="119">
        <v>15</v>
      </c>
      <c r="B16" s="120" t="s">
        <v>145</v>
      </c>
      <c r="C16" s="121" t="s">
        <v>155</v>
      </c>
      <c r="D16" s="122" t="s">
        <v>2</v>
      </c>
      <c r="E16" s="122" t="s">
        <v>6</v>
      </c>
      <c r="F16" s="124" t="s">
        <v>169</v>
      </c>
      <c r="G16" s="123" t="s">
        <v>156</v>
      </c>
      <c r="H16" s="121">
        <v>26.556999999999999</v>
      </c>
      <c r="I16" s="125">
        <f t="shared" si="3"/>
        <v>31.868399999999998</v>
      </c>
      <c r="J16" s="125">
        <v>16</v>
      </c>
      <c r="K16" s="126">
        <v>2</v>
      </c>
      <c r="L16" s="127">
        <f t="shared" si="0"/>
        <v>12.3847036</v>
      </c>
      <c r="M16" s="127">
        <f t="shared" si="1"/>
        <v>8.1143380000000001</v>
      </c>
      <c r="N16" s="136" t="s">
        <v>16</v>
      </c>
      <c r="O16" s="128" t="str">
        <f t="shared" si="4"/>
        <v>GLC-EX-SMD=</v>
      </c>
      <c r="P16" s="128">
        <f t="shared" si="2"/>
        <v>1</v>
      </c>
      <c r="Q16" s="129">
        <f t="shared" si="5"/>
        <v>-11.3847036</v>
      </c>
      <c r="R16" s="146"/>
      <c r="S16" s="128" t="str">
        <f t="shared" si="6"/>
        <v>-22</v>
      </c>
      <c r="T16" s="129">
        <f t="shared" si="7"/>
        <v>10.6152964</v>
      </c>
      <c r="U16" s="146"/>
    </row>
    <row r="17" spans="1:21" s="130" customFormat="1" x14ac:dyDescent="0.3">
      <c r="A17" s="119">
        <v>16</v>
      </c>
      <c r="B17" s="120" t="s">
        <v>145</v>
      </c>
      <c r="C17" s="121" t="s">
        <v>155</v>
      </c>
      <c r="D17" s="122" t="s">
        <v>2</v>
      </c>
      <c r="E17" s="122" t="s">
        <v>7</v>
      </c>
      <c r="F17" s="123" t="s">
        <v>156</v>
      </c>
      <c r="G17" s="124" t="s">
        <v>170</v>
      </c>
      <c r="H17" s="121">
        <v>12.840999999999999</v>
      </c>
      <c r="I17" s="125">
        <f t="shared" si="3"/>
        <v>15.409199999999998</v>
      </c>
      <c r="J17" s="125">
        <v>8</v>
      </c>
      <c r="K17" s="126">
        <v>2</v>
      </c>
      <c r="L17" s="127">
        <f t="shared" si="0"/>
        <v>6.5696268</v>
      </c>
      <c r="M17" s="127">
        <f t="shared" si="1"/>
        <v>4.5047940000000004</v>
      </c>
      <c r="N17" s="136" t="s">
        <v>17</v>
      </c>
      <c r="O17" s="128" t="str">
        <f t="shared" si="4"/>
        <v>GLC-EX-SMD=</v>
      </c>
      <c r="P17" s="128">
        <f t="shared" si="2"/>
        <v>1</v>
      </c>
      <c r="Q17" s="129">
        <f t="shared" si="5"/>
        <v>-5.5696268</v>
      </c>
      <c r="R17" s="146"/>
      <c r="S17" s="128" t="str">
        <f t="shared" si="6"/>
        <v>-22</v>
      </c>
      <c r="T17" s="129">
        <f t="shared" si="7"/>
        <v>16.430373199999998</v>
      </c>
      <c r="U17" s="146"/>
    </row>
    <row r="18" spans="1:21" s="130" customFormat="1" x14ac:dyDescent="0.3">
      <c r="A18" s="119">
        <v>17</v>
      </c>
      <c r="B18" s="120" t="s">
        <v>145</v>
      </c>
      <c r="C18" s="121" t="s">
        <v>155</v>
      </c>
      <c r="D18" s="122" t="s">
        <v>2</v>
      </c>
      <c r="E18" s="122" t="s">
        <v>7</v>
      </c>
      <c r="F18" s="124" t="s">
        <v>170</v>
      </c>
      <c r="G18" s="124" t="s">
        <v>171</v>
      </c>
      <c r="H18" s="121">
        <v>25.568999999999999</v>
      </c>
      <c r="I18" s="125">
        <f t="shared" si="3"/>
        <v>30.682799999999997</v>
      </c>
      <c r="J18" s="125">
        <v>15</v>
      </c>
      <c r="K18" s="126">
        <v>2</v>
      </c>
      <c r="L18" s="127">
        <f t="shared" si="0"/>
        <v>11.9446412</v>
      </c>
      <c r="M18" s="127">
        <f t="shared" si="1"/>
        <v>7.8331459999999993</v>
      </c>
      <c r="N18" s="136" t="s">
        <v>17</v>
      </c>
      <c r="O18" s="128" t="str">
        <f t="shared" si="4"/>
        <v>GLC-EX-SMD=</v>
      </c>
      <c r="P18" s="128">
        <f t="shared" si="2"/>
        <v>1</v>
      </c>
      <c r="Q18" s="129">
        <f t="shared" si="5"/>
        <v>-10.9446412</v>
      </c>
      <c r="R18" s="146"/>
      <c r="S18" s="128" t="str">
        <f t="shared" si="6"/>
        <v>-22</v>
      </c>
      <c r="T18" s="129">
        <f t="shared" si="7"/>
        <v>11.0553588</v>
      </c>
      <c r="U18" s="146"/>
    </row>
    <row r="19" spans="1:21" s="130" customFormat="1" x14ac:dyDescent="0.3">
      <c r="A19" s="119">
        <v>18</v>
      </c>
      <c r="B19" s="120" t="s">
        <v>145</v>
      </c>
      <c r="C19" s="121" t="s">
        <v>155</v>
      </c>
      <c r="D19" s="122" t="s">
        <v>2</v>
      </c>
      <c r="E19" s="122" t="s">
        <v>7</v>
      </c>
      <c r="F19" s="124" t="s">
        <v>171</v>
      </c>
      <c r="G19" s="124" t="s">
        <v>172</v>
      </c>
      <c r="H19" s="121">
        <v>34.027000000000001</v>
      </c>
      <c r="I19" s="125">
        <f t="shared" si="3"/>
        <v>40.8324</v>
      </c>
      <c r="J19" s="125">
        <v>19</v>
      </c>
      <c r="K19" s="126">
        <v>2</v>
      </c>
      <c r="L19" s="127">
        <f t="shared" si="0"/>
        <v>15.483859599999999</v>
      </c>
      <c r="M19" s="127">
        <f t="shared" si="1"/>
        <v>10.012318</v>
      </c>
      <c r="N19" s="136" t="s">
        <v>17</v>
      </c>
      <c r="O19" s="128" t="str">
        <f t="shared" si="4"/>
        <v>GLC-ZX-SMD=</v>
      </c>
      <c r="P19" s="128">
        <f t="shared" si="2"/>
        <v>2.5</v>
      </c>
      <c r="Q19" s="129">
        <f t="shared" si="5"/>
        <v>-12.983859599999999</v>
      </c>
      <c r="R19" s="146"/>
      <c r="S19" s="128" t="str">
        <f t="shared" si="6"/>
        <v>-23</v>
      </c>
      <c r="T19" s="129">
        <f t="shared" si="7"/>
        <v>10.016140400000001</v>
      </c>
      <c r="U19" s="146"/>
    </row>
    <row r="20" spans="1:21" s="130" customFormat="1" x14ac:dyDescent="0.3">
      <c r="A20" s="119">
        <v>19</v>
      </c>
      <c r="B20" s="120" t="s">
        <v>145</v>
      </c>
      <c r="C20" s="121" t="s">
        <v>155</v>
      </c>
      <c r="D20" s="122" t="s">
        <v>2</v>
      </c>
      <c r="E20" s="122" t="s">
        <v>7</v>
      </c>
      <c r="F20" s="124" t="s">
        <v>172</v>
      </c>
      <c r="G20" s="124" t="s">
        <v>173</v>
      </c>
      <c r="H20" s="121">
        <v>22.233000000000001</v>
      </c>
      <c r="I20" s="125">
        <f t="shared" si="3"/>
        <v>26.679600000000001</v>
      </c>
      <c r="J20" s="125">
        <v>13</v>
      </c>
      <c r="K20" s="126">
        <v>2</v>
      </c>
      <c r="L20" s="127">
        <f t="shared" si="0"/>
        <v>10.527588400000001</v>
      </c>
      <c r="M20" s="127">
        <f t="shared" si="1"/>
        <v>6.9525220000000001</v>
      </c>
      <c r="N20" s="136" t="s">
        <v>17</v>
      </c>
      <c r="O20" s="128" t="str">
        <f t="shared" si="4"/>
        <v>GLC-EX-SMD=</v>
      </c>
      <c r="P20" s="128">
        <f t="shared" si="2"/>
        <v>1</v>
      </c>
      <c r="Q20" s="129">
        <f t="shared" si="5"/>
        <v>-9.5275884000000008</v>
      </c>
      <c r="R20" s="146"/>
      <c r="S20" s="128" t="str">
        <f t="shared" si="6"/>
        <v>-22</v>
      </c>
      <c r="T20" s="129">
        <f t="shared" si="7"/>
        <v>12.472411599999999</v>
      </c>
      <c r="U20" s="146"/>
    </row>
    <row r="21" spans="1:21" s="130" customFormat="1" x14ac:dyDescent="0.3">
      <c r="A21" s="119">
        <v>20</v>
      </c>
      <c r="B21" s="120" t="s">
        <v>145</v>
      </c>
      <c r="C21" s="121" t="s">
        <v>155</v>
      </c>
      <c r="D21" s="122" t="s">
        <v>2</v>
      </c>
      <c r="E21" s="122" t="s">
        <v>7</v>
      </c>
      <c r="F21" s="124" t="s">
        <v>173</v>
      </c>
      <c r="G21" s="124" t="s">
        <v>174</v>
      </c>
      <c r="H21" s="121">
        <v>5.22</v>
      </c>
      <c r="I21" s="125">
        <f t="shared" si="3"/>
        <v>6.2639999999999993</v>
      </c>
      <c r="J21" s="125">
        <v>4</v>
      </c>
      <c r="K21" s="126">
        <v>2</v>
      </c>
      <c r="L21" s="127">
        <f t="shared" si="0"/>
        <v>3.3608560000000001</v>
      </c>
      <c r="M21" s="127">
        <f t="shared" si="1"/>
        <v>2.5214799999999999</v>
      </c>
      <c r="N21" s="136" t="s">
        <v>17</v>
      </c>
      <c r="O21" s="128" t="str">
        <f t="shared" si="4"/>
        <v>GLC-LH-SMD=</v>
      </c>
      <c r="P21" s="128">
        <f t="shared" si="2"/>
        <v>-6.25</v>
      </c>
      <c r="Q21" s="129">
        <f t="shared" si="5"/>
        <v>-9.6108560000000001</v>
      </c>
      <c r="R21" s="146"/>
      <c r="S21" s="128" t="str">
        <f t="shared" si="6"/>
        <v>-20</v>
      </c>
      <c r="T21" s="129">
        <f t="shared" si="7"/>
        <v>10.389144</v>
      </c>
      <c r="U21" s="146"/>
    </row>
    <row r="22" spans="1:21" s="130" customFormat="1" x14ac:dyDescent="0.3">
      <c r="A22" s="119">
        <v>21</v>
      </c>
      <c r="B22" s="120" t="s">
        <v>145</v>
      </c>
      <c r="C22" s="121" t="s">
        <v>155</v>
      </c>
      <c r="D22" s="122" t="s">
        <v>2</v>
      </c>
      <c r="E22" s="122" t="s">
        <v>7</v>
      </c>
      <c r="F22" s="124" t="s">
        <v>174</v>
      </c>
      <c r="G22" s="124" t="s">
        <v>175</v>
      </c>
      <c r="H22" s="121">
        <v>10.878</v>
      </c>
      <c r="I22" s="125">
        <f t="shared" si="3"/>
        <v>13.053599999999999</v>
      </c>
      <c r="J22" s="125">
        <v>8</v>
      </c>
      <c r="K22" s="126">
        <v>2</v>
      </c>
      <c r="L22" s="127">
        <f t="shared" si="0"/>
        <v>5.7946343999999996</v>
      </c>
      <c r="M22" s="127">
        <f t="shared" si="1"/>
        <v>4.045452</v>
      </c>
      <c r="N22" s="136" t="s">
        <v>17</v>
      </c>
      <c r="O22" s="128" t="str">
        <f t="shared" si="4"/>
        <v>GLC-EX-SMD=</v>
      </c>
      <c r="P22" s="128">
        <f t="shared" si="2"/>
        <v>1</v>
      </c>
      <c r="Q22" s="129">
        <f t="shared" si="5"/>
        <v>-4.7946343999999996</v>
      </c>
      <c r="R22" s="146"/>
      <c r="S22" s="128" t="str">
        <f t="shared" si="6"/>
        <v>-22</v>
      </c>
      <c r="T22" s="129">
        <f t="shared" si="7"/>
        <v>17.2053656</v>
      </c>
      <c r="U22" s="146"/>
    </row>
    <row r="23" spans="1:21" s="130" customFormat="1" x14ac:dyDescent="0.3">
      <c r="A23" s="119">
        <v>22</v>
      </c>
      <c r="B23" s="120" t="s">
        <v>145</v>
      </c>
      <c r="C23" s="121" t="s">
        <v>155</v>
      </c>
      <c r="D23" s="122" t="s">
        <v>2</v>
      </c>
      <c r="E23" s="122" t="s">
        <v>7</v>
      </c>
      <c r="F23" s="124" t="s">
        <v>175</v>
      </c>
      <c r="G23" s="123" t="s">
        <v>156</v>
      </c>
      <c r="H23" s="121">
        <v>3.7280000000000002</v>
      </c>
      <c r="I23" s="125">
        <f t="shared" si="3"/>
        <v>4.4736000000000002</v>
      </c>
      <c r="J23" s="125">
        <v>4</v>
      </c>
      <c r="K23" s="126">
        <v>2</v>
      </c>
      <c r="L23" s="127">
        <f t="shared" si="0"/>
        <v>2.7718144000000002</v>
      </c>
      <c r="M23" s="127">
        <f t="shared" si="1"/>
        <v>2.1723520000000001</v>
      </c>
      <c r="N23" s="136" t="s">
        <v>17</v>
      </c>
      <c r="O23" s="128" t="str">
        <f t="shared" si="4"/>
        <v>GLC-LH-SMD=</v>
      </c>
      <c r="P23" s="128">
        <f t="shared" si="2"/>
        <v>-6.25</v>
      </c>
      <c r="Q23" s="129">
        <f t="shared" si="5"/>
        <v>-9.0218144000000002</v>
      </c>
      <c r="R23" s="146"/>
      <c r="S23" s="128" t="str">
        <f t="shared" si="6"/>
        <v>-20</v>
      </c>
      <c r="T23" s="129">
        <f t="shared" si="7"/>
        <v>10.9781856</v>
      </c>
      <c r="U23" s="146"/>
    </row>
    <row r="24" spans="1:21" s="130" customFormat="1" x14ac:dyDescent="0.3">
      <c r="A24" s="119">
        <v>23</v>
      </c>
      <c r="B24" s="120" t="s">
        <v>145</v>
      </c>
      <c r="C24" s="121" t="s">
        <v>155</v>
      </c>
      <c r="D24" s="132" t="s">
        <v>3</v>
      </c>
      <c r="E24" s="132" t="s">
        <v>8</v>
      </c>
      <c r="F24" s="123" t="s">
        <v>156</v>
      </c>
      <c r="G24" s="124" t="s">
        <v>176</v>
      </c>
      <c r="H24" s="121">
        <v>4.3550000000000004</v>
      </c>
      <c r="I24" s="125">
        <f t="shared" si="3"/>
        <v>5.226</v>
      </c>
      <c r="J24" s="125">
        <v>4</v>
      </c>
      <c r="K24" s="126">
        <v>2</v>
      </c>
      <c r="L24" s="127">
        <f t="shared" si="0"/>
        <v>3.0193539999999999</v>
      </c>
      <c r="M24" s="127">
        <f t="shared" si="1"/>
        <v>2.31907</v>
      </c>
      <c r="N24" s="136" t="s">
        <v>11</v>
      </c>
      <c r="O24" s="128" t="str">
        <f t="shared" si="4"/>
        <v>GLC-LH-SMD=</v>
      </c>
      <c r="P24" s="128">
        <f t="shared" si="2"/>
        <v>-6.25</v>
      </c>
      <c r="Q24" s="129">
        <f t="shared" si="5"/>
        <v>-9.2693539999999999</v>
      </c>
      <c r="R24" s="146"/>
      <c r="S24" s="128" t="str">
        <f t="shared" si="6"/>
        <v>-20</v>
      </c>
      <c r="T24" s="129">
        <f t="shared" si="7"/>
        <v>10.730646</v>
      </c>
      <c r="U24" s="146"/>
    </row>
    <row r="25" spans="1:21" s="130" customFormat="1" x14ac:dyDescent="0.3">
      <c r="A25" s="119">
        <v>24</v>
      </c>
      <c r="B25" s="120" t="s">
        <v>145</v>
      </c>
      <c r="C25" s="121" t="s">
        <v>155</v>
      </c>
      <c r="D25" s="132" t="s">
        <v>3</v>
      </c>
      <c r="E25" s="132" t="s">
        <v>8</v>
      </c>
      <c r="F25" s="124" t="s">
        <v>176</v>
      </c>
      <c r="G25" s="124" t="s">
        <v>177</v>
      </c>
      <c r="H25" s="121">
        <v>5.84</v>
      </c>
      <c r="I25" s="125">
        <f t="shared" si="3"/>
        <v>7.008</v>
      </c>
      <c r="J25" s="125">
        <v>5</v>
      </c>
      <c r="K25" s="126">
        <v>2</v>
      </c>
      <c r="L25" s="127">
        <f t="shared" si="0"/>
        <v>3.6556320000000002</v>
      </c>
      <c r="M25" s="127">
        <f t="shared" si="1"/>
        <v>2.7165600000000003</v>
      </c>
      <c r="N25" s="136" t="s">
        <v>11</v>
      </c>
      <c r="O25" s="128" t="str">
        <f t="shared" si="4"/>
        <v>GLC-LH-SMD=</v>
      </c>
      <c r="P25" s="128">
        <f t="shared" si="2"/>
        <v>-6.25</v>
      </c>
      <c r="Q25" s="129">
        <f t="shared" si="5"/>
        <v>-9.9056320000000007</v>
      </c>
      <c r="R25" s="146"/>
      <c r="S25" s="128" t="str">
        <f t="shared" si="6"/>
        <v>-20</v>
      </c>
      <c r="T25" s="129">
        <f t="shared" si="7"/>
        <v>10.094367999999999</v>
      </c>
      <c r="U25" s="146"/>
    </row>
    <row r="26" spans="1:21" s="130" customFormat="1" x14ac:dyDescent="0.3">
      <c r="A26" s="119">
        <v>25</v>
      </c>
      <c r="B26" s="120" t="s">
        <v>145</v>
      </c>
      <c r="C26" s="121" t="s">
        <v>155</v>
      </c>
      <c r="D26" s="132" t="s">
        <v>3</v>
      </c>
      <c r="E26" s="132" t="s">
        <v>8</v>
      </c>
      <c r="F26" s="124" t="s">
        <v>177</v>
      </c>
      <c r="G26" s="124" t="s">
        <v>178</v>
      </c>
      <c r="H26" s="121">
        <v>7.4749999999999996</v>
      </c>
      <c r="I26" s="125">
        <f t="shared" si="3"/>
        <v>8.9699999999999989</v>
      </c>
      <c r="J26" s="125">
        <v>5</v>
      </c>
      <c r="K26" s="126">
        <v>2</v>
      </c>
      <c r="L26" s="127">
        <f t="shared" si="0"/>
        <v>4.3011299999999997</v>
      </c>
      <c r="M26" s="127">
        <f t="shared" si="1"/>
        <v>3.0991499999999998</v>
      </c>
      <c r="N26" s="136" t="s">
        <v>11</v>
      </c>
      <c r="O26" s="128" t="str">
        <f t="shared" si="4"/>
        <v>GLC-LH-SMD=</v>
      </c>
      <c r="P26" s="128">
        <f t="shared" si="2"/>
        <v>-6.25</v>
      </c>
      <c r="Q26" s="129">
        <f t="shared" si="5"/>
        <v>-10.551130000000001</v>
      </c>
      <c r="R26" s="146"/>
      <c r="S26" s="128" t="str">
        <f t="shared" si="6"/>
        <v>-20</v>
      </c>
      <c r="T26" s="129">
        <f t="shared" si="7"/>
        <v>9.4488699999999994</v>
      </c>
      <c r="U26" s="146"/>
    </row>
    <row r="27" spans="1:21" s="130" customFormat="1" x14ac:dyDescent="0.3">
      <c r="A27" s="119">
        <v>26</v>
      </c>
      <c r="B27" s="120" t="s">
        <v>145</v>
      </c>
      <c r="C27" s="121" t="s">
        <v>155</v>
      </c>
      <c r="D27" s="132" t="s">
        <v>3</v>
      </c>
      <c r="E27" s="132" t="s">
        <v>8</v>
      </c>
      <c r="F27" s="124" t="s">
        <v>178</v>
      </c>
      <c r="G27" s="124" t="s">
        <v>179</v>
      </c>
      <c r="H27" s="121">
        <v>0.41</v>
      </c>
      <c r="I27" s="125">
        <f t="shared" si="3"/>
        <v>0.49199999999999994</v>
      </c>
      <c r="J27" s="125">
        <v>3</v>
      </c>
      <c r="K27" s="126">
        <v>2</v>
      </c>
      <c r="L27" s="127">
        <f t="shared" si="0"/>
        <v>1.4118680000000001</v>
      </c>
      <c r="M27" s="127">
        <f t="shared" si="1"/>
        <v>1.3459400000000001</v>
      </c>
      <c r="N27" s="136" t="s">
        <v>11</v>
      </c>
      <c r="O27" s="128" t="str">
        <f t="shared" si="4"/>
        <v>GLC-LH-SMD=</v>
      </c>
      <c r="P27" s="128">
        <f t="shared" si="2"/>
        <v>-6.25</v>
      </c>
      <c r="Q27" s="129">
        <f t="shared" si="5"/>
        <v>-7.6618680000000001</v>
      </c>
      <c r="R27" s="146"/>
      <c r="S27" s="128" t="str">
        <f t="shared" si="6"/>
        <v>-20</v>
      </c>
      <c r="T27" s="129">
        <f t="shared" si="7"/>
        <v>12.338132</v>
      </c>
      <c r="U27" s="146"/>
    </row>
    <row r="28" spans="1:21" s="130" customFormat="1" x14ac:dyDescent="0.3">
      <c r="A28" s="119">
        <v>27</v>
      </c>
      <c r="B28" s="120" t="s">
        <v>145</v>
      </c>
      <c r="C28" s="121" t="s">
        <v>155</v>
      </c>
      <c r="D28" s="132" t="s">
        <v>3</v>
      </c>
      <c r="E28" s="132" t="s">
        <v>8</v>
      </c>
      <c r="F28" s="124" t="s">
        <v>179</v>
      </c>
      <c r="G28" s="124" t="s">
        <v>180</v>
      </c>
      <c r="H28" s="121">
        <v>3.9049999999999998</v>
      </c>
      <c r="I28" s="125">
        <f t="shared" si="3"/>
        <v>4.6859999999999999</v>
      </c>
      <c r="J28" s="125">
        <v>3</v>
      </c>
      <c r="K28" s="126">
        <v>2</v>
      </c>
      <c r="L28" s="127">
        <f t="shared" si="0"/>
        <v>2.7916940000000001</v>
      </c>
      <c r="M28" s="127">
        <f t="shared" si="1"/>
        <v>2.16377</v>
      </c>
      <c r="N28" s="136" t="s">
        <v>11</v>
      </c>
      <c r="O28" s="128" t="str">
        <f t="shared" si="4"/>
        <v>GLC-LH-SMD=</v>
      </c>
      <c r="P28" s="128">
        <f t="shared" si="2"/>
        <v>-6.25</v>
      </c>
      <c r="Q28" s="129">
        <f t="shared" si="5"/>
        <v>-9.0416939999999997</v>
      </c>
      <c r="R28" s="146"/>
      <c r="S28" s="128" t="str">
        <f t="shared" si="6"/>
        <v>-20</v>
      </c>
      <c r="T28" s="129">
        <f t="shared" si="7"/>
        <v>10.958306</v>
      </c>
      <c r="U28" s="146"/>
    </row>
    <row r="29" spans="1:21" s="130" customFormat="1" x14ac:dyDescent="0.3">
      <c r="A29" s="119">
        <v>28</v>
      </c>
      <c r="B29" s="120" t="s">
        <v>145</v>
      </c>
      <c r="C29" s="121" t="s">
        <v>155</v>
      </c>
      <c r="D29" s="132" t="s">
        <v>3</v>
      </c>
      <c r="E29" s="132" t="s">
        <v>8</v>
      </c>
      <c r="F29" s="124" t="s">
        <v>180</v>
      </c>
      <c r="G29" s="124" t="s">
        <v>181</v>
      </c>
      <c r="H29" s="121">
        <v>7.298</v>
      </c>
      <c r="I29" s="125">
        <f t="shared" si="3"/>
        <v>8.7576000000000001</v>
      </c>
      <c r="J29" s="125">
        <v>7</v>
      </c>
      <c r="K29" s="126">
        <v>2</v>
      </c>
      <c r="L29" s="127">
        <f t="shared" si="0"/>
        <v>4.3312504000000001</v>
      </c>
      <c r="M29" s="127">
        <f t="shared" si="1"/>
        <v>3.1577320000000002</v>
      </c>
      <c r="N29" s="136" t="s">
        <v>11</v>
      </c>
      <c r="O29" s="128" t="str">
        <f t="shared" si="4"/>
        <v>GLC-LH-SMD=</v>
      </c>
      <c r="P29" s="128">
        <f t="shared" si="2"/>
        <v>-6.25</v>
      </c>
      <c r="Q29" s="129">
        <f t="shared" si="5"/>
        <v>-10.5812504</v>
      </c>
      <c r="R29" s="146"/>
      <c r="S29" s="128" t="str">
        <f t="shared" si="6"/>
        <v>-20</v>
      </c>
      <c r="T29" s="129">
        <f t="shared" si="7"/>
        <v>9.4187495999999999</v>
      </c>
      <c r="U29" s="146"/>
    </row>
    <row r="30" spans="1:21" s="130" customFormat="1" x14ac:dyDescent="0.3">
      <c r="A30" s="119">
        <v>29</v>
      </c>
      <c r="B30" s="120" t="s">
        <v>145</v>
      </c>
      <c r="C30" s="121" t="s">
        <v>155</v>
      </c>
      <c r="D30" s="132" t="s">
        <v>3</v>
      </c>
      <c r="E30" s="132" t="s">
        <v>8</v>
      </c>
      <c r="F30" s="124" t="s">
        <v>181</v>
      </c>
      <c r="G30" s="124" t="s">
        <v>182</v>
      </c>
      <c r="H30" s="121">
        <v>5.032</v>
      </c>
      <c r="I30" s="125">
        <f t="shared" si="3"/>
        <v>6.0384000000000002</v>
      </c>
      <c r="J30" s="125">
        <v>5</v>
      </c>
      <c r="K30" s="126">
        <v>2</v>
      </c>
      <c r="L30" s="127">
        <f t="shared" si="0"/>
        <v>3.3366336000000003</v>
      </c>
      <c r="M30" s="127">
        <f t="shared" si="1"/>
        <v>2.527488</v>
      </c>
      <c r="N30" s="136" t="s">
        <v>11</v>
      </c>
      <c r="O30" s="128" t="str">
        <f t="shared" si="4"/>
        <v>GLC-LH-SMD=</v>
      </c>
      <c r="P30" s="128">
        <f t="shared" si="2"/>
        <v>-6.25</v>
      </c>
      <c r="Q30" s="129">
        <f t="shared" si="5"/>
        <v>-9.5866336000000008</v>
      </c>
      <c r="R30" s="146"/>
      <c r="S30" s="128" t="str">
        <f t="shared" si="6"/>
        <v>-20</v>
      </c>
      <c r="T30" s="129">
        <f t="shared" si="7"/>
        <v>10.413366399999999</v>
      </c>
      <c r="U30" s="146"/>
    </row>
    <row r="31" spans="1:21" s="130" customFormat="1" x14ac:dyDescent="0.3">
      <c r="A31" s="119">
        <v>30</v>
      </c>
      <c r="B31" s="120" t="s">
        <v>145</v>
      </c>
      <c r="C31" s="121" t="s">
        <v>155</v>
      </c>
      <c r="D31" s="132" t="s">
        <v>3</v>
      </c>
      <c r="E31" s="132" t="s">
        <v>8</v>
      </c>
      <c r="F31" s="124" t="s">
        <v>182</v>
      </c>
      <c r="G31" s="124" t="s">
        <v>183</v>
      </c>
      <c r="H31" s="121">
        <v>28.87</v>
      </c>
      <c r="I31" s="125">
        <f t="shared" si="3"/>
        <v>34.643999999999998</v>
      </c>
      <c r="J31" s="125">
        <v>17</v>
      </c>
      <c r="K31" s="126">
        <v>2</v>
      </c>
      <c r="L31" s="127">
        <f t="shared" si="0"/>
        <v>13.347875999999999</v>
      </c>
      <c r="M31" s="127">
        <f t="shared" si="1"/>
        <v>8.7055799999999994</v>
      </c>
      <c r="N31" s="136" t="s">
        <v>11</v>
      </c>
      <c r="O31" s="128" t="str">
        <f t="shared" si="4"/>
        <v>GLC-EX-SMD=</v>
      </c>
      <c r="P31" s="128">
        <f t="shared" si="2"/>
        <v>1</v>
      </c>
      <c r="Q31" s="129">
        <f t="shared" si="5"/>
        <v>-12.347875999999999</v>
      </c>
      <c r="R31" s="146"/>
      <c r="S31" s="128" t="str">
        <f t="shared" si="6"/>
        <v>-22</v>
      </c>
      <c r="T31" s="129">
        <f t="shared" si="7"/>
        <v>9.6521240000000006</v>
      </c>
      <c r="U31" s="146"/>
    </row>
    <row r="32" spans="1:21" s="130" customFormat="1" x14ac:dyDescent="0.3">
      <c r="A32" s="119">
        <v>31</v>
      </c>
      <c r="B32" s="120" t="s">
        <v>145</v>
      </c>
      <c r="C32" s="121" t="s">
        <v>155</v>
      </c>
      <c r="D32" s="132" t="s">
        <v>3</v>
      </c>
      <c r="E32" s="132" t="s">
        <v>8</v>
      </c>
      <c r="F32" s="124" t="s">
        <v>183</v>
      </c>
      <c r="G32" s="123" t="s">
        <v>156</v>
      </c>
      <c r="H32" s="121">
        <v>15</v>
      </c>
      <c r="I32" s="125">
        <f t="shared" si="3"/>
        <v>18</v>
      </c>
      <c r="J32" s="125">
        <v>9</v>
      </c>
      <c r="K32" s="126">
        <v>2</v>
      </c>
      <c r="L32" s="127">
        <f t="shared" si="0"/>
        <v>7.4720000000000004</v>
      </c>
      <c r="M32" s="127">
        <f t="shared" si="1"/>
        <v>5.0600000000000005</v>
      </c>
      <c r="N32" s="136" t="s">
        <v>11</v>
      </c>
      <c r="O32" s="128" t="str">
        <f t="shared" si="4"/>
        <v>GLC-EX-SMD=</v>
      </c>
      <c r="P32" s="128">
        <f t="shared" si="2"/>
        <v>1</v>
      </c>
      <c r="Q32" s="129">
        <f t="shared" si="5"/>
        <v>-6.4720000000000004</v>
      </c>
      <c r="R32" s="146"/>
      <c r="S32" s="128" t="str">
        <f t="shared" si="6"/>
        <v>-22</v>
      </c>
      <c r="T32" s="129">
        <f t="shared" si="7"/>
        <v>15.527999999999999</v>
      </c>
      <c r="U32" s="146"/>
    </row>
    <row r="33" spans="1:21" s="130" customFormat="1" x14ac:dyDescent="0.3">
      <c r="A33" s="119">
        <v>32</v>
      </c>
      <c r="B33" s="120" t="s">
        <v>145</v>
      </c>
      <c r="C33" s="121" t="s">
        <v>155</v>
      </c>
      <c r="D33" s="132" t="s">
        <v>3</v>
      </c>
      <c r="E33" s="132" t="s">
        <v>9</v>
      </c>
      <c r="F33" s="123" t="s">
        <v>156</v>
      </c>
      <c r="G33" s="124" t="s">
        <v>184</v>
      </c>
      <c r="H33" s="121">
        <v>33.86</v>
      </c>
      <c r="I33" s="125">
        <f t="shared" si="3"/>
        <v>40.631999999999998</v>
      </c>
      <c r="J33" s="125">
        <v>18</v>
      </c>
      <c r="K33" s="126">
        <v>2</v>
      </c>
      <c r="L33" s="127">
        <f t="shared" si="0"/>
        <v>15.367927999999999</v>
      </c>
      <c r="M33" s="127">
        <f t="shared" si="1"/>
        <v>9.9232399999999998</v>
      </c>
      <c r="N33" s="136" t="s">
        <v>16</v>
      </c>
      <c r="O33" s="128" t="str">
        <f t="shared" si="4"/>
        <v>GLC-ZX-SMD=</v>
      </c>
      <c r="P33" s="128">
        <f t="shared" si="2"/>
        <v>2.5</v>
      </c>
      <c r="Q33" s="129">
        <f t="shared" si="5"/>
        <v>-12.867927999999999</v>
      </c>
      <c r="R33" s="146"/>
      <c r="S33" s="128" t="str">
        <f t="shared" si="6"/>
        <v>-23</v>
      </c>
      <c r="T33" s="129">
        <f t="shared" si="7"/>
        <v>10.132072000000001</v>
      </c>
      <c r="U33" s="146"/>
    </row>
    <row r="34" spans="1:21" s="130" customFormat="1" x14ac:dyDescent="0.3">
      <c r="A34" s="119">
        <v>33</v>
      </c>
      <c r="B34" s="120" t="s">
        <v>145</v>
      </c>
      <c r="C34" s="121" t="s">
        <v>155</v>
      </c>
      <c r="D34" s="132" t="s">
        <v>3</v>
      </c>
      <c r="E34" s="132" t="s">
        <v>9</v>
      </c>
      <c r="F34" s="124" t="s">
        <v>184</v>
      </c>
      <c r="G34" s="124" t="s">
        <v>185</v>
      </c>
      <c r="H34" s="121">
        <v>3.34</v>
      </c>
      <c r="I34" s="125">
        <f t="shared" si="3"/>
        <v>4.008</v>
      </c>
      <c r="J34" s="125">
        <v>4</v>
      </c>
      <c r="K34" s="126">
        <v>2</v>
      </c>
      <c r="L34" s="127">
        <f t="shared" ref="L34:L65" si="8">I34*0.329+J34*0.05+K34*0.05+0.5*2</f>
        <v>2.6186319999999998</v>
      </c>
      <c r="M34" s="127">
        <f t="shared" ref="M34:M65" si="9">I34*0.195+J34*0.05+K34*0.05+0.5*2</f>
        <v>2.0815600000000001</v>
      </c>
      <c r="N34" s="136" t="s">
        <v>16</v>
      </c>
      <c r="O34" s="128" t="str">
        <f t="shared" si="4"/>
        <v>GLC-LH-SMD=</v>
      </c>
      <c r="P34" s="128">
        <f t="shared" si="2"/>
        <v>-6.25</v>
      </c>
      <c r="Q34" s="129">
        <f t="shared" si="5"/>
        <v>-8.8686319999999998</v>
      </c>
      <c r="R34" s="146"/>
      <c r="S34" s="128" t="str">
        <f t="shared" si="6"/>
        <v>-20</v>
      </c>
      <c r="T34" s="129">
        <f t="shared" si="7"/>
        <v>11.131368</v>
      </c>
      <c r="U34" s="146"/>
    </row>
    <row r="35" spans="1:21" s="130" customFormat="1" ht="15.75" customHeight="1" x14ac:dyDescent="0.3">
      <c r="A35" s="119">
        <v>34</v>
      </c>
      <c r="B35" s="120" t="s">
        <v>145</v>
      </c>
      <c r="C35" s="121" t="s">
        <v>155</v>
      </c>
      <c r="D35" s="132" t="s">
        <v>3</v>
      </c>
      <c r="E35" s="132" t="s">
        <v>9</v>
      </c>
      <c r="F35" s="124" t="s">
        <v>185</v>
      </c>
      <c r="G35" s="124" t="s">
        <v>186</v>
      </c>
      <c r="H35" s="121">
        <v>2.843</v>
      </c>
      <c r="I35" s="125">
        <f t="shared" si="3"/>
        <v>3.4116</v>
      </c>
      <c r="J35" s="125">
        <v>3</v>
      </c>
      <c r="K35" s="126">
        <v>2</v>
      </c>
      <c r="L35" s="127">
        <f t="shared" si="8"/>
        <v>2.3724164000000001</v>
      </c>
      <c r="M35" s="127">
        <f t="shared" si="9"/>
        <v>1.915262</v>
      </c>
      <c r="N35" s="136" t="s">
        <v>16</v>
      </c>
      <c r="O35" s="128" t="str">
        <f t="shared" si="4"/>
        <v>GLC-LH-SMD=</v>
      </c>
      <c r="P35" s="128">
        <f t="shared" si="2"/>
        <v>-6.25</v>
      </c>
      <c r="Q35" s="129">
        <f t="shared" si="5"/>
        <v>-8.6224164000000005</v>
      </c>
      <c r="R35" s="146"/>
      <c r="S35" s="128" t="str">
        <f t="shared" si="6"/>
        <v>-20</v>
      </c>
      <c r="T35" s="129">
        <f t="shared" si="7"/>
        <v>11.377583599999999</v>
      </c>
      <c r="U35" s="146"/>
    </row>
    <row r="36" spans="1:21" s="130" customFormat="1" x14ac:dyDescent="0.3">
      <c r="A36" s="119">
        <v>35</v>
      </c>
      <c r="B36" s="120" t="s">
        <v>145</v>
      </c>
      <c r="C36" s="121" t="s">
        <v>155</v>
      </c>
      <c r="D36" s="132" t="s">
        <v>3</v>
      </c>
      <c r="E36" s="132" t="s">
        <v>9</v>
      </c>
      <c r="F36" s="124" t="s">
        <v>186</v>
      </c>
      <c r="G36" s="124" t="s">
        <v>187</v>
      </c>
      <c r="H36" s="121">
        <v>3.3170000000000002</v>
      </c>
      <c r="I36" s="125">
        <f t="shared" si="3"/>
        <v>3.9803999999999999</v>
      </c>
      <c r="J36" s="125">
        <v>4</v>
      </c>
      <c r="K36" s="126">
        <v>2</v>
      </c>
      <c r="L36" s="127">
        <f t="shared" si="8"/>
        <v>2.6095516000000001</v>
      </c>
      <c r="M36" s="127">
        <f t="shared" si="9"/>
        <v>2.0761780000000001</v>
      </c>
      <c r="N36" s="136" t="s">
        <v>16</v>
      </c>
      <c r="O36" s="128" t="str">
        <f t="shared" si="4"/>
        <v>GLC-LH-SMD=</v>
      </c>
      <c r="P36" s="128">
        <f t="shared" si="2"/>
        <v>-6.25</v>
      </c>
      <c r="Q36" s="129">
        <f t="shared" si="5"/>
        <v>-8.8595515999999996</v>
      </c>
      <c r="R36" s="146"/>
      <c r="S36" s="128" t="str">
        <f t="shared" si="6"/>
        <v>-20</v>
      </c>
      <c r="T36" s="129">
        <f t="shared" si="7"/>
        <v>11.1404484</v>
      </c>
      <c r="U36" s="146"/>
    </row>
    <row r="37" spans="1:21" s="130" customFormat="1" x14ac:dyDescent="0.3">
      <c r="A37" s="119">
        <v>36</v>
      </c>
      <c r="B37" s="120" t="s">
        <v>145</v>
      </c>
      <c r="C37" s="121" t="s">
        <v>155</v>
      </c>
      <c r="D37" s="132" t="s">
        <v>3</v>
      </c>
      <c r="E37" s="132" t="s">
        <v>9</v>
      </c>
      <c r="F37" s="124" t="s">
        <v>187</v>
      </c>
      <c r="G37" s="124" t="s">
        <v>188</v>
      </c>
      <c r="H37" s="121">
        <v>3.47</v>
      </c>
      <c r="I37" s="125">
        <f t="shared" si="3"/>
        <v>4.1639999999999997</v>
      </c>
      <c r="J37" s="125">
        <v>4</v>
      </c>
      <c r="K37" s="126">
        <v>2</v>
      </c>
      <c r="L37" s="127">
        <f t="shared" si="8"/>
        <v>2.669956</v>
      </c>
      <c r="M37" s="127">
        <f t="shared" si="9"/>
        <v>2.11198</v>
      </c>
      <c r="N37" s="136" t="s">
        <v>16</v>
      </c>
      <c r="O37" s="128" t="str">
        <f t="shared" si="4"/>
        <v>GLC-LH-SMD=</v>
      </c>
      <c r="P37" s="128">
        <f t="shared" si="2"/>
        <v>-6.25</v>
      </c>
      <c r="Q37" s="129">
        <f t="shared" si="5"/>
        <v>-8.9199559999999991</v>
      </c>
      <c r="R37" s="146"/>
      <c r="S37" s="128" t="str">
        <f t="shared" si="6"/>
        <v>-20</v>
      </c>
      <c r="T37" s="129">
        <f t="shared" si="7"/>
        <v>11.080044000000001</v>
      </c>
      <c r="U37" s="146"/>
    </row>
    <row r="38" spans="1:21" s="130" customFormat="1" x14ac:dyDescent="0.3">
      <c r="A38" s="119">
        <v>37</v>
      </c>
      <c r="B38" s="120" t="s">
        <v>145</v>
      </c>
      <c r="C38" s="121" t="s">
        <v>155</v>
      </c>
      <c r="D38" s="132" t="s">
        <v>3</v>
      </c>
      <c r="E38" s="132" t="s">
        <v>9</v>
      </c>
      <c r="F38" s="124" t="s">
        <v>188</v>
      </c>
      <c r="G38" s="124" t="s">
        <v>189</v>
      </c>
      <c r="H38" s="121">
        <v>3.2829999999999999</v>
      </c>
      <c r="I38" s="125">
        <f t="shared" si="3"/>
        <v>3.9395999999999995</v>
      </c>
      <c r="J38" s="125">
        <v>4</v>
      </c>
      <c r="K38" s="126">
        <v>2</v>
      </c>
      <c r="L38" s="127">
        <f t="shared" si="8"/>
        <v>2.5961284</v>
      </c>
      <c r="M38" s="127">
        <f t="shared" si="9"/>
        <v>2.068222</v>
      </c>
      <c r="N38" s="136" t="s">
        <v>16</v>
      </c>
      <c r="O38" s="128" t="str">
        <f t="shared" si="4"/>
        <v>GLC-LH-SMD=</v>
      </c>
      <c r="P38" s="128">
        <f t="shared" si="2"/>
        <v>-6.25</v>
      </c>
      <c r="Q38" s="129">
        <f t="shared" si="5"/>
        <v>-8.8461283999999996</v>
      </c>
      <c r="R38" s="146"/>
      <c r="S38" s="128" t="str">
        <f t="shared" si="6"/>
        <v>-20</v>
      </c>
      <c r="T38" s="129">
        <f t="shared" si="7"/>
        <v>11.1538716</v>
      </c>
      <c r="U38" s="146"/>
    </row>
    <row r="39" spans="1:21" s="130" customFormat="1" x14ac:dyDescent="0.3">
      <c r="A39" s="119">
        <v>38</v>
      </c>
      <c r="B39" s="120" t="s">
        <v>145</v>
      </c>
      <c r="C39" s="121" t="s">
        <v>155</v>
      </c>
      <c r="D39" s="132" t="s">
        <v>3</v>
      </c>
      <c r="E39" s="132" t="s">
        <v>9</v>
      </c>
      <c r="F39" s="124" t="s">
        <v>189</v>
      </c>
      <c r="G39" s="124" t="s">
        <v>190</v>
      </c>
      <c r="H39" s="121">
        <v>9.73</v>
      </c>
      <c r="I39" s="125">
        <f t="shared" si="3"/>
        <v>11.676</v>
      </c>
      <c r="J39" s="125">
        <v>7</v>
      </c>
      <c r="K39" s="126">
        <v>2</v>
      </c>
      <c r="L39" s="127">
        <f t="shared" si="8"/>
        <v>5.291404</v>
      </c>
      <c r="M39" s="127">
        <f t="shared" si="9"/>
        <v>3.7268200000000005</v>
      </c>
      <c r="N39" s="136" t="s">
        <v>16</v>
      </c>
      <c r="O39" s="128" t="str">
        <f t="shared" si="4"/>
        <v>GLC-EX-SMD=</v>
      </c>
      <c r="P39" s="128">
        <f t="shared" si="2"/>
        <v>1</v>
      </c>
      <c r="Q39" s="129">
        <f t="shared" si="5"/>
        <v>-4.291404</v>
      </c>
      <c r="R39" s="146"/>
      <c r="S39" s="128" t="str">
        <f t="shared" si="6"/>
        <v>-22</v>
      </c>
      <c r="T39" s="129">
        <f t="shared" si="7"/>
        <v>17.708596</v>
      </c>
      <c r="U39" s="146"/>
    </row>
    <row r="40" spans="1:21" s="130" customFormat="1" x14ac:dyDescent="0.3">
      <c r="A40" s="119">
        <v>39</v>
      </c>
      <c r="B40" s="120" t="s">
        <v>145</v>
      </c>
      <c r="C40" s="121" t="s">
        <v>155</v>
      </c>
      <c r="D40" s="132" t="s">
        <v>3</v>
      </c>
      <c r="E40" s="132" t="s">
        <v>9</v>
      </c>
      <c r="F40" s="124" t="s">
        <v>190</v>
      </c>
      <c r="G40" s="124" t="s">
        <v>191</v>
      </c>
      <c r="H40" s="121">
        <v>4.5679999999999996</v>
      </c>
      <c r="I40" s="125">
        <f t="shared" si="3"/>
        <v>5.4815999999999994</v>
      </c>
      <c r="J40" s="125">
        <v>5</v>
      </c>
      <c r="K40" s="126">
        <v>2</v>
      </c>
      <c r="L40" s="127">
        <f t="shared" si="8"/>
        <v>3.1534464</v>
      </c>
      <c r="M40" s="127">
        <f t="shared" si="9"/>
        <v>2.4189119999999997</v>
      </c>
      <c r="N40" s="136" t="s">
        <v>16</v>
      </c>
      <c r="O40" s="128" t="str">
        <f t="shared" si="4"/>
        <v>GLC-LH-SMD=</v>
      </c>
      <c r="P40" s="128">
        <f t="shared" si="2"/>
        <v>-6.25</v>
      </c>
      <c r="Q40" s="129">
        <f t="shared" si="5"/>
        <v>-9.4034464</v>
      </c>
      <c r="R40" s="146"/>
      <c r="S40" s="128" t="str">
        <f t="shared" si="6"/>
        <v>-20</v>
      </c>
      <c r="T40" s="129">
        <f t="shared" si="7"/>
        <v>10.5965536</v>
      </c>
      <c r="U40" s="146"/>
    </row>
    <row r="41" spans="1:21" s="130" customFormat="1" x14ac:dyDescent="0.3">
      <c r="A41" s="119">
        <v>40</v>
      </c>
      <c r="B41" s="120" t="s">
        <v>145</v>
      </c>
      <c r="C41" s="121" t="s">
        <v>155</v>
      </c>
      <c r="D41" s="132" t="s">
        <v>3</v>
      </c>
      <c r="E41" s="132" t="s">
        <v>9</v>
      </c>
      <c r="F41" s="124" t="s">
        <v>191</v>
      </c>
      <c r="G41" s="124" t="s">
        <v>192</v>
      </c>
      <c r="H41" s="121">
        <v>4.1029999999999998</v>
      </c>
      <c r="I41" s="125">
        <f t="shared" si="3"/>
        <v>4.9235999999999995</v>
      </c>
      <c r="J41" s="125">
        <v>4</v>
      </c>
      <c r="K41" s="126">
        <v>2</v>
      </c>
      <c r="L41" s="127">
        <f t="shared" si="8"/>
        <v>2.9198643999999998</v>
      </c>
      <c r="M41" s="127">
        <f t="shared" si="9"/>
        <v>2.2601019999999998</v>
      </c>
      <c r="N41" s="136" t="s">
        <v>16</v>
      </c>
      <c r="O41" s="128" t="str">
        <f t="shared" si="4"/>
        <v>GLC-LH-SMD=</v>
      </c>
      <c r="P41" s="128">
        <f t="shared" si="2"/>
        <v>-6.25</v>
      </c>
      <c r="Q41" s="129">
        <f t="shared" si="5"/>
        <v>-9.1698643999999998</v>
      </c>
      <c r="R41" s="146"/>
      <c r="S41" s="128" t="str">
        <f t="shared" si="6"/>
        <v>-20</v>
      </c>
      <c r="T41" s="129">
        <f t="shared" si="7"/>
        <v>10.8301356</v>
      </c>
      <c r="U41" s="146"/>
    </row>
    <row r="42" spans="1:21" s="130" customFormat="1" x14ac:dyDescent="0.3">
      <c r="A42" s="119">
        <v>41</v>
      </c>
      <c r="B42" s="120" t="s">
        <v>145</v>
      </c>
      <c r="C42" s="121" t="s">
        <v>155</v>
      </c>
      <c r="D42" s="132" t="s">
        <v>3</v>
      </c>
      <c r="E42" s="132" t="s">
        <v>9</v>
      </c>
      <c r="F42" s="124" t="s">
        <v>192</v>
      </c>
      <c r="G42" s="123" t="s">
        <v>156</v>
      </c>
      <c r="H42" s="121">
        <v>6.2220000000000004</v>
      </c>
      <c r="I42" s="125">
        <f t="shared" si="3"/>
        <v>7.4664000000000001</v>
      </c>
      <c r="J42" s="125">
        <v>5</v>
      </c>
      <c r="K42" s="126">
        <v>2</v>
      </c>
      <c r="L42" s="127">
        <f t="shared" si="8"/>
        <v>3.8064456000000004</v>
      </c>
      <c r="M42" s="127">
        <f t="shared" si="9"/>
        <v>2.8059479999999999</v>
      </c>
      <c r="N42" s="136" t="s">
        <v>16</v>
      </c>
      <c r="O42" s="128" t="str">
        <f t="shared" si="4"/>
        <v>GLC-LH-SMD=</v>
      </c>
      <c r="P42" s="128">
        <f t="shared" si="2"/>
        <v>-6.25</v>
      </c>
      <c r="Q42" s="129">
        <f t="shared" si="5"/>
        <v>-10.0564456</v>
      </c>
      <c r="R42" s="146"/>
      <c r="S42" s="128" t="str">
        <f t="shared" si="6"/>
        <v>-20</v>
      </c>
      <c r="T42" s="129">
        <f t="shared" si="7"/>
        <v>9.9435544</v>
      </c>
      <c r="U42" s="146"/>
    </row>
    <row r="43" spans="1:21" s="130" customFormat="1" x14ac:dyDescent="0.3">
      <c r="A43" s="119">
        <v>42</v>
      </c>
      <c r="B43" s="120" t="s">
        <v>145</v>
      </c>
      <c r="C43" s="121" t="s">
        <v>155</v>
      </c>
      <c r="D43" s="133" t="s">
        <v>19</v>
      </c>
      <c r="E43" s="133" t="s">
        <v>18</v>
      </c>
      <c r="F43" s="123" t="s">
        <v>156</v>
      </c>
      <c r="G43" s="124" t="s">
        <v>193</v>
      </c>
      <c r="H43" s="121">
        <v>4.5739999999999998</v>
      </c>
      <c r="I43" s="125">
        <f t="shared" si="3"/>
        <v>5.4887999999999995</v>
      </c>
      <c r="J43" s="125">
        <v>4</v>
      </c>
      <c r="K43" s="126">
        <v>2</v>
      </c>
      <c r="L43" s="127">
        <f t="shared" si="8"/>
        <v>3.1058151999999999</v>
      </c>
      <c r="M43" s="127">
        <f t="shared" si="9"/>
        <v>2.3703159999999999</v>
      </c>
      <c r="N43" s="136" t="s">
        <v>11</v>
      </c>
      <c r="O43" s="128" t="str">
        <f t="shared" si="4"/>
        <v>GLC-LH-SMD=</v>
      </c>
      <c r="P43" s="128">
        <f t="shared" si="2"/>
        <v>-6.25</v>
      </c>
      <c r="Q43" s="129">
        <f t="shared" si="5"/>
        <v>-9.3558152000000003</v>
      </c>
      <c r="R43" s="146"/>
      <c r="S43" s="128" t="str">
        <f t="shared" si="6"/>
        <v>-20</v>
      </c>
      <c r="T43" s="129">
        <f t="shared" si="7"/>
        <v>10.6441848</v>
      </c>
      <c r="U43" s="146"/>
    </row>
    <row r="44" spans="1:21" s="130" customFormat="1" x14ac:dyDescent="0.3">
      <c r="A44" s="119">
        <v>43</v>
      </c>
      <c r="B44" s="120" t="s">
        <v>145</v>
      </c>
      <c r="C44" s="121" t="s">
        <v>155</v>
      </c>
      <c r="D44" s="133" t="s">
        <v>19</v>
      </c>
      <c r="E44" s="133" t="s">
        <v>18</v>
      </c>
      <c r="F44" s="124" t="s">
        <v>193</v>
      </c>
      <c r="G44" s="124" t="s">
        <v>194</v>
      </c>
      <c r="H44" s="121">
        <v>5.6310000000000002</v>
      </c>
      <c r="I44" s="125">
        <f t="shared" si="3"/>
        <v>6.7572000000000001</v>
      </c>
      <c r="J44" s="125">
        <v>5</v>
      </c>
      <c r="K44" s="126">
        <v>2</v>
      </c>
      <c r="L44" s="127">
        <f t="shared" si="8"/>
        <v>3.5731188</v>
      </c>
      <c r="M44" s="127">
        <f t="shared" si="9"/>
        <v>2.6676540000000002</v>
      </c>
      <c r="N44" s="136" t="s">
        <v>11</v>
      </c>
      <c r="O44" s="128" t="str">
        <f t="shared" si="4"/>
        <v>GLC-LH-SMD=</v>
      </c>
      <c r="P44" s="128">
        <f t="shared" si="2"/>
        <v>-6.25</v>
      </c>
      <c r="Q44" s="129">
        <f t="shared" si="5"/>
        <v>-9.8231187999999996</v>
      </c>
      <c r="R44" s="146"/>
      <c r="S44" s="128" t="str">
        <f t="shared" si="6"/>
        <v>-20</v>
      </c>
      <c r="T44" s="129">
        <f t="shared" si="7"/>
        <v>10.1768812</v>
      </c>
      <c r="U44" s="146"/>
    </row>
    <row r="45" spans="1:21" s="130" customFormat="1" x14ac:dyDescent="0.3">
      <c r="A45" s="119">
        <v>44</v>
      </c>
      <c r="B45" s="120" t="s">
        <v>145</v>
      </c>
      <c r="C45" s="121" t="s">
        <v>155</v>
      </c>
      <c r="D45" s="133" t="s">
        <v>19</v>
      </c>
      <c r="E45" s="133" t="s">
        <v>18</v>
      </c>
      <c r="F45" s="124" t="s">
        <v>194</v>
      </c>
      <c r="G45" s="124" t="s">
        <v>195</v>
      </c>
      <c r="H45" s="121">
        <v>2.0739999999999998</v>
      </c>
      <c r="I45" s="125">
        <f t="shared" si="3"/>
        <v>2.4887999999999999</v>
      </c>
      <c r="J45" s="125">
        <v>3</v>
      </c>
      <c r="K45" s="126">
        <v>2</v>
      </c>
      <c r="L45" s="127">
        <f t="shared" si="8"/>
        <v>2.0688152</v>
      </c>
      <c r="M45" s="127">
        <f t="shared" si="9"/>
        <v>1.7353160000000001</v>
      </c>
      <c r="N45" s="136" t="s">
        <v>11</v>
      </c>
      <c r="O45" s="128" t="str">
        <f t="shared" si="4"/>
        <v>GLC-LH-SMD=</v>
      </c>
      <c r="P45" s="128">
        <f t="shared" si="2"/>
        <v>-6.25</v>
      </c>
      <c r="Q45" s="129">
        <f t="shared" si="5"/>
        <v>-8.3188151999999995</v>
      </c>
      <c r="R45" s="146"/>
      <c r="S45" s="128" t="str">
        <f t="shared" si="6"/>
        <v>-20</v>
      </c>
      <c r="T45" s="129">
        <f t="shared" si="7"/>
        <v>11.6811848</v>
      </c>
      <c r="U45" s="146"/>
    </row>
    <row r="46" spans="1:21" s="130" customFormat="1" x14ac:dyDescent="0.3">
      <c r="A46" s="119">
        <v>45</v>
      </c>
      <c r="B46" s="120" t="s">
        <v>145</v>
      </c>
      <c r="C46" s="121" t="s">
        <v>155</v>
      </c>
      <c r="D46" s="133" t="s">
        <v>19</v>
      </c>
      <c r="E46" s="133" t="s">
        <v>18</v>
      </c>
      <c r="F46" s="124" t="s">
        <v>195</v>
      </c>
      <c r="G46" s="124" t="s">
        <v>196</v>
      </c>
      <c r="H46" s="121">
        <v>3.9830000000000001</v>
      </c>
      <c r="I46" s="125">
        <f t="shared" si="3"/>
        <v>4.7796000000000003</v>
      </c>
      <c r="J46" s="125">
        <v>4</v>
      </c>
      <c r="K46" s="126">
        <v>2</v>
      </c>
      <c r="L46" s="127">
        <f t="shared" si="8"/>
        <v>2.8724883999999999</v>
      </c>
      <c r="M46" s="127">
        <f t="shared" si="9"/>
        <v>2.2320220000000002</v>
      </c>
      <c r="N46" s="136" t="s">
        <v>11</v>
      </c>
      <c r="O46" s="128" t="str">
        <f t="shared" si="4"/>
        <v>GLC-LH-SMD=</v>
      </c>
      <c r="P46" s="128">
        <f t="shared" si="2"/>
        <v>-6.25</v>
      </c>
      <c r="Q46" s="129">
        <f t="shared" si="5"/>
        <v>-9.1224883999999999</v>
      </c>
      <c r="R46" s="146"/>
      <c r="S46" s="128" t="str">
        <f t="shared" si="6"/>
        <v>-20</v>
      </c>
      <c r="T46" s="129">
        <f t="shared" si="7"/>
        <v>10.8775116</v>
      </c>
      <c r="U46" s="146"/>
    </row>
    <row r="47" spans="1:21" s="130" customFormat="1" x14ac:dyDescent="0.3">
      <c r="A47" s="119">
        <v>46</v>
      </c>
      <c r="B47" s="120" t="s">
        <v>145</v>
      </c>
      <c r="C47" s="121" t="s">
        <v>155</v>
      </c>
      <c r="D47" s="133" t="s">
        <v>19</v>
      </c>
      <c r="E47" s="133" t="s">
        <v>18</v>
      </c>
      <c r="F47" s="124" t="s">
        <v>196</v>
      </c>
      <c r="G47" s="124" t="s">
        <v>197</v>
      </c>
      <c r="H47" s="121">
        <v>2.363</v>
      </c>
      <c r="I47" s="125">
        <f t="shared" si="3"/>
        <v>2.8355999999999999</v>
      </c>
      <c r="J47" s="125">
        <v>3</v>
      </c>
      <c r="K47" s="126">
        <v>2</v>
      </c>
      <c r="L47" s="127">
        <f t="shared" si="8"/>
        <v>2.1829124000000002</v>
      </c>
      <c r="M47" s="127">
        <f t="shared" si="9"/>
        <v>1.802942</v>
      </c>
      <c r="N47" s="136" t="s">
        <v>11</v>
      </c>
      <c r="O47" s="128" t="str">
        <f t="shared" si="4"/>
        <v>GLC-LH-SMD=</v>
      </c>
      <c r="P47" s="128">
        <f t="shared" si="2"/>
        <v>-6.25</v>
      </c>
      <c r="Q47" s="129">
        <f t="shared" si="5"/>
        <v>-8.4329123999999993</v>
      </c>
      <c r="R47" s="146"/>
      <c r="S47" s="128" t="str">
        <f t="shared" si="6"/>
        <v>-20</v>
      </c>
      <c r="T47" s="129">
        <f t="shared" si="7"/>
        <v>11.567087600000001</v>
      </c>
      <c r="U47" s="146"/>
    </row>
    <row r="48" spans="1:21" s="130" customFormat="1" x14ac:dyDescent="0.3">
      <c r="A48" s="119">
        <v>47</v>
      </c>
      <c r="B48" s="120" t="s">
        <v>145</v>
      </c>
      <c r="C48" s="121" t="s">
        <v>155</v>
      </c>
      <c r="D48" s="133" t="s">
        <v>19</v>
      </c>
      <c r="E48" s="133" t="s">
        <v>18</v>
      </c>
      <c r="F48" s="124" t="s">
        <v>197</v>
      </c>
      <c r="G48" s="124" t="s">
        <v>198</v>
      </c>
      <c r="H48" s="121">
        <v>21.206</v>
      </c>
      <c r="I48" s="125">
        <f t="shared" si="3"/>
        <v>25.447199999999999</v>
      </c>
      <c r="J48" s="125">
        <v>14</v>
      </c>
      <c r="K48" s="126">
        <v>2</v>
      </c>
      <c r="L48" s="127">
        <f t="shared" si="8"/>
        <v>10.172128799999999</v>
      </c>
      <c r="M48" s="127">
        <f t="shared" si="9"/>
        <v>6.7622039999999997</v>
      </c>
      <c r="N48" s="136" t="s">
        <v>11</v>
      </c>
      <c r="O48" s="128" t="str">
        <f t="shared" si="4"/>
        <v>GLC-EX-SMD=</v>
      </c>
      <c r="P48" s="128">
        <f t="shared" si="2"/>
        <v>1</v>
      </c>
      <c r="Q48" s="129">
        <f t="shared" si="5"/>
        <v>-9.1721287999999994</v>
      </c>
      <c r="R48" s="146"/>
      <c r="S48" s="128" t="str">
        <f t="shared" si="6"/>
        <v>-22</v>
      </c>
      <c r="T48" s="129">
        <f t="shared" si="7"/>
        <v>12.827871200000001</v>
      </c>
      <c r="U48" s="146"/>
    </row>
    <row r="49" spans="1:21" s="130" customFormat="1" x14ac:dyDescent="0.3">
      <c r="A49" s="119">
        <v>48</v>
      </c>
      <c r="B49" s="120" t="s">
        <v>145</v>
      </c>
      <c r="C49" s="121" t="s">
        <v>155</v>
      </c>
      <c r="D49" s="133" t="s">
        <v>19</v>
      </c>
      <c r="E49" s="133" t="s">
        <v>18</v>
      </c>
      <c r="F49" s="124" t="s">
        <v>198</v>
      </c>
      <c r="G49" s="124" t="s">
        <v>199</v>
      </c>
      <c r="H49" s="121">
        <v>14.507999999999999</v>
      </c>
      <c r="I49" s="125">
        <f t="shared" si="3"/>
        <v>17.409599999999998</v>
      </c>
      <c r="J49" s="125">
        <v>9</v>
      </c>
      <c r="K49" s="126">
        <v>2</v>
      </c>
      <c r="L49" s="127">
        <f t="shared" si="8"/>
        <v>7.2777583999999989</v>
      </c>
      <c r="M49" s="127">
        <f t="shared" si="9"/>
        <v>4.9448720000000002</v>
      </c>
      <c r="N49" s="136" t="s">
        <v>11</v>
      </c>
      <c r="O49" s="128" t="str">
        <f t="shared" si="4"/>
        <v>GLC-EX-SMD=</v>
      </c>
      <c r="P49" s="128">
        <f t="shared" si="2"/>
        <v>1</v>
      </c>
      <c r="Q49" s="129">
        <f t="shared" si="5"/>
        <v>-6.2777583999999989</v>
      </c>
      <c r="R49" s="146"/>
      <c r="S49" s="128" t="str">
        <f t="shared" si="6"/>
        <v>-22</v>
      </c>
      <c r="T49" s="129">
        <f t="shared" si="7"/>
        <v>15.7222416</v>
      </c>
      <c r="U49" s="146"/>
    </row>
    <row r="50" spans="1:21" s="130" customFormat="1" x14ac:dyDescent="0.3">
      <c r="A50" s="119">
        <v>49</v>
      </c>
      <c r="B50" s="120" t="s">
        <v>145</v>
      </c>
      <c r="C50" s="121" t="s">
        <v>155</v>
      </c>
      <c r="D50" s="133" t="s">
        <v>19</v>
      </c>
      <c r="E50" s="133" t="s">
        <v>18</v>
      </c>
      <c r="F50" s="124" t="s">
        <v>199</v>
      </c>
      <c r="G50" s="124" t="s">
        <v>200</v>
      </c>
      <c r="H50" s="121">
        <v>4.12</v>
      </c>
      <c r="I50" s="125">
        <f t="shared" si="3"/>
        <v>4.944</v>
      </c>
      <c r="J50" s="125">
        <v>5</v>
      </c>
      <c r="K50" s="126">
        <v>2</v>
      </c>
      <c r="L50" s="127">
        <f t="shared" si="8"/>
        <v>2.9765760000000001</v>
      </c>
      <c r="M50" s="127">
        <f t="shared" si="9"/>
        <v>2.3140800000000001</v>
      </c>
      <c r="N50" s="136" t="s">
        <v>11</v>
      </c>
      <c r="O50" s="128" t="str">
        <f t="shared" si="4"/>
        <v>GLC-LH-SMD=</v>
      </c>
      <c r="P50" s="128">
        <f t="shared" si="2"/>
        <v>-6.25</v>
      </c>
      <c r="Q50" s="129">
        <f t="shared" si="5"/>
        <v>-9.2265759999999997</v>
      </c>
      <c r="R50" s="146"/>
      <c r="S50" s="128" t="str">
        <f t="shared" si="6"/>
        <v>-20</v>
      </c>
      <c r="T50" s="129">
        <f t="shared" si="7"/>
        <v>10.773424</v>
      </c>
      <c r="U50" s="146"/>
    </row>
    <row r="51" spans="1:21" s="130" customFormat="1" x14ac:dyDescent="0.3">
      <c r="A51" s="119">
        <v>50</v>
      </c>
      <c r="B51" s="120" t="s">
        <v>145</v>
      </c>
      <c r="C51" s="121" t="s">
        <v>155</v>
      </c>
      <c r="D51" s="133" t="s">
        <v>19</v>
      </c>
      <c r="E51" s="133" t="s">
        <v>18</v>
      </c>
      <c r="F51" s="124" t="s">
        <v>200</v>
      </c>
      <c r="G51" s="124" t="s">
        <v>201</v>
      </c>
      <c r="H51" s="121">
        <v>5.3419999999999996</v>
      </c>
      <c r="I51" s="125">
        <f t="shared" si="3"/>
        <v>6.4103999999999992</v>
      </c>
      <c r="J51" s="125">
        <v>5</v>
      </c>
      <c r="K51" s="126">
        <v>2</v>
      </c>
      <c r="L51" s="127">
        <f t="shared" si="8"/>
        <v>3.4590215999999998</v>
      </c>
      <c r="M51" s="127">
        <f t="shared" si="9"/>
        <v>2.600028</v>
      </c>
      <c r="N51" s="136" t="s">
        <v>11</v>
      </c>
      <c r="O51" s="128" t="str">
        <f t="shared" si="4"/>
        <v>GLC-LH-SMD=</v>
      </c>
      <c r="P51" s="128">
        <f t="shared" si="2"/>
        <v>-6.25</v>
      </c>
      <c r="Q51" s="129">
        <f t="shared" si="5"/>
        <v>-9.7090215999999998</v>
      </c>
      <c r="R51" s="146"/>
      <c r="S51" s="128" t="str">
        <f t="shared" si="6"/>
        <v>-20</v>
      </c>
      <c r="T51" s="129">
        <f t="shared" si="7"/>
        <v>10.2909784</v>
      </c>
      <c r="U51" s="146"/>
    </row>
    <row r="52" spans="1:21" s="130" customFormat="1" x14ac:dyDescent="0.3">
      <c r="A52" s="119">
        <v>51</v>
      </c>
      <c r="B52" s="120" t="s">
        <v>145</v>
      </c>
      <c r="C52" s="121" t="s">
        <v>155</v>
      </c>
      <c r="D52" s="133" t="s">
        <v>19</v>
      </c>
      <c r="E52" s="133" t="s">
        <v>18</v>
      </c>
      <c r="F52" s="124" t="s">
        <v>201</v>
      </c>
      <c r="G52" s="123" t="s">
        <v>156</v>
      </c>
      <c r="H52" s="121">
        <v>18.667000000000002</v>
      </c>
      <c r="I52" s="125">
        <f t="shared" si="3"/>
        <v>22.400400000000001</v>
      </c>
      <c r="J52" s="125">
        <v>11</v>
      </c>
      <c r="K52" s="126">
        <v>2</v>
      </c>
      <c r="L52" s="127">
        <f t="shared" si="8"/>
        <v>9.0197316000000001</v>
      </c>
      <c r="M52" s="127">
        <f t="shared" si="9"/>
        <v>6.018078</v>
      </c>
      <c r="N52" s="136" t="s">
        <v>11</v>
      </c>
      <c r="O52" s="128" t="str">
        <f t="shared" si="4"/>
        <v>GLC-EX-SMD=</v>
      </c>
      <c r="P52" s="128">
        <f t="shared" si="2"/>
        <v>1</v>
      </c>
      <c r="Q52" s="129">
        <f t="shared" si="5"/>
        <v>-8.0197316000000001</v>
      </c>
      <c r="R52" s="146"/>
      <c r="S52" s="128" t="str">
        <f t="shared" si="6"/>
        <v>-22</v>
      </c>
      <c r="T52" s="129">
        <f t="shared" si="7"/>
        <v>13.9802684</v>
      </c>
      <c r="U52" s="146"/>
    </row>
    <row r="53" spans="1:21" s="130" customFormat="1" x14ac:dyDescent="0.3">
      <c r="A53" s="119">
        <v>52</v>
      </c>
      <c r="B53" s="120" t="s">
        <v>145</v>
      </c>
      <c r="C53" s="121" t="s">
        <v>155</v>
      </c>
      <c r="D53" s="133" t="s">
        <v>19</v>
      </c>
      <c r="E53" s="133" t="s">
        <v>15</v>
      </c>
      <c r="F53" s="123" t="s">
        <v>156</v>
      </c>
      <c r="G53" s="124" t="s">
        <v>202</v>
      </c>
      <c r="H53" s="121">
        <v>16.178999999999998</v>
      </c>
      <c r="I53" s="125">
        <f t="shared" si="3"/>
        <v>19.414799999999996</v>
      </c>
      <c r="J53" s="125">
        <v>10</v>
      </c>
      <c r="K53" s="126">
        <v>2</v>
      </c>
      <c r="L53" s="127">
        <f t="shared" si="8"/>
        <v>7.9874691999999987</v>
      </c>
      <c r="M53" s="127">
        <f t="shared" si="9"/>
        <v>5.3858859999999993</v>
      </c>
      <c r="N53" s="136" t="s">
        <v>16</v>
      </c>
      <c r="O53" s="128" t="str">
        <f t="shared" si="4"/>
        <v>GLC-EX-SMD=</v>
      </c>
      <c r="P53" s="128">
        <f t="shared" si="2"/>
        <v>1</v>
      </c>
      <c r="Q53" s="129">
        <f t="shared" si="5"/>
        <v>-6.9874691999999987</v>
      </c>
      <c r="R53" s="146"/>
      <c r="S53" s="128" t="str">
        <f t="shared" si="6"/>
        <v>-22</v>
      </c>
      <c r="T53" s="129">
        <f t="shared" si="7"/>
        <v>15.0125308</v>
      </c>
      <c r="U53" s="146"/>
    </row>
    <row r="54" spans="1:21" s="130" customFormat="1" x14ac:dyDescent="0.3">
      <c r="A54" s="119">
        <v>53</v>
      </c>
      <c r="B54" s="120" t="s">
        <v>145</v>
      </c>
      <c r="C54" s="121" t="s">
        <v>155</v>
      </c>
      <c r="D54" s="133" t="s">
        <v>19</v>
      </c>
      <c r="E54" s="133" t="s">
        <v>15</v>
      </c>
      <c r="F54" s="124" t="s">
        <v>202</v>
      </c>
      <c r="G54" s="124" t="s">
        <v>203</v>
      </c>
      <c r="H54" s="121">
        <v>3.1589999999999998</v>
      </c>
      <c r="I54" s="125">
        <f t="shared" si="3"/>
        <v>3.7907999999999995</v>
      </c>
      <c r="J54" s="125">
        <v>3</v>
      </c>
      <c r="K54" s="126">
        <v>2</v>
      </c>
      <c r="L54" s="127">
        <f t="shared" si="8"/>
        <v>2.4971732000000002</v>
      </c>
      <c r="M54" s="127">
        <f t="shared" si="9"/>
        <v>1.9892059999999998</v>
      </c>
      <c r="N54" s="136" t="s">
        <v>16</v>
      </c>
      <c r="O54" s="128" t="str">
        <f t="shared" si="4"/>
        <v>GLC-LH-SMD=</v>
      </c>
      <c r="P54" s="128">
        <f t="shared" si="2"/>
        <v>-6.25</v>
      </c>
      <c r="Q54" s="129">
        <f t="shared" si="5"/>
        <v>-8.7471732000000006</v>
      </c>
      <c r="R54" s="146"/>
      <c r="S54" s="128" t="str">
        <f t="shared" si="6"/>
        <v>-20</v>
      </c>
      <c r="T54" s="129">
        <f t="shared" si="7"/>
        <v>11.252826799999999</v>
      </c>
      <c r="U54" s="146"/>
    </row>
    <row r="55" spans="1:21" s="130" customFormat="1" x14ac:dyDescent="0.3">
      <c r="A55" s="119">
        <v>54</v>
      </c>
      <c r="B55" s="120" t="s">
        <v>145</v>
      </c>
      <c r="C55" s="121" t="s">
        <v>155</v>
      </c>
      <c r="D55" s="133" t="s">
        <v>19</v>
      </c>
      <c r="E55" s="133" t="s">
        <v>15</v>
      </c>
      <c r="F55" s="124" t="s">
        <v>203</v>
      </c>
      <c r="G55" s="124" t="s">
        <v>204</v>
      </c>
      <c r="H55" s="121">
        <v>2.004</v>
      </c>
      <c r="I55" s="125">
        <f t="shared" si="3"/>
        <v>2.4047999999999998</v>
      </c>
      <c r="J55" s="125">
        <v>3</v>
      </c>
      <c r="K55" s="126">
        <v>2</v>
      </c>
      <c r="L55" s="127">
        <f t="shared" si="8"/>
        <v>2.0411792000000002</v>
      </c>
      <c r="M55" s="127">
        <f t="shared" si="9"/>
        <v>1.7189359999999998</v>
      </c>
      <c r="N55" s="136" t="s">
        <v>16</v>
      </c>
      <c r="O55" s="128" t="str">
        <f t="shared" si="4"/>
        <v>GLC-LH-SMD=</v>
      </c>
      <c r="P55" s="128">
        <f t="shared" si="2"/>
        <v>-6.25</v>
      </c>
      <c r="Q55" s="129">
        <f t="shared" si="5"/>
        <v>-8.2911792000000002</v>
      </c>
      <c r="R55" s="146"/>
      <c r="S55" s="128" t="str">
        <f t="shared" si="6"/>
        <v>-20</v>
      </c>
      <c r="T55" s="129">
        <f t="shared" si="7"/>
        <v>11.7088208</v>
      </c>
      <c r="U55" s="146"/>
    </row>
    <row r="56" spans="1:21" s="130" customFormat="1" x14ac:dyDescent="0.3">
      <c r="A56" s="119">
        <v>55</v>
      </c>
      <c r="B56" s="120" t="s">
        <v>145</v>
      </c>
      <c r="C56" s="121" t="s">
        <v>155</v>
      </c>
      <c r="D56" s="133" t="s">
        <v>19</v>
      </c>
      <c r="E56" s="133" t="s">
        <v>15</v>
      </c>
      <c r="F56" s="124" t="s">
        <v>204</v>
      </c>
      <c r="G56" s="124" t="s">
        <v>205</v>
      </c>
      <c r="H56" s="121">
        <v>2.7160000000000002</v>
      </c>
      <c r="I56" s="125">
        <f t="shared" si="3"/>
        <v>3.2592000000000003</v>
      </c>
      <c r="J56" s="125">
        <v>3</v>
      </c>
      <c r="K56" s="126">
        <v>2</v>
      </c>
      <c r="L56" s="127">
        <f t="shared" si="8"/>
        <v>2.3222768000000005</v>
      </c>
      <c r="M56" s="127">
        <f t="shared" si="9"/>
        <v>1.8855440000000001</v>
      </c>
      <c r="N56" s="136" t="s">
        <v>16</v>
      </c>
      <c r="O56" s="128" t="str">
        <f t="shared" si="4"/>
        <v>GLC-LH-SMD=</v>
      </c>
      <c r="P56" s="128">
        <f t="shared" si="2"/>
        <v>-6.25</v>
      </c>
      <c r="Q56" s="129">
        <f t="shared" si="5"/>
        <v>-8.5722768000000009</v>
      </c>
      <c r="R56" s="146"/>
      <c r="S56" s="128" t="str">
        <f t="shared" si="6"/>
        <v>-20</v>
      </c>
      <c r="T56" s="129">
        <f t="shared" si="7"/>
        <v>11.427723199999999</v>
      </c>
      <c r="U56" s="146"/>
    </row>
    <row r="57" spans="1:21" x14ac:dyDescent="0.3">
      <c r="A57" s="119">
        <v>56</v>
      </c>
      <c r="B57" s="120" t="s">
        <v>145</v>
      </c>
      <c r="C57" s="121" t="s">
        <v>155</v>
      </c>
      <c r="D57" s="133" t="s">
        <v>19</v>
      </c>
      <c r="E57" s="133" t="s">
        <v>15</v>
      </c>
      <c r="F57" s="124" t="s">
        <v>205</v>
      </c>
      <c r="G57" s="124" t="s">
        <v>206</v>
      </c>
      <c r="H57" s="121">
        <v>10.355</v>
      </c>
      <c r="I57" s="125">
        <f t="shared" si="3"/>
        <v>12.426</v>
      </c>
      <c r="J57" s="128">
        <v>7</v>
      </c>
      <c r="K57" s="126">
        <v>2</v>
      </c>
      <c r="L57" s="127">
        <f t="shared" si="8"/>
        <v>5.5381539999999996</v>
      </c>
      <c r="M57" s="127">
        <f t="shared" si="9"/>
        <v>3.8730700000000002</v>
      </c>
      <c r="N57" s="136" t="s">
        <v>16</v>
      </c>
      <c r="O57" s="128" t="str">
        <f t="shared" si="4"/>
        <v>GLC-EX-SMD=</v>
      </c>
      <c r="P57" s="128">
        <f t="shared" si="2"/>
        <v>1</v>
      </c>
      <c r="Q57" s="129">
        <f t="shared" si="5"/>
        <v>-4.5381539999999996</v>
      </c>
      <c r="R57" s="146"/>
      <c r="S57" s="128" t="str">
        <f t="shared" si="6"/>
        <v>-22</v>
      </c>
      <c r="T57" s="129">
        <f t="shared" si="7"/>
        <v>17.461846000000001</v>
      </c>
      <c r="U57" s="146"/>
    </row>
    <row r="58" spans="1:21" x14ac:dyDescent="0.3">
      <c r="A58" s="119">
        <v>57</v>
      </c>
      <c r="B58" s="120" t="s">
        <v>145</v>
      </c>
      <c r="C58" s="121" t="s">
        <v>155</v>
      </c>
      <c r="D58" s="133" t="s">
        <v>19</v>
      </c>
      <c r="E58" s="133" t="s">
        <v>15</v>
      </c>
      <c r="F58" s="124" t="s">
        <v>206</v>
      </c>
      <c r="G58" s="124" t="s">
        <v>207</v>
      </c>
      <c r="H58" s="121">
        <v>30.334</v>
      </c>
      <c r="I58" s="125">
        <f t="shared" si="3"/>
        <v>36.400799999999997</v>
      </c>
      <c r="J58" s="128">
        <v>18</v>
      </c>
      <c r="K58" s="126">
        <v>2</v>
      </c>
      <c r="L58" s="127">
        <f t="shared" si="8"/>
        <v>13.975863199999999</v>
      </c>
      <c r="M58" s="127">
        <f t="shared" si="9"/>
        <v>9.0981559999999995</v>
      </c>
      <c r="N58" s="136" t="s">
        <v>16</v>
      </c>
      <c r="O58" s="128" t="str">
        <f t="shared" si="4"/>
        <v>GLC-EX-SMD=</v>
      </c>
      <c r="P58" s="128">
        <f t="shared" si="2"/>
        <v>1</v>
      </c>
      <c r="Q58" s="129">
        <f t="shared" si="5"/>
        <v>-12.975863199999999</v>
      </c>
      <c r="R58" s="146"/>
      <c r="S58" s="128" t="str">
        <f t="shared" si="6"/>
        <v>-22</v>
      </c>
      <c r="T58" s="129">
        <f t="shared" si="7"/>
        <v>9.0241368000000008</v>
      </c>
      <c r="U58" s="146"/>
    </row>
    <row r="59" spans="1:21" x14ac:dyDescent="0.3">
      <c r="A59" s="119">
        <v>58</v>
      </c>
      <c r="B59" s="120" t="s">
        <v>145</v>
      </c>
      <c r="C59" s="121" t="s">
        <v>155</v>
      </c>
      <c r="D59" s="133" t="s">
        <v>19</v>
      </c>
      <c r="E59" s="133" t="s">
        <v>15</v>
      </c>
      <c r="F59" s="124" t="s">
        <v>207</v>
      </c>
      <c r="G59" s="124" t="s">
        <v>208</v>
      </c>
      <c r="H59" s="121">
        <v>2.802</v>
      </c>
      <c r="I59" s="125">
        <f t="shared" si="3"/>
        <v>3.3624000000000001</v>
      </c>
      <c r="J59" s="128">
        <v>3</v>
      </c>
      <c r="K59" s="126">
        <v>2</v>
      </c>
      <c r="L59" s="127">
        <f t="shared" si="8"/>
        <v>2.3562296000000003</v>
      </c>
      <c r="M59" s="127">
        <f t="shared" si="9"/>
        <v>1.9056679999999999</v>
      </c>
      <c r="N59" s="136" t="s">
        <v>16</v>
      </c>
      <c r="O59" s="128" t="str">
        <f t="shared" si="4"/>
        <v>GLC-LH-SMD=</v>
      </c>
      <c r="P59" s="128">
        <f t="shared" si="2"/>
        <v>-6.25</v>
      </c>
      <c r="Q59" s="129">
        <f t="shared" si="5"/>
        <v>-8.6062296000000007</v>
      </c>
      <c r="R59" s="146"/>
      <c r="S59" s="128" t="str">
        <f t="shared" si="6"/>
        <v>-20</v>
      </c>
      <c r="T59" s="129">
        <f t="shared" si="7"/>
        <v>11.393770399999999</v>
      </c>
      <c r="U59" s="146"/>
    </row>
    <row r="60" spans="1:21" x14ac:dyDescent="0.3">
      <c r="A60" s="119">
        <v>59</v>
      </c>
      <c r="B60" s="120" t="s">
        <v>145</v>
      </c>
      <c r="C60" s="121" t="s">
        <v>155</v>
      </c>
      <c r="D60" s="133" t="s">
        <v>19</v>
      </c>
      <c r="E60" s="133" t="s">
        <v>15</v>
      </c>
      <c r="F60" s="124" t="s">
        <v>208</v>
      </c>
      <c r="G60" s="124" t="s">
        <v>209</v>
      </c>
      <c r="H60" s="121">
        <v>4.97</v>
      </c>
      <c r="I60" s="125">
        <f t="shared" si="3"/>
        <v>5.9639999999999995</v>
      </c>
      <c r="J60" s="128">
        <v>4</v>
      </c>
      <c r="K60" s="126">
        <v>2</v>
      </c>
      <c r="L60" s="127">
        <f t="shared" si="8"/>
        <v>3.2621560000000001</v>
      </c>
      <c r="M60" s="127">
        <f t="shared" si="9"/>
        <v>2.4629799999999999</v>
      </c>
      <c r="N60" s="136" t="s">
        <v>16</v>
      </c>
      <c r="O60" s="128" t="str">
        <f t="shared" si="4"/>
        <v>GLC-LH-SMD=</v>
      </c>
      <c r="P60" s="128">
        <f t="shared" si="2"/>
        <v>-6.25</v>
      </c>
      <c r="Q60" s="129">
        <f t="shared" si="5"/>
        <v>-9.5121560000000009</v>
      </c>
      <c r="R60" s="146"/>
      <c r="S60" s="128" t="str">
        <f t="shared" si="6"/>
        <v>-20</v>
      </c>
      <c r="T60" s="129">
        <f t="shared" si="7"/>
        <v>10.487843999999999</v>
      </c>
      <c r="U60" s="146"/>
    </row>
    <row r="61" spans="1:21" x14ac:dyDescent="0.3">
      <c r="A61" s="119">
        <v>60</v>
      </c>
      <c r="B61" s="120" t="s">
        <v>145</v>
      </c>
      <c r="C61" s="121" t="s">
        <v>155</v>
      </c>
      <c r="D61" s="133" t="s">
        <v>19</v>
      </c>
      <c r="E61" s="133" t="s">
        <v>15</v>
      </c>
      <c r="F61" s="124" t="s">
        <v>209</v>
      </c>
      <c r="G61" s="123" t="s">
        <v>156</v>
      </c>
      <c r="H61" s="121">
        <v>5.6870000000000003</v>
      </c>
      <c r="I61" s="125">
        <f t="shared" si="3"/>
        <v>6.8243999999999998</v>
      </c>
      <c r="J61" s="128">
        <v>5</v>
      </c>
      <c r="K61" s="126">
        <v>2</v>
      </c>
      <c r="L61" s="127">
        <f t="shared" si="8"/>
        <v>3.5952276000000003</v>
      </c>
      <c r="M61" s="127">
        <f t="shared" si="9"/>
        <v>2.680758</v>
      </c>
      <c r="N61" s="136" t="s">
        <v>16</v>
      </c>
      <c r="O61" s="128" t="str">
        <f t="shared" si="4"/>
        <v>GLC-LH-SMD=</v>
      </c>
      <c r="P61" s="128">
        <f t="shared" si="2"/>
        <v>-6.25</v>
      </c>
      <c r="Q61" s="129">
        <f t="shared" si="5"/>
        <v>-9.8452276000000012</v>
      </c>
      <c r="R61" s="146"/>
      <c r="S61" s="128" t="str">
        <f t="shared" si="6"/>
        <v>-20</v>
      </c>
      <c r="T61" s="129">
        <f t="shared" si="7"/>
        <v>10.154772399999999</v>
      </c>
      <c r="U61" s="146"/>
    </row>
    <row r="62" spans="1:21" x14ac:dyDescent="0.3">
      <c r="A62" s="119">
        <v>61</v>
      </c>
      <c r="B62" s="120" t="s">
        <v>145</v>
      </c>
      <c r="C62" s="121" t="s">
        <v>155</v>
      </c>
      <c r="D62" s="134" t="s">
        <v>81</v>
      </c>
      <c r="E62" s="134" t="s">
        <v>210</v>
      </c>
      <c r="F62" s="123" t="s">
        <v>156</v>
      </c>
      <c r="G62" s="124" t="s">
        <v>211</v>
      </c>
      <c r="H62" s="121">
        <v>24.507999999999999</v>
      </c>
      <c r="I62" s="125">
        <f t="shared" si="3"/>
        <v>29.409599999999998</v>
      </c>
      <c r="J62" s="128">
        <v>14</v>
      </c>
      <c r="K62" s="126">
        <v>2</v>
      </c>
      <c r="L62" s="127">
        <f t="shared" si="8"/>
        <v>11.475758399999998</v>
      </c>
      <c r="M62" s="127">
        <f t="shared" si="9"/>
        <v>7.5348719999999991</v>
      </c>
      <c r="N62" s="136" t="s">
        <v>16</v>
      </c>
      <c r="O62" s="128" t="str">
        <f t="shared" si="4"/>
        <v>GLC-EX-SMD=</v>
      </c>
      <c r="P62" s="128">
        <f t="shared" si="2"/>
        <v>1</v>
      </c>
      <c r="Q62" s="129">
        <f t="shared" si="5"/>
        <v>-10.475758399999998</v>
      </c>
      <c r="R62" s="146"/>
      <c r="S62" s="128" t="str">
        <f t="shared" si="6"/>
        <v>-22</v>
      </c>
      <c r="T62" s="129">
        <f t="shared" si="7"/>
        <v>11.524241600000002</v>
      </c>
      <c r="U62" s="146"/>
    </row>
    <row r="63" spans="1:21" x14ac:dyDescent="0.3">
      <c r="A63" s="119">
        <v>62</v>
      </c>
      <c r="B63" s="120" t="s">
        <v>145</v>
      </c>
      <c r="C63" s="121" t="s">
        <v>155</v>
      </c>
      <c r="D63" s="134" t="s">
        <v>81</v>
      </c>
      <c r="E63" s="134" t="s">
        <v>210</v>
      </c>
      <c r="F63" s="124" t="s">
        <v>211</v>
      </c>
      <c r="G63" s="124" t="s">
        <v>212</v>
      </c>
      <c r="H63" s="121">
        <v>2.1019999999999999</v>
      </c>
      <c r="I63" s="125">
        <f t="shared" si="3"/>
        <v>2.5223999999999998</v>
      </c>
      <c r="J63" s="128">
        <v>3</v>
      </c>
      <c r="K63" s="126">
        <v>2</v>
      </c>
      <c r="L63" s="127">
        <f t="shared" si="8"/>
        <v>2.0798696000000003</v>
      </c>
      <c r="M63" s="127">
        <f t="shared" si="9"/>
        <v>1.741868</v>
      </c>
      <c r="N63" s="136" t="s">
        <v>16</v>
      </c>
      <c r="O63" s="128" t="str">
        <f t="shared" si="4"/>
        <v>GLC-LH-SMD=</v>
      </c>
      <c r="P63" s="128">
        <f t="shared" si="2"/>
        <v>-6.25</v>
      </c>
      <c r="Q63" s="129">
        <f t="shared" si="5"/>
        <v>-8.3298696000000003</v>
      </c>
      <c r="R63" s="146"/>
      <c r="S63" s="128" t="str">
        <f t="shared" si="6"/>
        <v>-20</v>
      </c>
      <c r="T63" s="129">
        <f t="shared" si="7"/>
        <v>11.6701304</v>
      </c>
      <c r="U63" s="146"/>
    </row>
    <row r="64" spans="1:21" x14ac:dyDescent="0.3">
      <c r="A64" s="119">
        <v>63</v>
      </c>
      <c r="B64" s="120" t="s">
        <v>145</v>
      </c>
      <c r="C64" s="121" t="s">
        <v>155</v>
      </c>
      <c r="D64" s="134" t="s">
        <v>81</v>
      </c>
      <c r="E64" s="134" t="s">
        <v>210</v>
      </c>
      <c r="F64" s="124" t="s">
        <v>212</v>
      </c>
      <c r="G64" s="124" t="s">
        <v>213</v>
      </c>
      <c r="H64" s="121">
        <v>25.18</v>
      </c>
      <c r="I64" s="125">
        <f t="shared" si="3"/>
        <v>30.215999999999998</v>
      </c>
      <c r="J64" s="128">
        <v>15</v>
      </c>
      <c r="K64" s="126">
        <v>2</v>
      </c>
      <c r="L64" s="127">
        <f t="shared" si="8"/>
        <v>11.791063999999999</v>
      </c>
      <c r="M64" s="127">
        <f t="shared" si="9"/>
        <v>7.742119999999999</v>
      </c>
      <c r="N64" s="136" t="s">
        <v>16</v>
      </c>
      <c r="O64" s="128" t="str">
        <f t="shared" si="4"/>
        <v>GLC-EX-SMD=</v>
      </c>
      <c r="P64" s="128">
        <f t="shared" si="2"/>
        <v>1</v>
      </c>
      <c r="Q64" s="129">
        <f t="shared" si="5"/>
        <v>-10.791063999999999</v>
      </c>
      <c r="R64" s="146"/>
      <c r="S64" s="128" t="str">
        <f t="shared" si="6"/>
        <v>-22</v>
      </c>
      <c r="T64" s="129">
        <f t="shared" si="7"/>
        <v>11.208936000000001</v>
      </c>
      <c r="U64" s="146"/>
    </row>
    <row r="65" spans="1:21" x14ac:dyDescent="0.3">
      <c r="A65" s="119">
        <v>64</v>
      </c>
      <c r="B65" s="120" t="s">
        <v>145</v>
      </c>
      <c r="C65" s="121" t="s">
        <v>155</v>
      </c>
      <c r="D65" s="134" t="s">
        <v>81</v>
      </c>
      <c r="E65" s="134" t="s">
        <v>210</v>
      </c>
      <c r="F65" s="124" t="s">
        <v>213</v>
      </c>
      <c r="G65" s="124" t="s">
        <v>214</v>
      </c>
      <c r="H65" s="121">
        <v>8.6170000000000009</v>
      </c>
      <c r="I65" s="125">
        <f t="shared" si="3"/>
        <v>10.340400000000001</v>
      </c>
      <c r="J65" s="128">
        <v>7</v>
      </c>
      <c r="K65" s="126">
        <v>2</v>
      </c>
      <c r="L65" s="127">
        <f t="shared" si="8"/>
        <v>4.8519916000000007</v>
      </c>
      <c r="M65" s="127">
        <f t="shared" si="9"/>
        <v>3.4663780000000002</v>
      </c>
      <c r="N65" s="136" t="s">
        <v>16</v>
      </c>
      <c r="O65" s="128" t="str">
        <f t="shared" si="4"/>
        <v>GLC-EX-SMD=</v>
      </c>
      <c r="P65" s="128">
        <f t="shared" si="2"/>
        <v>1</v>
      </c>
      <c r="Q65" s="129">
        <f t="shared" si="5"/>
        <v>-3.8519916000000007</v>
      </c>
      <c r="R65" s="146"/>
      <c r="S65" s="128" t="str">
        <f t="shared" si="6"/>
        <v>-22</v>
      </c>
      <c r="T65" s="129">
        <f t="shared" si="7"/>
        <v>18.148008399999998</v>
      </c>
      <c r="U65" s="146"/>
    </row>
    <row r="66" spans="1:21" x14ac:dyDescent="0.3">
      <c r="A66" s="119">
        <v>65</v>
      </c>
      <c r="B66" s="120" t="s">
        <v>145</v>
      </c>
      <c r="C66" s="121" t="s">
        <v>155</v>
      </c>
      <c r="D66" s="134" t="s">
        <v>81</v>
      </c>
      <c r="E66" s="134" t="s">
        <v>210</v>
      </c>
      <c r="F66" s="124" t="s">
        <v>214</v>
      </c>
      <c r="G66" s="124" t="s">
        <v>215</v>
      </c>
      <c r="H66" s="121">
        <v>2.0129999999999999</v>
      </c>
      <c r="I66" s="125">
        <f t="shared" si="3"/>
        <v>2.4156</v>
      </c>
      <c r="J66" s="128">
        <v>3</v>
      </c>
      <c r="K66" s="126">
        <v>2</v>
      </c>
      <c r="L66" s="127">
        <f t="shared" ref="L66:L86" si="10">I66*0.329+J66*0.05+K66*0.05+0.5*2</f>
        <v>2.0447324</v>
      </c>
      <c r="M66" s="127">
        <f t="shared" ref="M66:M86" si="11">I66*0.195+J66*0.05+K66*0.05+0.5*2</f>
        <v>1.7210420000000002</v>
      </c>
      <c r="N66" s="136" t="s">
        <v>16</v>
      </c>
      <c r="O66" s="128" t="str">
        <f t="shared" si="4"/>
        <v>GLC-LH-SMD=</v>
      </c>
      <c r="P66" s="128">
        <f t="shared" ref="P66:P86" si="12">IF(O66="GLC-LH-SMD=", $Y$2,IF(O66="GLC-EX-SMD=", $Y$3,$Y$4))</f>
        <v>-6.25</v>
      </c>
      <c r="Q66" s="129">
        <f t="shared" si="5"/>
        <v>-8.2947324000000009</v>
      </c>
      <c r="R66" s="146"/>
      <c r="S66" s="128" t="str">
        <f t="shared" si="6"/>
        <v>-20</v>
      </c>
      <c r="T66" s="129">
        <f t="shared" si="7"/>
        <v>11.705267599999999</v>
      </c>
      <c r="U66" s="146"/>
    </row>
    <row r="67" spans="1:21" x14ac:dyDescent="0.3">
      <c r="A67" s="119">
        <v>66</v>
      </c>
      <c r="B67" s="120" t="s">
        <v>145</v>
      </c>
      <c r="C67" s="121" t="s">
        <v>155</v>
      </c>
      <c r="D67" s="134" t="s">
        <v>81</v>
      </c>
      <c r="E67" s="134" t="s">
        <v>210</v>
      </c>
      <c r="F67" s="124" t="s">
        <v>215</v>
      </c>
      <c r="G67" s="124" t="s">
        <v>216</v>
      </c>
      <c r="H67" s="121">
        <v>12.75</v>
      </c>
      <c r="I67" s="125">
        <f t="shared" ref="I67:I86" si="13">H67*1.2</f>
        <v>15.299999999999999</v>
      </c>
      <c r="J67" s="128">
        <v>8</v>
      </c>
      <c r="K67" s="126">
        <v>2</v>
      </c>
      <c r="L67" s="127">
        <f t="shared" si="10"/>
        <v>6.5336999999999996</v>
      </c>
      <c r="M67" s="127">
        <f t="shared" si="11"/>
        <v>4.4834999999999994</v>
      </c>
      <c r="N67" s="136" t="s">
        <v>16</v>
      </c>
      <c r="O67" s="128" t="str">
        <f t="shared" ref="O67:O86" si="14">IF(I67&lt;=10,"GLC-LH-SMD=",IF(I67&gt;40,"GLC-ZX-SMD=","GLC-EX-SMD="))</f>
        <v>GLC-EX-SMD=</v>
      </c>
      <c r="P67" s="128">
        <f t="shared" si="12"/>
        <v>1</v>
      </c>
      <c r="Q67" s="129">
        <f t="shared" ref="Q67:Q86" si="15">P67-L67</f>
        <v>-5.5336999999999996</v>
      </c>
      <c r="R67" s="146"/>
      <c r="S67" s="128" t="str">
        <f t="shared" ref="S67:S86" si="16">IF(O67="GLC-LH-SMD=", "-20",IF(O67="GLC-EX-SMD=", "-22","-23"))</f>
        <v>-22</v>
      </c>
      <c r="T67" s="129">
        <f t="shared" ref="T67:T86" si="17">Q67-S67</f>
        <v>16.4663</v>
      </c>
      <c r="U67" s="146"/>
    </row>
    <row r="68" spans="1:21" x14ac:dyDescent="0.3">
      <c r="A68" s="119">
        <v>67</v>
      </c>
      <c r="B68" s="120" t="s">
        <v>145</v>
      </c>
      <c r="C68" s="121" t="s">
        <v>155</v>
      </c>
      <c r="D68" s="134" t="s">
        <v>81</v>
      </c>
      <c r="E68" s="134" t="s">
        <v>210</v>
      </c>
      <c r="F68" s="124" t="s">
        <v>216</v>
      </c>
      <c r="G68" s="124" t="s">
        <v>217</v>
      </c>
      <c r="H68" s="121">
        <v>5.05</v>
      </c>
      <c r="I68" s="125">
        <f t="shared" si="13"/>
        <v>6.06</v>
      </c>
      <c r="J68" s="128">
        <v>5</v>
      </c>
      <c r="K68" s="126">
        <v>2</v>
      </c>
      <c r="L68" s="127">
        <f t="shared" si="10"/>
        <v>3.3437399999999999</v>
      </c>
      <c r="M68" s="127">
        <f t="shared" si="11"/>
        <v>2.5316999999999998</v>
      </c>
      <c r="N68" s="136" t="s">
        <v>16</v>
      </c>
      <c r="O68" s="128" t="str">
        <f t="shared" si="14"/>
        <v>GLC-LH-SMD=</v>
      </c>
      <c r="P68" s="128">
        <f t="shared" si="12"/>
        <v>-6.25</v>
      </c>
      <c r="Q68" s="129">
        <f t="shared" si="15"/>
        <v>-9.5937400000000004</v>
      </c>
      <c r="R68" s="146"/>
      <c r="S68" s="128" t="str">
        <f t="shared" si="16"/>
        <v>-20</v>
      </c>
      <c r="T68" s="129">
        <f t="shared" si="17"/>
        <v>10.40626</v>
      </c>
      <c r="U68" s="146"/>
    </row>
    <row r="69" spans="1:21" x14ac:dyDescent="0.3">
      <c r="A69" s="119">
        <v>68</v>
      </c>
      <c r="B69" s="120" t="s">
        <v>145</v>
      </c>
      <c r="C69" s="121" t="s">
        <v>155</v>
      </c>
      <c r="D69" s="134" t="s">
        <v>81</v>
      </c>
      <c r="E69" s="134" t="s">
        <v>210</v>
      </c>
      <c r="F69" s="124" t="s">
        <v>217</v>
      </c>
      <c r="G69" s="124" t="s">
        <v>218</v>
      </c>
      <c r="H69" s="121">
        <v>24.57</v>
      </c>
      <c r="I69" s="125">
        <f t="shared" si="13"/>
        <v>29.483999999999998</v>
      </c>
      <c r="J69" s="128">
        <v>15</v>
      </c>
      <c r="K69" s="126">
        <v>2</v>
      </c>
      <c r="L69" s="127">
        <f t="shared" si="10"/>
        <v>11.550236</v>
      </c>
      <c r="M69" s="127">
        <f t="shared" si="11"/>
        <v>7.5993799999999991</v>
      </c>
      <c r="N69" s="136" t="s">
        <v>16</v>
      </c>
      <c r="O69" s="128" t="str">
        <f t="shared" si="14"/>
        <v>GLC-EX-SMD=</v>
      </c>
      <c r="P69" s="128">
        <f t="shared" si="12"/>
        <v>1</v>
      </c>
      <c r="Q69" s="129">
        <f t="shared" si="15"/>
        <v>-10.550236</v>
      </c>
      <c r="R69" s="146"/>
      <c r="S69" s="128" t="str">
        <f t="shared" si="16"/>
        <v>-22</v>
      </c>
      <c r="T69" s="129">
        <f t="shared" si="17"/>
        <v>11.449764</v>
      </c>
      <c r="U69" s="146"/>
    </row>
    <row r="70" spans="1:21" x14ac:dyDescent="0.3">
      <c r="A70" s="119">
        <v>69</v>
      </c>
      <c r="B70" s="120" t="s">
        <v>145</v>
      </c>
      <c r="C70" s="121" t="s">
        <v>155</v>
      </c>
      <c r="D70" s="134" t="s">
        <v>81</v>
      </c>
      <c r="E70" s="134" t="s">
        <v>210</v>
      </c>
      <c r="F70" s="124" t="s">
        <v>218</v>
      </c>
      <c r="G70" s="123" t="s">
        <v>219</v>
      </c>
      <c r="H70" s="121">
        <v>14.237</v>
      </c>
      <c r="I70" s="125">
        <f t="shared" si="13"/>
        <v>17.084399999999999</v>
      </c>
      <c r="J70" s="128">
        <v>11</v>
      </c>
      <c r="K70" s="126">
        <v>2</v>
      </c>
      <c r="L70" s="127">
        <f t="shared" si="10"/>
        <v>7.2707675999999992</v>
      </c>
      <c r="M70" s="127">
        <f t="shared" si="11"/>
        <v>4.9814579999999999</v>
      </c>
      <c r="N70" s="136" t="s">
        <v>16</v>
      </c>
      <c r="O70" s="128" t="str">
        <f t="shared" si="14"/>
        <v>GLC-EX-SMD=</v>
      </c>
      <c r="P70" s="128">
        <f t="shared" si="12"/>
        <v>1</v>
      </c>
      <c r="Q70" s="129">
        <f t="shared" si="15"/>
        <v>-6.2707675999999992</v>
      </c>
      <c r="R70" s="146"/>
      <c r="S70" s="128" t="str">
        <f t="shared" si="16"/>
        <v>-22</v>
      </c>
      <c r="T70" s="129">
        <f t="shared" si="17"/>
        <v>15.729232400000001</v>
      </c>
      <c r="U70" s="146"/>
    </row>
    <row r="71" spans="1:21" x14ac:dyDescent="0.3">
      <c r="A71" s="119">
        <v>70</v>
      </c>
      <c r="B71" s="120" t="s">
        <v>145</v>
      </c>
      <c r="C71" s="121" t="s">
        <v>155</v>
      </c>
      <c r="D71" s="134" t="s">
        <v>81</v>
      </c>
      <c r="E71" s="134" t="s">
        <v>220</v>
      </c>
      <c r="F71" s="123" t="s">
        <v>156</v>
      </c>
      <c r="G71" s="124" t="s">
        <v>221</v>
      </c>
      <c r="H71" s="121">
        <v>31.045000000000002</v>
      </c>
      <c r="I71" s="125">
        <f t="shared" si="13"/>
        <v>37.253999999999998</v>
      </c>
      <c r="J71" s="128">
        <v>17</v>
      </c>
      <c r="K71" s="126">
        <v>2</v>
      </c>
      <c r="L71" s="127">
        <f t="shared" si="10"/>
        <v>14.206565999999999</v>
      </c>
      <c r="M71" s="127">
        <f t="shared" si="11"/>
        <v>9.2145299999999999</v>
      </c>
      <c r="N71" s="136" t="s">
        <v>17</v>
      </c>
      <c r="O71" s="128" t="str">
        <f t="shared" si="14"/>
        <v>GLC-EX-SMD=</v>
      </c>
      <c r="P71" s="128">
        <f t="shared" si="12"/>
        <v>1</v>
      </c>
      <c r="Q71" s="129">
        <f t="shared" si="15"/>
        <v>-13.206565999999999</v>
      </c>
      <c r="R71" s="146"/>
      <c r="S71" s="128" t="str">
        <f t="shared" si="16"/>
        <v>-22</v>
      </c>
      <c r="T71" s="129">
        <f t="shared" si="17"/>
        <v>8.7934340000000013</v>
      </c>
      <c r="U71" s="146"/>
    </row>
    <row r="72" spans="1:21" x14ac:dyDescent="0.3">
      <c r="A72" s="119">
        <v>71</v>
      </c>
      <c r="B72" s="120" t="s">
        <v>145</v>
      </c>
      <c r="C72" s="121" t="s">
        <v>155</v>
      </c>
      <c r="D72" s="134" t="s">
        <v>81</v>
      </c>
      <c r="E72" s="134" t="s">
        <v>220</v>
      </c>
      <c r="F72" s="124" t="s">
        <v>221</v>
      </c>
      <c r="G72" s="124" t="s">
        <v>222</v>
      </c>
      <c r="H72" s="121">
        <v>22.19</v>
      </c>
      <c r="I72" s="125">
        <f t="shared" si="13"/>
        <v>26.628</v>
      </c>
      <c r="J72" s="128">
        <v>13</v>
      </c>
      <c r="K72" s="126">
        <v>2</v>
      </c>
      <c r="L72" s="127">
        <f t="shared" si="10"/>
        <v>10.510612</v>
      </c>
      <c r="M72" s="127">
        <f t="shared" si="11"/>
        <v>6.9424600000000005</v>
      </c>
      <c r="N72" s="136" t="s">
        <v>17</v>
      </c>
      <c r="O72" s="128" t="str">
        <f t="shared" si="14"/>
        <v>GLC-EX-SMD=</v>
      </c>
      <c r="P72" s="128">
        <f t="shared" si="12"/>
        <v>1</v>
      </c>
      <c r="Q72" s="129">
        <f t="shared" si="15"/>
        <v>-9.5106120000000001</v>
      </c>
      <c r="R72" s="146"/>
      <c r="S72" s="128" t="str">
        <f t="shared" si="16"/>
        <v>-22</v>
      </c>
      <c r="T72" s="129">
        <f t="shared" si="17"/>
        <v>12.489388</v>
      </c>
      <c r="U72" s="146"/>
    </row>
    <row r="73" spans="1:21" x14ac:dyDescent="0.3">
      <c r="A73" s="119">
        <v>72</v>
      </c>
      <c r="B73" s="120" t="s">
        <v>145</v>
      </c>
      <c r="C73" s="121" t="s">
        <v>155</v>
      </c>
      <c r="D73" s="134" t="s">
        <v>81</v>
      </c>
      <c r="E73" s="134" t="s">
        <v>220</v>
      </c>
      <c r="F73" s="124" t="s">
        <v>222</v>
      </c>
      <c r="G73" s="124" t="s">
        <v>223</v>
      </c>
      <c r="H73" s="121">
        <v>29.42</v>
      </c>
      <c r="I73" s="125">
        <f t="shared" si="13"/>
        <v>35.304000000000002</v>
      </c>
      <c r="J73" s="128">
        <v>17</v>
      </c>
      <c r="K73" s="126">
        <v>2</v>
      </c>
      <c r="L73" s="127">
        <f t="shared" si="10"/>
        <v>13.565016</v>
      </c>
      <c r="M73" s="127">
        <f t="shared" si="11"/>
        <v>8.8342799999999997</v>
      </c>
      <c r="N73" s="136" t="s">
        <v>17</v>
      </c>
      <c r="O73" s="128" t="str">
        <f t="shared" si="14"/>
        <v>GLC-EX-SMD=</v>
      </c>
      <c r="P73" s="128">
        <f t="shared" si="12"/>
        <v>1</v>
      </c>
      <c r="Q73" s="129">
        <f t="shared" si="15"/>
        <v>-12.565016</v>
      </c>
      <c r="R73" s="146"/>
      <c r="S73" s="128" t="str">
        <f t="shared" si="16"/>
        <v>-22</v>
      </c>
      <c r="T73" s="129">
        <f t="shared" si="17"/>
        <v>9.434984</v>
      </c>
      <c r="U73" s="146"/>
    </row>
    <row r="74" spans="1:21" x14ac:dyDescent="0.3">
      <c r="A74" s="119">
        <v>73</v>
      </c>
      <c r="B74" s="120" t="s">
        <v>145</v>
      </c>
      <c r="C74" s="121" t="s">
        <v>155</v>
      </c>
      <c r="D74" s="134" t="s">
        <v>81</v>
      </c>
      <c r="E74" s="134" t="s">
        <v>220</v>
      </c>
      <c r="F74" s="124" t="s">
        <v>223</v>
      </c>
      <c r="G74" s="124" t="s">
        <v>224</v>
      </c>
      <c r="H74" s="121">
        <v>7.585</v>
      </c>
      <c r="I74" s="125">
        <f t="shared" si="13"/>
        <v>9.1020000000000003</v>
      </c>
      <c r="J74" s="128">
        <v>7</v>
      </c>
      <c r="K74" s="126">
        <v>2</v>
      </c>
      <c r="L74" s="127">
        <f t="shared" si="10"/>
        <v>4.4445580000000007</v>
      </c>
      <c r="M74" s="127">
        <f t="shared" si="11"/>
        <v>3.2248900000000003</v>
      </c>
      <c r="N74" s="136" t="s">
        <v>17</v>
      </c>
      <c r="O74" s="128" t="str">
        <f t="shared" si="14"/>
        <v>GLC-LH-SMD=</v>
      </c>
      <c r="P74" s="128">
        <f t="shared" si="12"/>
        <v>-6.25</v>
      </c>
      <c r="Q74" s="129">
        <f t="shared" si="15"/>
        <v>-10.694558000000001</v>
      </c>
      <c r="R74" s="146"/>
      <c r="S74" s="128" t="str">
        <f t="shared" si="16"/>
        <v>-20</v>
      </c>
      <c r="T74" s="129">
        <f t="shared" si="17"/>
        <v>9.3054419999999993</v>
      </c>
      <c r="U74" s="146"/>
    </row>
    <row r="75" spans="1:21" x14ac:dyDescent="0.3">
      <c r="A75" s="119">
        <v>74</v>
      </c>
      <c r="B75" s="120" t="s">
        <v>145</v>
      </c>
      <c r="C75" s="121" t="s">
        <v>155</v>
      </c>
      <c r="D75" s="134" t="s">
        <v>81</v>
      </c>
      <c r="E75" s="134" t="s">
        <v>220</v>
      </c>
      <c r="F75" s="124" t="s">
        <v>224</v>
      </c>
      <c r="G75" s="124" t="s">
        <v>225</v>
      </c>
      <c r="H75" s="121">
        <v>0.39900000000000002</v>
      </c>
      <c r="I75" s="125">
        <f t="shared" si="13"/>
        <v>0.4788</v>
      </c>
      <c r="J75" s="128">
        <v>2</v>
      </c>
      <c r="K75" s="126">
        <v>2</v>
      </c>
      <c r="L75" s="127">
        <f t="shared" si="10"/>
        <v>1.3575252</v>
      </c>
      <c r="M75" s="127">
        <f t="shared" si="11"/>
        <v>1.293366</v>
      </c>
      <c r="N75" s="136" t="s">
        <v>17</v>
      </c>
      <c r="O75" s="128" t="str">
        <f t="shared" si="14"/>
        <v>GLC-LH-SMD=</v>
      </c>
      <c r="P75" s="128">
        <f t="shared" si="12"/>
        <v>-6.25</v>
      </c>
      <c r="Q75" s="129">
        <f t="shared" si="15"/>
        <v>-7.6075251999999995</v>
      </c>
      <c r="R75" s="146"/>
      <c r="S75" s="128" t="str">
        <f t="shared" si="16"/>
        <v>-20</v>
      </c>
      <c r="T75" s="129">
        <f t="shared" si="17"/>
        <v>12.3924748</v>
      </c>
      <c r="U75" s="146"/>
    </row>
    <row r="76" spans="1:21" x14ac:dyDescent="0.3">
      <c r="A76" s="119">
        <v>75</v>
      </c>
      <c r="B76" s="120" t="s">
        <v>145</v>
      </c>
      <c r="C76" s="121" t="s">
        <v>155</v>
      </c>
      <c r="D76" s="134" t="s">
        <v>81</v>
      </c>
      <c r="E76" s="134" t="s">
        <v>220</v>
      </c>
      <c r="F76" s="124" t="s">
        <v>225</v>
      </c>
      <c r="G76" s="124" t="s">
        <v>226</v>
      </c>
      <c r="H76" s="121">
        <v>2.657</v>
      </c>
      <c r="I76" s="125">
        <f t="shared" si="13"/>
        <v>3.1884000000000001</v>
      </c>
      <c r="J76" s="128">
        <v>3</v>
      </c>
      <c r="K76" s="126">
        <v>2</v>
      </c>
      <c r="L76" s="127">
        <f t="shared" si="10"/>
        <v>2.2989836000000001</v>
      </c>
      <c r="M76" s="127">
        <f t="shared" si="11"/>
        <v>1.8717380000000001</v>
      </c>
      <c r="N76" s="136" t="s">
        <v>17</v>
      </c>
      <c r="O76" s="128" t="str">
        <f t="shared" si="14"/>
        <v>GLC-LH-SMD=</v>
      </c>
      <c r="P76" s="128">
        <f t="shared" si="12"/>
        <v>-6.25</v>
      </c>
      <c r="Q76" s="129">
        <f t="shared" si="15"/>
        <v>-8.5489835999999997</v>
      </c>
      <c r="R76" s="146"/>
      <c r="S76" s="128" t="str">
        <f t="shared" si="16"/>
        <v>-20</v>
      </c>
      <c r="T76" s="129">
        <f t="shared" si="17"/>
        <v>11.4510164</v>
      </c>
      <c r="U76" s="146"/>
    </row>
    <row r="77" spans="1:21" x14ac:dyDescent="0.3">
      <c r="A77" s="119">
        <v>76</v>
      </c>
      <c r="B77" s="120" t="s">
        <v>145</v>
      </c>
      <c r="C77" s="121" t="s">
        <v>155</v>
      </c>
      <c r="D77" s="134" t="s">
        <v>81</v>
      </c>
      <c r="E77" s="134" t="s">
        <v>220</v>
      </c>
      <c r="F77" s="124" t="s">
        <v>226</v>
      </c>
      <c r="G77" s="124" t="s">
        <v>227</v>
      </c>
      <c r="H77" s="121">
        <v>8.1739999999999995</v>
      </c>
      <c r="I77" s="125">
        <f t="shared" si="13"/>
        <v>9.8087999999999997</v>
      </c>
      <c r="J77" s="128">
        <v>6</v>
      </c>
      <c r="K77" s="126">
        <v>2</v>
      </c>
      <c r="L77" s="127">
        <f t="shared" si="10"/>
        <v>4.6270951999999994</v>
      </c>
      <c r="M77" s="127">
        <f t="shared" si="11"/>
        <v>3.3127160000000004</v>
      </c>
      <c r="N77" s="136" t="s">
        <v>17</v>
      </c>
      <c r="O77" s="128" t="str">
        <f t="shared" si="14"/>
        <v>GLC-LH-SMD=</v>
      </c>
      <c r="P77" s="128">
        <f t="shared" si="12"/>
        <v>-6.25</v>
      </c>
      <c r="Q77" s="129">
        <f t="shared" si="15"/>
        <v>-10.877095199999999</v>
      </c>
      <c r="R77" s="146"/>
      <c r="S77" s="128" t="str">
        <f t="shared" si="16"/>
        <v>-20</v>
      </c>
      <c r="T77" s="129">
        <f t="shared" si="17"/>
        <v>9.1229048000000006</v>
      </c>
      <c r="U77" s="146"/>
    </row>
    <row r="78" spans="1:21" x14ac:dyDescent="0.3">
      <c r="A78" s="119">
        <v>77</v>
      </c>
      <c r="B78" s="120" t="s">
        <v>145</v>
      </c>
      <c r="C78" s="121" t="s">
        <v>155</v>
      </c>
      <c r="D78" s="134" t="s">
        <v>81</v>
      </c>
      <c r="E78" s="134" t="s">
        <v>220</v>
      </c>
      <c r="F78" s="124" t="s">
        <v>227</v>
      </c>
      <c r="G78" s="123" t="s">
        <v>219</v>
      </c>
      <c r="H78" s="121">
        <v>20.507000000000001</v>
      </c>
      <c r="I78" s="125">
        <f t="shared" si="13"/>
        <v>24.6084</v>
      </c>
      <c r="J78" s="128">
        <v>14</v>
      </c>
      <c r="K78" s="126">
        <v>2</v>
      </c>
      <c r="L78" s="127">
        <f t="shared" si="10"/>
        <v>9.8961635999999995</v>
      </c>
      <c r="M78" s="127">
        <f t="shared" si="11"/>
        <v>6.5986380000000002</v>
      </c>
      <c r="N78" s="136" t="s">
        <v>17</v>
      </c>
      <c r="O78" s="128" t="str">
        <f t="shared" si="14"/>
        <v>GLC-EX-SMD=</v>
      </c>
      <c r="P78" s="128">
        <f t="shared" si="12"/>
        <v>1</v>
      </c>
      <c r="Q78" s="129">
        <f t="shared" si="15"/>
        <v>-8.8961635999999995</v>
      </c>
      <c r="R78" s="146"/>
      <c r="S78" s="128" t="str">
        <f t="shared" si="16"/>
        <v>-22</v>
      </c>
      <c r="T78" s="129">
        <f t="shared" si="17"/>
        <v>13.1038364</v>
      </c>
      <c r="U78" s="146"/>
    </row>
    <row r="79" spans="1:21" x14ac:dyDescent="0.3">
      <c r="A79" s="119">
        <v>78</v>
      </c>
      <c r="B79" s="120" t="s">
        <v>145</v>
      </c>
      <c r="C79" s="121" t="s">
        <v>155</v>
      </c>
      <c r="D79" s="122" t="s">
        <v>2</v>
      </c>
      <c r="E79" s="122" t="s">
        <v>146</v>
      </c>
      <c r="F79" s="124" t="s">
        <v>161</v>
      </c>
      <c r="G79" s="124" t="s">
        <v>228</v>
      </c>
      <c r="H79" s="121">
        <v>4.8860000000000001</v>
      </c>
      <c r="I79" s="125">
        <f t="shared" si="13"/>
        <v>5.8632</v>
      </c>
      <c r="J79" s="128">
        <v>4</v>
      </c>
      <c r="K79" s="126">
        <v>2</v>
      </c>
      <c r="L79" s="127">
        <f t="shared" si="10"/>
        <v>3.2289928000000003</v>
      </c>
      <c r="M79" s="127">
        <f t="shared" si="11"/>
        <v>2.4433240000000001</v>
      </c>
      <c r="N79" s="136" t="s">
        <v>11</v>
      </c>
      <c r="O79" s="128" t="str">
        <f t="shared" si="14"/>
        <v>GLC-LH-SMD=</v>
      </c>
      <c r="P79" s="128">
        <f t="shared" si="12"/>
        <v>-6.25</v>
      </c>
      <c r="Q79" s="129">
        <f t="shared" si="15"/>
        <v>-9.4789928000000003</v>
      </c>
      <c r="R79" s="146"/>
      <c r="S79" s="128" t="str">
        <f t="shared" si="16"/>
        <v>-20</v>
      </c>
      <c r="T79" s="129">
        <f t="shared" si="17"/>
        <v>10.5210072</v>
      </c>
      <c r="U79" s="146"/>
    </row>
    <row r="80" spans="1:21" x14ac:dyDescent="0.3">
      <c r="A80" s="119">
        <v>79</v>
      </c>
      <c r="B80" s="120" t="s">
        <v>145</v>
      </c>
      <c r="C80" s="121" t="s">
        <v>155</v>
      </c>
      <c r="D80" s="122" t="s">
        <v>2</v>
      </c>
      <c r="E80" s="122" t="s">
        <v>147</v>
      </c>
      <c r="F80" s="124" t="s">
        <v>166</v>
      </c>
      <c r="G80" s="124" t="s">
        <v>229</v>
      </c>
      <c r="H80" s="121">
        <v>8.2899999999999991</v>
      </c>
      <c r="I80" s="125">
        <f t="shared" si="13"/>
        <v>9.9479999999999986</v>
      </c>
      <c r="J80" s="128">
        <v>6</v>
      </c>
      <c r="K80" s="126">
        <v>2</v>
      </c>
      <c r="L80" s="127">
        <f t="shared" si="10"/>
        <v>4.6728919999999992</v>
      </c>
      <c r="M80" s="127">
        <f t="shared" si="11"/>
        <v>3.3398599999999998</v>
      </c>
      <c r="N80" s="136" t="s">
        <v>11</v>
      </c>
      <c r="O80" s="128" t="str">
        <f t="shared" si="14"/>
        <v>GLC-LH-SMD=</v>
      </c>
      <c r="P80" s="128">
        <f t="shared" si="12"/>
        <v>-6.25</v>
      </c>
      <c r="Q80" s="129">
        <f t="shared" si="15"/>
        <v>-10.922891999999999</v>
      </c>
      <c r="R80" s="146"/>
      <c r="S80" s="128" t="str">
        <f t="shared" si="16"/>
        <v>-20</v>
      </c>
      <c r="T80" s="129">
        <f t="shared" si="17"/>
        <v>9.0771080000000008</v>
      </c>
      <c r="U80" s="146"/>
    </row>
    <row r="81" spans="1:21" x14ac:dyDescent="0.3">
      <c r="A81" s="119">
        <v>80</v>
      </c>
      <c r="B81" s="120" t="s">
        <v>145</v>
      </c>
      <c r="C81" s="121" t="s">
        <v>155</v>
      </c>
      <c r="D81" s="122" t="s">
        <v>2</v>
      </c>
      <c r="E81" s="122" t="s">
        <v>147</v>
      </c>
      <c r="F81" s="124" t="s">
        <v>229</v>
      </c>
      <c r="G81" s="124" t="s">
        <v>230</v>
      </c>
      <c r="H81" s="121">
        <v>1.99</v>
      </c>
      <c r="I81" s="125">
        <f t="shared" si="13"/>
        <v>2.3879999999999999</v>
      </c>
      <c r="J81" s="128">
        <v>3</v>
      </c>
      <c r="K81" s="126">
        <v>2</v>
      </c>
      <c r="L81" s="127">
        <f t="shared" si="10"/>
        <v>2.0356519999999998</v>
      </c>
      <c r="M81" s="127">
        <f t="shared" si="11"/>
        <v>1.7156600000000002</v>
      </c>
      <c r="N81" s="136" t="s">
        <v>11</v>
      </c>
      <c r="O81" s="128" t="str">
        <f t="shared" si="14"/>
        <v>GLC-LH-SMD=</v>
      </c>
      <c r="P81" s="128">
        <f t="shared" si="12"/>
        <v>-6.25</v>
      </c>
      <c r="Q81" s="129">
        <f t="shared" si="15"/>
        <v>-8.2856519999999989</v>
      </c>
      <c r="R81" s="146"/>
      <c r="S81" s="128" t="str">
        <f t="shared" si="16"/>
        <v>-20</v>
      </c>
      <c r="T81" s="129">
        <f t="shared" si="17"/>
        <v>11.714348000000001</v>
      </c>
      <c r="U81" s="146"/>
    </row>
    <row r="82" spans="1:21" x14ac:dyDescent="0.3">
      <c r="A82" s="119">
        <v>81</v>
      </c>
      <c r="B82" s="120" t="s">
        <v>145</v>
      </c>
      <c r="C82" s="121" t="s">
        <v>155</v>
      </c>
      <c r="D82" s="132" t="s">
        <v>3</v>
      </c>
      <c r="E82" s="132" t="s">
        <v>148</v>
      </c>
      <c r="F82" s="124" t="s">
        <v>181</v>
      </c>
      <c r="G82" s="124" t="s">
        <v>231</v>
      </c>
      <c r="H82" s="121">
        <v>3.59</v>
      </c>
      <c r="I82" s="125">
        <f t="shared" si="13"/>
        <v>4.3079999999999998</v>
      </c>
      <c r="J82" s="128">
        <v>3</v>
      </c>
      <c r="K82" s="126">
        <v>2</v>
      </c>
      <c r="L82" s="127">
        <f t="shared" si="10"/>
        <v>2.667332</v>
      </c>
      <c r="M82" s="127">
        <f t="shared" si="11"/>
        <v>2.0900600000000003</v>
      </c>
      <c r="N82" s="136" t="s">
        <v>11</v>
      </c>
      <c r="O82" s="128" t="str">
        <f t="shared" si="14"/>
        <v>GLC-LH-SMD=</v>
      </c>
      <c r="P82" s="128">
        <f t="shared" si="12"/>
        <v>-6.25</v>
      </c>
      <c r="Q82" s="129">
        <f t="shared" si="15"/>
        <v>-8.917332</v>
      </c>
      <c r="R82" s="146"/>
      <c r="S82" s="128" t="str">
        <f t="shared" si="16"/>
        <v>-20</v>
      </c>
      <c r="T82" s="129">
        <f t="shared" si="17"/>
        <v>11.082668</v>
      </c>
      <c r="U82" s="146"/>
    </row>
    <row r="83" spans="1:21" x14ac:dyDescent="0.3">
      <c r="A83" s="119">
        <v>82</v>
      </c>
      <c r="B83" s="120" t="s">
        <v>145</v>
      </c>
      <c r="C83" s="121" t="s">
        <v>155</v>
      </c>
      <c r="D83" s="132" t="s">
        <v>3</v>
      </c>
      <c r="E83" s="132" t="s">
        <v>148</v>
      </c>
      <c r="F83" s="124" t="s">
        <v>231</v>
      </c>
      <c r="G83" s="124" t="s">
        <v>232</v>
      </c>
      <c r="H83" s="121">
        <v>2.4350000000000001</v>
      </c>
      <c r="I83" s="125">
        <f t="shared" si="13"/>
        <v>2.9220000000000002</v>
      </c>
      <c r="J83" s="128">
        <v>3</v>
      </c>
      <c r="K83" s="126">
        <v>2</v>
      </c>
      <c r="L83" s="127">
        <f t="shared" si="10"/>
        <v>2.2113380000000005</v>
      </c>
      <c r="M83" s="127">
        <f t="shared" si="11"/>
        <v>1.81979</v>
      </c>
      <c r="N83" s="136" t="s">
        <v>11</v>
      </c>
      <c r="O83" s="128" t="str">
        <f t="shared" si="14"/>
        <v>GLC-LH-SMD=</v>
      </c>
      <c r="P83" s="128">
        <f t="shared" si="12"/>
        <v>-6.25</v>
      </c>
      <c r="Q83" s="129">
        <f t="shared" si="15"/>
        <v>-8.4613380000000014</v>
      </c>
      <c r="R83" s="146"/>
      <c r="S83" s="128" t="str">
        <f t="shared" si="16"/>
        <v>-20</v>
      </c>
      <c r="T83" s="129">
        <f t="shared" si="17"/>
        <v>11.538661999999999</v>
      </c>
      <c r="U83" s="146"/>
    </row>
    <row r="84" spans="1:21" x14ac:dyDescent="0.3">
      <c r="A84" s="119">
        <v>83</v>
      </c>
      <c r="B84" s="120" t="s">
        <v>145</v>
      </c>
      <c r="C84" s="121" t="s">
        <v>155</v>
      </c>
      <c r="D84" s="132" t="s">
        <v>3</v>
      </c>
      <c r="E84" s="132" t="s">
        <v>236</v>
      </c>
      <c r="F84" s="124" t="s">
        <v>189</v>
      </c>
      <c r="G84" s="124" t="s">
        <v>233</v>
      </c>
      <c r="H84" s="121">
        <v>5.8120000000000003</v>
      </c>
      <c r="I84" s="125">
        <f t="shared" si="13"/>
        <v>6.9744000000000002</v>
      </c>
      <c r="J84" s="128">
        <v>4</v>
      </c>
      <c r="K84" s="126">
        <v>2</v>
      </c>
      <c r="L84" s="127">
        <f t="shared" si="10"/>
        <v>3.5945776000000005</v>
      </c>
      <c r="M84" s="127">
        <f t="shared" si="11"/>
        <v>2.6600080000000004</v>
      </c>
      <c r="N84" s="136" t="s">
        <v>11</v>
      </c>
      <c r="O84" s="128" t="str">
        <f t="shared" si="14"/>
        <v>GLC-LH-SMD=</v>
      </c>
      <c r="P84" s="128">
        <f t="shared" si="12"/>
        <v>-6.25</v>
      </c>
      <c r="Q84" s="129">
        <f t="shared" si="15"/>
        <v>-9.8445776000000009</v>
      </c>
      <c r="R84" s="146"/>
      <c r="S84" s="128" t="str">
        <f t="shared" si="16"/>
        <v>-20</v>
      </c>
      <c r="T84" s="129">
        <f t="shared" si="17"/>
        <v>10.155422399999999</v>
      </c>
      <c r="U84" s="146"/>
    </row>
    <row r="85" spans="1:21" x14ac:dyDescent="0.3">
      <c r="A85" s="119">
        <v>84</v>
      </c>
      <c r="B85" s="120" t="s">
        <v>145</v>
      </c>
      <c r="C85" s="121" t="s">
        <v>155</v>
      </c>
      <c r="D85" s="133" t="s">
        <v>19</v>
      </c>
      <c r="E85" s="133" t="s">
        <v>149</v>
      </c>
      <c r="F85" s="124" t="s">
        <v>202</v>
      </c>
      <c r="G85" s="124" t="s">
        <v>234</v>
      </c>
      <c r="H85" s="121">
        <v>7.5389999999999997</v>
      </c>
      <c r="I85" s="125">
        <f t="shared" si="13"/>
        <v>9.0467999999999993</v>
      </c>
      <c r="J85" s="128">
        <v>5</v>
      </c>
      <c r="K85" s="126">
        <v>2</v>
      </c>
      <c r="L85" s="127">
        <f t="shared" si="10"/>
        <v>4.3263972000000006</v>
      </c>
      <c r="M85" s="127">
        <f t="shared" si="11"/>
        <v>3.1141260000000002</v>
      </c>
      <c r="N85" s="136" t="s">
        <v>11</v>
      </c>
      <c r="O85" s="128" t="str">
        <f t="shared" si="14"/>
        <v>GLC-LH-SMD=</v>
      </c>
      <c r="P85" s="128">
        <f t="shared" si="12"/>
        <v>-6.25</v>
      </c>
      <c r="Q85" s="129">
        <f t="shared" si="15"/>
        <v>-10.576397200000001</v>
      </c>
      <c r="R85" s="146"/>
      <c r="S85" s="128" t="str">
        <f t="shared" si="16"/>
        <v>-20</v>
      </c>
      <c r="T85" s="129">
        <f t="shared" si="17"/>
        <v>9.4236027999999994</v>
      </c>
      <c r="U85" s="146"/>
    </row>
    <row r="86" spans="1:21" x14ac:dyDescent="0.3">
      <c r="A86" s="119">
        <v>85</v>
      </c>
      <c r="B86" s="120" t="s">
        <v>145</v>
      </c>
      <c r="C86" s="121" t="s">
        <v>155</v>
      </c>
      <c r="D86" s="134" t="s">
        <v>81</v>
      </c>
      <c r="E86" s="134" t="s">
        <v>237</v>
      </c>
      <c r="F86" s="124" t="s">
        <v>224</v>
      </c>
      <c r="G86" s="124" t="s">
        <v>235</v>
      </c>
      <c r="H86" s="121">
        <v>3.94</v>
      </c>
      <c r="I86" s="125">
        <f t="shared" si="13"/>
        <v>4.7279999999999998</v>
      </c>
      <c r="J86" s="128">
        <v>3</v>
      </c>
      <c r="K86" s="126">
        <v>2</v>
      </c>
      <c r="L86" s="127">
        <f t="shared" si="10"/>
        <v>2.8055120000000002</v>
      </c>
      <c r="M86" s="127">
        <f t="shared" si="11"/>
        <v>2.1719600000000003</v>
      </c>
      <c r="N86" s="136" t="s">
        <v>11</v>
      </c>
      <c r="O86" s="128" t="str">
        <f t="shared" si="14"/>
        <v>GLC-LH-SMD=</v>
      </c>
      <c r="P86" s="128">
        <f t="shared" si="12"/>
        <v>-6.25</v>
      </c>
      <c r="Q86" s="129">
        <f t="shared" si="15"/>
        <v>-9.0555120000000002</v>
      </c>
      <c r="R86" s="147"/>
      <c r="S86" s="128" t="str">
        <f t="shared" si="16"/>
        <v>-20</v>
      </c>
      <c r="T86" s="129">
        <f t="shared" si="17"/>
        <v>10.944488</v>
      </c>
      <c r="U86" s="147"/>
    </row>
  </sheetData>
  <autoFilter ref="A1:U86"/>
  <mergeCells count="2">
    <mergeCell ref="R2:R86"/>
    <mergeCell ref="U2:U8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zoomScale="110" zoomScaleNormal="110" workbookViewId="0">
      <selection activeCell="N8" sqref="N8"/>
    </sheetView>
  </sheetViews>
  <sheetFormatPr defaultRowHeight="15" x14ac:dyDescent="0.25"/>
  <cols>
    <col min="1" max="1" width="9.140625" style="2"/>
    <col min="2" max="2" width="18.140625" style="2" bestFit="1" customWidth="1"/>
    <col min="3" max="3" width="11.85546875" style="2" bestFit="1" customWidth="1"/>
    <col min="4" max="4" width="10" style="2" customWidth="1"/>
    <col min="5" max="5" width="36.5703125" style="2" bestFit="1" customWidth="1"/>
    <col min="6" max="6" width="21.42578125" style="2" customWidth="1"/>
    <col min="7" max="7" width="22.7109375" style="2" customWidth="1"/>
    <col min="8" max="8" width="17.5703125" style="2" customWidth="1"/>
    <col min="9" max="9" width="16.5703125" style="2" customWidth="1"/>
    <col min="10" max="11" width="9.140625" style="2"/>
    <col min="12" max="12" width="33.140625" style="2" customWidth="1"/>
    <col min="13" max="13" width="25.140625" style="2" customWidth="1"/>
    <col min="14" max="16384" width="9.140625" style="2"/>
  </cols>
  <sheetData>
    <row r="1" spans="1:13" ht="90" x14ac:dyDescent="0.25">
      <c r="A1" s="74" t="s">
        <v>36</v>
      </c>
      <c r="B1" s="6" t="s">
        <v>37</v>
      </c>
      <c r="C1" s="6" t="s">
        <v>38</v>
      </c>
      <c r="D1" s="3" t="s">
        <v>138</v>
      </c>
      <c r="E1" s="6" t="s">
        <v>39</v>
      </c>
      <c r="F1" s="3" t="s">
        <v>40</v>
      </c>
      <c r="G1" s="3" t="s">
        <v>41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 s="8" customFormat="1" x14ac:dyDescent="0.25">
      <c r="A2" s="68">
        <v>1</v>
      </c>
      <c r="B2" s="149" t="s">
        <v>145</v>
      </c>
      <c r="C2" s="152" t="s">
        <v>238</v>
      </c>
      <c r="D2" s="153" t="s">
        <v>2</v>
      </c>
      <c r="E2" s="71" t="s">
        <v>132</v>
      </c>
      <c r="F2" s="71" t="s">
        <v>239</v>
      </c>
      <c r="G2" s="71" t="s">
        <v>240</v>
      </c>
      <c r="H2" s="75">
        <v>114.496</v>
      </c>
      <c r="I2" s="75">
        <f t="shared" ref="I2:I14" si="0">H2*1.2</f>
        <v>137.39519999999999</v>
      </c>
      <c r="J2" s="76">
        <f>(H2/2)+2</f>
        <v>59.247999999999998</v>
      </c>
      <c r="K2" s="71">
        <v>2</v>
      </c>
      <c r="L2" s="71">
        <f t="shared" ref="L2:L14" si="1">I2*0.329+J2*0.05+K2*0.05+0.5*2</f>
        <v>49.265420800000001</v>
      </c>
      <c r="M2" s="71">
        <f t="shared" ref="M2:M14" si="2">I2*0.195+J2*0.05+K2*0.05+0.5*2</f>
        <v>30.854464</v>
      </c>
    </row>
    <row r="3" spans="1:13" s="8" customFormat="1" x14ac:dyDescent="0.25">
      <c r="A3" s="68">
        <v>2</v>
      </c>
      <c r="B3" s="150"/>
      <c r="C3" s="153"/>
      <c r="D3" s="153"/>
      <c r="E3" s="71" t="s">
        <v>42</v>
      </c>
      <c r="F3" s="71" t="s">
        <v>239</v>
      </c>
      <c r="G3" s="71" t="s">
        <v>240</v>
      </c>
      <c r="H3" s="75">
        <v>114.496</v>
      </c>
      <c r="I3" s="75">
        <f t="shared" si="0"/>
        <v>137.39519999999999</v>
      </c>
      <c r="J3" s="76">
        <f t="shared" ref="J3:J14" si="3">(H3/2)+2</f>
        <v>59.247999999999998</v>
      </c>
      <c r="K3" s="71">
        <v>2</v>
      </c>
      <c r="L3" s="71">
        <f t="shared" si="1"/>
        <v>49.265420800000001</v>
      </c>
      <c r="M3" s="71">
        <f t="shared" si="2"/>
        <v>30.854464</v>
      </c>
    </row>
    <row r="4" spans="1:13" x14ac:dyDescent="0.25">
      <c r="A4" s="68">
        <v>3</v>
      </c>
      <c r="B4" s="150"/>
      <c r="C4" s="153"/>
      <c r="D4" s="153"/>
      <c r="E4" s="71" t="s">
        <v>127</v>
      </c>
      <c r="F4" s="71" t="s">
        <v>239</v>
      </c>
      <c r="G4" s="71" t="s">
        <v>240</v>
      </c>
      <c r="H4" s="75">
        <v>114.496</v>
      </c>
      <c r="I4" s="75">
        <f t="shared" si="0"/>
        <v>137.39519999999999</v>
      </c>
      <c r="J4" s="76">
        <f t="shared" si="3"/>
        <v>59.247999999999998</v>
      </c>
      <c r="K4" s="71">
        <v>2</v>
      </c>
      <c r="L4" s="71">
        <f t="shared" si="1"/>
        <v>49.265420800000001</v>
      </c>
      <c r="M4" s="71">
        <f t="shared" si="2"/>
        <v>30.854464</v>
      </c>
    </row>
    <row r="5" spans="1:13" x14ac:dyDescent="0.25">
      <c r="A5" s="68">
        <v>4</v>
      </c>
      <c r="B5" s="150"/>
      <c r="C5" s="153"/>
      <c r="D5" s="148" t="s">
        <v>3</v>
      </c>
      <c r="E5" s="71" t="s">
        <v>150</v>
      </c>
      <c r="F5" s="71" t="s">
        <v>241</v>
      </c>
      <c r="G5" s="71" t="s">
        <v>242</v>
      </c>
      <c r="H5" s="75">
        <v>69.37</v>
      </c>
      <c r="I5" s="75">
        <f t="shared" si="0"/>
        <v>83.244</v>
      </c>
      <c r="J5" s="76">
        <f t="shared" si="3"/>
        <v>36.685000000000002</v>
      </c>
      <c r="K5" s="71">
        <v>2</v>
      </c>
      <c r="L5" s="71">
        <f t="shared" si="1"/>
        <v>30.321526000000002</v>
      </c>
      <c r="M5" s="71">
        <f t="shared" si="2"/>
        <v>19.166830000000004</v>
      </c>
    </row>
    <row r="6" spans="1:13" x14ac:dyDescent="0.25">
      <c r="A6" s="68">
        <v>5</v>
      </c>
      <c r="B6" s="150"/>
      <c r="C6" s="153"/>
      <c r="D6" s="148"/>
      <c r="E6" s="71" t="s">
        <v>42</v>
      </c>
      <c r="F6" s="71" t="s">
        <v>241</v>
      </c>
      <c r="G6" s="71" t="s">
        <v>242</v>
      </c>
      <c r="H6" s="75">
        <v>69.37</v>
      </c>
      <c r="I6" s="75">
        <f t="shared" si="0"/>
        <v>83.244</v>
      </c>
      <c r="J6" s="76">
        <f t="shared" si="3"/>
        <v>36.685000000000002</v>
      </c>
      <c r="K6" s="71">
        <v>2</v>
      </c>
      <c r="L6" s="71">
        <f t="shared" si="1"/>
        <v>30.321526000000002</v>
      </c>
      <c r="M6" s="71">
        <f t="shared" si="2"/>
        <v>19.166830000000004</v>
      </c>
    </row>
    <row r="7" spans="1:13" ht="15.75" customHeight="1" x14ac:dyDescent="0.25">
      <c r="A7" s="68">
        <v>6</v>
      </c>
      <c r="B7" s="150"/>
      <c r="C7" s="153"/>
      <c r="D7" s="148"/>
      <c r="E7" s="71" t="s">
        <v>127</v>
      </c>
      <c r="F7" s="71" t="s">
        <v>241</v>
      </c>
      <c r="G7" s="71" t="s">
        <v>242</v>
      </c>
      <c r="H7" s="75">
        <v>69.37</v>
      </c>
      <c r="I7" s="75">
        <f t="shared" si="0"/>
        <v>83.244</v>
      </c>
      <c r="J7" s="76">
        <f t="shared" si="3"/>
        <v>36.685000000000002</v>
      </c>
      <c r="K7" s="71">
        <v>2</v>
      </c>
      <c r="L7" s="71">
        <f t="shared" si="1"/>
        <v>30.321526000000002</v>
      </c>
      <c r="M7" s="71">
        <f t="shared" si="2"/>
        <v>19.166830000000004</v>
      </c>
    </row>
    <row r="8" spans="1:13" ht="15.75" customHeight="1" x14ac:dyDescent="0.25">
      <c r="A8" s="68">
        <v>7</v>
      </c>
      <c r="B8" s="150"/>
      <c r="C8" s="153"/>
      <c r="D8" s="153" t="s">
        <v>19</v>
      </c>
      <c r="E8" s="71" t="s">
        <v>150</v>
      </c>
      <c r="F8" s="71" t="s">
        <v>243</v>
      </c>
      <c r="G8" s="71" t="s">
        <v>244</v>
      </c>
      <c r="H8" s="75">
        <v>77.555999999999997</v>
      </c>
      <c r="I8" s="75">
        <f t="shared" si="0"/>
        <v>93.0672</v>
      </c>
      <c r="J8" s="76">
        <f t="shared" si="3"/>
        <v>40.777999999999999</v>
      </c>
      <c r="K8" s="71">
        <v>2</v>
      </c>
      <c r="L8" s="71">
        <f t="shared" si="1"/>
        <v>33.758008800000006</v>
      </c>
      <c r="M8" s="71">
        <f t="shared" si="2"/>
        <v>21.287004000000003</v>
      </c>
    </row>
    <row r="9" spans="1:13" x14ac:dyDescent="0.25">
      <c r="A9" s="68">
        <v>8</v>
      </c>
      <c r="B9" s="150"/>
      <c r="C9" s="153"/>
      <c r="D9" s="153"/>
      <c r="E9" s="71" t="s">
        <v>42</v>
      </c>
      <c r="F9" s="71" t="s">
        <v>243</v>
      </c>
      <c r="G9" s="71" t="s">
        <v>244</v>
      </c>
      <c r="H9" s="75">
        <v>77.555999999999997</v>
      </c>
      <c r="I9" s="75">
        <f t="shared" si="0"/>
        <v>93.0672</v>
      </c>
      <c r="J9" s="76">
        <f t="shared" si="3"/>
        <v>40.777999999999999</v>
      </c>
      <c r="K9" s="71">
        <v>2</v>
      </c>
      <c r="L9" s="71">
        <f t="shared" si="1"/>
        <v>33.758008800000006</v>
      </c>
      <c r="M9" s="71">
        <f t="shared" si="2"/>
        <v>21.287004000000003</v>
      </c>
    </row>
    <row r="10" spans="1:13" s="5" customFormat="1" x14ac:dyDescent="0.25">
      <c r="A10" s="68">
        <v>9</v>
      </c>
      <c r="B10" s="150"/>
      <c r="C10" s="153"/>
      <c r="D10" s="154"/>
      <c r="E10" s="71" t="s">
        <v>127</v>
      </c>
      <c r="F10" s="71" t="s">
        <v>243</v>
      </c>
      <c r="G10" s="71" t="s">
        <v>244</v>
      </c>
      <c r="H10" s="75">
        <v>77.555999999999997</v>
      </c>
      <c r="I10" s="75">
        <f t="shared" si="0"/>
        <v>93.0672</v>
      </c>
      <c r="J10" s="76">
        <f t="shared" si="3"/>
        <v>40.777999999999999</v>
      </c>
      <c r="K10" s="71">
        <v>2</v>
      </c>
      <c r="L10" s="71">
        <f t="shared" si="1"/>
        <v>33.758008800000006</v>
      </c>
      <c r="M10" s="71">
        <f t="shared" si="2"/>
        <v>21.287004000000003</v>
      </c>
    </row>
    <row r="11" spans="1:13" x14ac:dyDescent="0.25">
      <c r="A11" s="68">
        <v>10</v>
      </c>
      <c r="B11" s="150"/>
      <c r="C11" s="153"/>
      <c r="D11" s="148" t="s">
        <v>81</v>
      </c>
      <c r="E11" s="71" t="s">
        <v>245</v>
      </c>
      <c r="F11" s="71" t="s">
        <v>246</v>
      </c>
      <c r="G11" s="71" t="s">
        <v>247</v>
      </c>
      <c r="H11" s="71">
        <v>107.94</v>
      </c>
      <c r="I11" s="75">
        <f t="shared" si="0"/>
        <v>129.52799999999999</v>
      </c>
      <c r="J11" s="76">
        <f t="shared" si="3"/>
        <v>55.97</v>
      </c>
      <c r="K11" s="71">
        <v>2</v>
      </c>
      <c r="L11" s="71">
        <f t="shared" si="1"/>
        <v>46.513211999999996</v>
      </c>
      <c r="M11" s="71">
        <f t="shared" si="2"/>
        <v>29.156460000000003</v>
      </c>
    </row>
    <row r="12" spans="1:13" x14ac:dyDescent="0.25">
      <c r="A12" s="68">
        <v>11</v>
      </c>
      <c r="B12" s="150"/>
      <c r="C12" s="153"/>
      <c r="D12" s="148"/>
      <c r="E12" s="71" t="s">
        <v>132</v>
      </c>
      <c r="F12" s="71" t="s">
        <v>246</v>
      </c>
      <c r="G12" s="71" t="s">
        <v>247</v>
      </c>
      <c r="H12" s="71">
        <v>107.94</v>
      </c>
      <c r="I12" s="75">
        <f t="shared" si="0"/>
        <v>129.52799999999999</v>
      </c>
      <c r="J12" s="76">
        <f t="shared" si="3"/>
        <v>55.97</v>
      </c>
      <c r="K12" s="71">
        <v>2</v>
      </c>
      <c r="L12" s="71">
        <f t="shared" si="1"/>
        <v>46.513211999999996</v>
      </c>
      <c r="M12" s="71">
        <f t="shared" si="2"/>
        <v>29.156460000000003</v>
      </c>
    </row>
    <row r="13" spans="1:13" x14ac:dyDescent="0.25">
      <c r="A13" s="68">
        <v>12</v>
      </c>
      <c r="B13" s="150"/>
      <c r="C13" s="153"/>
      <c r="D13" s="148"/>
      <c r="E13" s="71" t="s">
        <v>42</v>
      </c>
      <c r="F13" s="71" t="s">
        <v>246</v>
      </c>
      <c r="G13" s="71" t="s">
        <v>247</v>
      </c>
      <c r="H13" s="71">
        <v>107.94</v>
      </c>
      <c r="I13" s="75">
        <f t="shared" si="0"/>
        <v>129.52799999999999</v>
      </c>
      <c r="J13" s="76">
        <f t="shared" si="3"/>
        <v>55.97</v>
      </c>
      <c r="K13" s="71">
        <v>2</v>
      </c>
      <c r="L13" s="71">
        <f t="shared" si="1"/>
        <v>46.513211999999996</v>
      </c>
      <c r="M13" s="71">
        <f t="shared" si="2"/>
        <v>29.156460000000003</v>
      </c>
    </row>
    <row r="14" spans="1:13" x14ac:dyDescent="0.25">
      <c r="A14" s="68">
        <v>13</v>
      </c>
      <c r="B14" s="151"/>
      <c r="C14" s="154"/>
      <c r="D14" s="148"/>
      <c r="E14" s="71" t="s">
        <v>127</v>
      </c>
      <c r="F14" s="71" t="s">
        <v>246</v>
      </c>
      <c r="G14" s="71" t="s">
        <v>247</v>
      </c>
      <c r="H14" s="71">
        <v>107.94</v>
      </c>
      <c r="I14" s="75">
        <f t="shared" si="0"/>
        <v>129.52799999999999</v>
      </c>
      <c r="J14" s="76">
        <f t="shared" si="3"/>
        <v>55.97</v>
      </c>
      <c r="K14" s="71">
        <v>2</v>
      </c>
      <c r="L14" s="71">
        <f t="shared" si="1"/>
        <v>46.513211999999996</v>
      </c>
      <c r="M14" s="71">
        <f t="shared" si="2"/>
        <v>29.156460000000003</v>
      </c>
    </row>
  </sheetData>
  <mergeCells count="6">
    <mergeCell ref="D11:D14"/>
    <mergeCell ref="B2:B14"/>
    <mergeCell ref="C2:C14"/>
    <mergeCell ref="D2:D4"/>
    <mergeCell ref="D5:D7"/>
    <mergeCell ref="D8:D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0"/>
  <sheetViews>
    <sheetView zoomScale="60" zoomScaleNormal="60" workbookViewId="0">
      <selection activeCell="D22" sqref="D22"/>
    </sheetView>
  </sheetViews>
  <sheetFormatPr defaultRowHeight="15" x14ac:dyDescent="0.25"/>
  <cols>
    <col min="1" max="1" width="9.140625" style="7"/>
    <col min="2" max="2" width="15.42578125" style="2" bestFit="1" customWidth="1"/>
    <col min="3" max="3" width="59.5703125" style="2" bestFit="1" customWidth="1"/>
    <col min="4" max="4" width="59.5703125" style="1" bestFit="1" customWidth="1"/>
    <col min="5" max="5" width="56.28515625" style="2" bestFit="1" customWidth="1"/>
    <col min="6" max="7" width="16.28515625" style="2" customWidth="1"/>
    <col min="8" max="9" width="13" style="2" customWidth="1"/>
    <col min="10" max="11" width="22.140625" style="2" bestFit="1" customWidth="1"/>
    <col min="12" max="13" width="25.28515625" style="2" customWidth="1"/>
    <col min="14" max="14" width="15.28515625" style="2" customWidth="1"/>
    <col min="15" max="15" width="20.28515625" style="2" customWidth="1"/>
    <col min="16" max="16" width="21.42578125" style="2" customWidth="1"/>
    <col min="17" max="17" width="19.42578125" style="2" customWidth="1"/>
    <col min="18" max="18" width="23.5703125" style="2" customWidth="1"/>
    <col min="19" max="19" width="26.140625" style="2" customWidth="1"/>
    <col min="20" max="16384" width="9.140625" style="2"/>
  </cols>
  <sheetData>
    <row r="1" spans="1:19" ht="105" x14ac:dyDescent="0.25">
      <c r="A1" s="6" t="s">
        <v>36</v>
      </c>
      <c r="B1" s="6" t="s">
        <v>37</v>
      </c>
      <c r="C1" s="6" t="s">
        <v>40</v>
      </c>
      <c r="D1" s="3" t="s">
        <v>41</v>
      </c>
      <c r="E1" s="6" t="s">
        <v>43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44</v>
      </c>
      <c r="M1" s="3" t="s">
        <v>26</v>
      </c>
      <c r="N1" s="3" t="s">
        <v>45</v>
      </c>
      <c r="O1" s="3" t="s">
        <v>46</v>
      </c>
      <c r="P1" s="3" t="s">
        <v>29</v>
      </c>
      <c r="Q1" s="3" t="s">
        <v>47</v>
      </c>
      <c r="R1" s="3" t="s">
        <v>48</v>
      </c>
      <c r="S1" s="3" t="s">
        <v>49</v>
      </c>
    </row>
    <row r="2" spans="1:19" s="53" customFormat="1" ht="35.25" customHeight="1" x14ac:dyDescent="0.25">
      <c r="A2" s="69"/>
      <c r="B2" s="71"/>
      <c r="C2" s="71"/>
      <c r="D2" s="69"/>
      <c r="E2" s="71"/>
      <c r="F2" s="71"/>
      <c r="G2" s="71"/>
      <c r="H2" s="71"/>
      <c r="I2" s="71"/>
      <c r="J2" s="71"/>
      <c r="K2" s="71"/>
      <c r="L2" s="71"/>
      <c r="M2" s="4"/>
      <c r="N2" s="4"/>
      <c r="O2" s="4"/>
      <c r="P2" s="70"/>
      <c r="Q2" s="4"/>
      <c r="R2" s="4"/>
      <c r="S2" s="70"/>
    </row>
    <row r="3" spans="1:19" x14ac:dyDescent="0.25">
      <c r="C3" s="7" t="s">
        <v>139</v>
      </c>
      <c r="L3" s="8"/>
      <c r="M3" s="8"/>
    </row>
    <row r="4" spans="1:19" x14ac:dyDescent="0.25">
      <c r="L4" s="8"/>
      <c r="M4" s="8"/>
    </row>
    <row r="5" spans="1:19" x14ac:dyDescent="0.25">
      <c r="L5" s="8"/>
      <c r="M5" s="8"/>
    </row>
    <row r="6" spans="1:19" x14ac:dyDescent="0.25">
      <c r="L6" s="8"/>
      <c r="M6" s="8"/>
    </row>
    <row r="7" spans="1:19" x14ac:dyDescent="0.25">
      <c r="L7" s="8"/>
      <c r="M7" s="8"/>
    </row>
    <row r="8" spans="1:19" x14ac:dyDescent="0.25">
      <c r="L8" s="8"/>
      <c r="M8" s="8"/>
    </row>
    <row r="9" spans="1:19" x14ac:dyDescent="0.25">
      <c r="L9" s="8"/>
      <c r="M9" s="8"/>
    </row>
    <row r="10" spans="1:19" x14ac:dyDescent="0.25">
      <c r="L10" s="8"/>
      <c r="M10" s="8"/>
    </row>
    <row r="11" spans="1:19" x14ac:dyDescent="0.25">
      <c r="L11" s="8"/>
      <c r="M11" s="8"/>
    </row>
    <row r="12" spans="1:19" x14ac:dyDescent="0.25">
      <c r="L12" s="8"/>
      <c r="M12" s="8"/>
    </row>
    <row r="13" spans="1:19" x14ac:dyDescent="0.25">
      <c r="L13" s="8"/>
      <c r="M13" s="8"/>
    </row>
    <row r="14" spans="1:19" x14ac:dyDescent="0.25">
      <c r="L14" s="8"/>
      <c r="M14" s="8"/>
    </row>
    <row r="15" spans="1:19" x14ac:dyDescent="0.25">
      <c r="L15" s="8"/>
      <c r="M15" s="8"/>
    </row>
    <row r="16" spans="1:19" x14ac:dyDescent="0.25">
      <c r="L16" s="8"/>
      <c r="M16" s="8"/>
    </row>
    <row r="17" spans="12:13" x14ac:dyDescent="0.25">
      <c r="L17" s="8"/>
      <c r="M17" s="8"/>
    </row>
    <row r="18" spans="12:13" x14ac:dyDescent="0.25">
      <c r="L18" s="8"/>
      <c r="M18" s="8"/>
    </row>
    <row r="19" spans="12:13" x14ac:dyDescent="0.25">
      <c r="L19" s="8"/>
      <c r="M19" s="8"/>
    </row>
    <row r="20" spans="12:13" x14ac:dyDescent="0.25">
      <c r="L20" s="8"/>
      <c r="M20" s="8"/>
    </row>
    <row r="21" spans="12:13" x14ac:dyDescent="0.25">
      <c r="L21" s="8"/>
      <c r="M21" s="8"/>
    </row>
    <row r="22" spans="12:13" x14ac:dyDescent="0.25">
      <c r="L22" s="8"/>
      <c r="M22" s="8"/>
    </row>
    <row r="23" spans="12:13" x14ac:dyDescent="0.25">
      <c r="L23" s="8"/>
      <c r="M23" s="8"/>
    </row>
    <row r="24" spans="12:13" x14ac:dyDescent="0.25">
      <c r="L24" s="8"/>
      <c r="M24" s="8"/>
    </row>
    <row r="25" spans="12:13" x14ac:dyDescent="0.25">
      <c r="L25" s="8"/>
      <c r="M25" s="8"/>
    </row>
    <row r="26" spans="12:13" x14ac:dyDescent="0.25">
      <c r="L26" s="8"/>
      <c r="M26" s="8"/>
    </row>
    <row r="27" spans="12:13" x14ac:dyDescent="0.25">
      <c r="L27" s="8"/>
      <c r="M27" s="8"/>
    </row>
    <row r="28" spans="12:13" x14ac:dyDescent="0.25">
      <c r="L28" s="8"/>
      <c r="M28" s="8"/>
    </row>
    <row r="29" spans="12:13" x14ac:dyDescent="0.25">
      <c r="L29" s="8"/>
      <c r="M29" s="8"/>
    </row>
    <row r="30" spans="12:13" x14ac:dyDescent="0.25">
      <c r="L30" s="8"/>
      <c r="M30" s="8"/>
    </row>
    <row r="31" spans="12:13" x14ac:dyDescent="0.25">
      <c r="L31" s="8"/>
      <c r="M31" s="8"/>
    </row>
    <row r="32" spans="12:13" x14ac:dyDescent="0.25">
      <c r="L32" s="8"/>
      <c r="M32" s="8"/>
    </row>
    <row r="33" spans="12:13" x14ac:dyDescent="0.25">
      <c r="L33" s="8"/>
      <c r="M33" s="8"/>
    </row>
    <row r="34" spans="12:13" x14ac:dyDescent="0.25">
      <c r="L34" s="8"/>
      <c r="M34" s="8"/>
    </row>
    <row r="35" spans="12:13" x14ac:dyDescent="0.25">
      <c r="L35" s="8"/>
      <c r="M35" s="8"/>
    </row>
    <row r="36" spans="12:13" x14ac:dyDescent="0.25">
      <c r="L36" s="8"/>
      <c r="M36" s="8"/>
    </row>
    <row r="37" spans="12:13" x14ac:dyDescent="0.25">
      <c r="L37" s="8"/>
      <c r="M37" s="8"/>
    </row>
    <row r="38" spans="12:13" x14ac:dyDescent="0.25">
      <c r="L38" s="8"/>
      <c r="M38" s="8"/>
    </row>
    <row r="39" spans="12:13" x14ac:dyDescent="0.25">
      <c r="L39" s="8"/>
      <c r="M39" s="8"/>
    </row>
    <row r="40" spans="12:13" x14ac:dyDescent="0.25">
      <c r="L40" s="8"/>
      <c r="M40" s="8"/>
    </row>
    <row r="41" spans="12:13" x14ac:dyDescent="0.25">
      <c r="L41" s="8"/>
      <c r="M41" s="8"/>
    </row>
    <row r="42" spans="12:13" x14ac:dyDescent="0.25">
      <c r="L42" s="8"/>
      <c r="M42" s="8"/>
    </row>
    <row r="43" spans="12:13" x14ac:dyDescent="0.25">
      <c r="L43" s="8"/>
      <c r="M43" s="8"/>
    </row>
    <row r="44" spans="12:13" x14ac:dyDescent="0.25">
      <c r="L44" s="8"/>
      <c r="M44" s="8"/>
    </row>
    <row r="45" spans="12:13" x14ac:dyDescent="0.25">
      <c r="L45" s="8"/>
      <c r="M45" s="8"/>
    </row>
    <row r="46" spans="12:13" x14ac:dyDescent="0.25">
      <c r="L46" s="8"/>
      <c r="M46" s="8"/>
    </row>
    <row r="47" spans="12:13" x14ac:dyDescent="0.25">
      <c r="L47" s="8"/>
      <c r="M47" s="8"/>
    </row>
    <row r="48" spans="12:13" x14ac:dyDescent="0.25">
      <c r="L48" s="8"/>
      <c r="M48" s="8"/>
    </row>
    <row r="49" spans="12:13" x14ac:dyDescent="0.25">
      <c r="L49" s="8"/>
      <c r="M49" s="8"/>
    </row>
    <row r="50" spans="12:13" x14ac:dyDescent="0.25">
      <c r="L50" s="8"/>
      <c r="M50" s="8"/>
    </row>
    <row r="51" spans="12:13" x14ac:dyDescent="0.25">
      <c r="L51" s="8"/>
      <c r="M51" s="8"/>
    </row>
    <row r="52" spans="12:13" x14ac:dyDescent="0.25">
      <c r="L52" s="8"/>
      <c r="M52" s="8"/>
    </row>
    <row r="53" spans="12:13" x14ac:dyDescent="0.25">
      <c r="L53" s="8"/>
      <c r="M53" s="8"/>
    </row>
    <row r="54" spans="12:13" x14ac:dyDescent="0.25">
      <c r="L54" s="8"/>
      <c r="M54" s="8"/>
    </row>
    <row r="55" spans="12:13" x14ac:dyDescent="0.25">
      <c r="L55" s="8"/>
      <c r="M55" s="8"/>
    </row>
    <row r="56" spans="12:13" x14ac:dyDescent="0.25">
      <c r="L56" s="8"/>
      <c r="M56" s="8"/>
    </row>
    <row r="57" spans="12:13" x14ac:dyDescent="0.25">
      <c r="L57" s="8"/>
      <c r="M57" s="8"/>
    </row>
    <row r="58" spans="12:13" x14ac:dyDescent="0.25">
      <c r="L58" s="8"/>
      <c r="M58" s="8"/>
    </row>
    <row r="59" spans="12:13" x14ac:dyDescent="0.25">
      <c r="L59" s="8"/>
      <c r="M59" s="8"/>
    </row>
    <row r="60" spans="12:13" x14ac:dyDescent="0.25">
      <c r="L60" s="8"/>
      <c r="M60" s="8"/>
    </row>
    <row r="61" spans="12:13" x14ac:dyDescent="0.25">
      <c r="L61" s="8"/>
      <c r="M61" s="8"/>
    </row>
    <row r="62" spans="12:13" x14ac:dyDescent="0.25">
      <c r="L62" s="8"/>
      <c r="M62" s="8"/>
    </row>
    <row r="63" spans="12:13" x14ac:dyDescent="0.25">
      <c r="L63" s="8"/>
      <c r="M63" s="8"/>
    </row>
    <row r="64" spans="12:13" x14ac:dyDescent="0.25">
      <c r="L64" s="8"/>
      <c r="M64" s="8"/>
    </row>
    <row r="65" spans="12:13" x14ac:dyDescent="0.25">
      <c r="L65" s="8"/>
      <c r="M65" s="8"/>
    </row>
    <row r="66" spans="12:13" x14ac:dyDescent="0.25">
      <c r="L66" s="8"/>
      <c r="M66" s="8"/>
    </row>
    <row r="67" spans="12:13" x14ac:dyDescent="0.25">
      <c r="L67" s="8"/>
      <c r="M67" s="8"/>
    </row>
    <row r="68" spans="12:13" x14ac:dyDescent="0.25">
      <c r="L68" s="8"/>
      <c r="M68" s="8"/>
    </row>
    <row r="69" spans="12:13" x14ac:dyDescent="0.25">
      <c r="L69" s="8"/>
      <c r="M69" s="8"/>
    </row>
    <row r="70" spans="12:13" x14ac:dyDescent="0.25">
      <c r="L70" s="8"/>
      <c r="M70" s="8"/>
    </row>
    <row r="71" spans="12:13" x14ac:dyDescent="0.25">
      <c r="L71" s="8"/>
      <c r="M71" s="8"/>
    </row>
    <row r="72" spans="12:13" x14ac:dyDescent="0.25">
      <c r="L72" s="8"/>
      <c r="M72" s="8"/>
    </row>
    <row r="73" spans="12:13" x14ac:dyDescent="0.25">
      <c r="L73" s="8"/>
      <c r="M73" s="8"/>
    </row>
    <row r="74" spans="12:13" x14ac:dyDescent="0.25">
      <c r="L74" s="8"/>
      <c r="M74" s="8"/>
    </row>
    <row r="75" spans="12:13" x14ac:dyDescent="0.25">
      <c r="L75" s="8"/>
      <c r="M75" s="8"/>
    </row>
    <row r="76" spans="12:13" x14ac:dyDescent="0.25">
      <c r="L76" s="8"/>
      <c r="M76" s="8"/>
    </row>
    <row r="77" spans="12:13" x14ac:dyDescent="0.25">
      <c r="L77" s="8"/>
      <c r="M77" s="8"/>
    </row>
    <row r="78" spans="12:13" x14ac:dyDescent="0.25">
      <c r="L78" s="8"/>
      <c r="M78" s="8"/>
    </row>
    <row r="79" spans="12:13" x14ac:dyDescent="0.25">
      <c r="L79" s="8"/>
      <c r="M79" s="8"/>
    </row>
    <row r="80" spans="12:13" x14ac:dyDescent="0.25">
      <c r="L80" s="8"/>
      <c r="M80" s="8"/>
    </row>
    <row r="81" spans="12:13" x14ac:dyDescent="0.25">
      <c r="L81" s="8"/>
      <c r="M81" s="8"/>
    </row>
    <row r="82" spans="12:13" x14ac:dyDescent="0.25">
      <c r="L82" s="8"/>
      <c r="M82" s="8"/>
    </row>
    <row r="83" spans="12:13" x14ac:dyDescent="0.25">
      <c r="L83" s="8"/>
      <c r="M83" s="8"/>
    </row>
    <row r="84" spans="12:13" x14ac:dyDescent="0.25">
      <c r="L84" s="8"/>
      <c r="M84" s="8"/>
    </row>
    <row r="85" spans="12:13" x14ac:dyDescent="0.25">
      <c r="L85" s="8"/>
      <c r="M85" s="8"/>
    </row>
    <row r="86" spans="12:13" x14ac:dyDescent="0.25">
      <c r="L86" s="8"/>
      <c r="M86" s="8"/>
    </row>
    <row r="87" spans="12:13" x14ac:dyDescent="0.25">
      <c r="L87" s="8"/>
      <c r="M87" s="8"/>
    </row>
    <row r="88" spans="12:13" x14ac:dyDescent="0.25">
      <c r="L88" s="8"/>
      <c r="M88" s="8"/>
    </row>
    <row r="89" spans="12:13" x14ac:dyDescent="0.25">
      <c r="L89" s="8"/>
      <c r="M89" s="8"/>
    </row>
    <row r="90" spans="12:13" x14ac:dyDescent="0.25">
      <c r="L90" s="8"/>
      <c r="M90" s="8"/>
    </row>
    <row r="91" spans="12:13" x14ac:dyDescent="0.25">
      <c r="L91" s="8"/>
      <c r="M91" s="8"/>
    </row>
    <row r="92" spans="12:13" x14ac:dyDescent="0.25">
      <c r="L92" s="8"/>
      <c r="M92" s="8"/>
    </row>
    <row r="93" spans="12:13" x14ac:dyDescent="0.25">
      <c r="L93" s="8"/>
      <c r="M93" s="8"/>
    </row>
    <row r="94" spans="12:13" x14ac:dyDescent="0.25">
      <c r="L94" s="8"/>
      <c r="M94" s="8"/>
    </row>
    <row r="95" spans="12:13" x14ac:dyDescent="0.25">
      <c r="L95" s="8"/>
      <c r="M95" s="8"/>
    </row>
    <row r="96" spans="12:13" x14ac:dyDescent="0.25">
      <c r="L96" s="8"/>
      <c r="M96" s="8"/>
    </row>
    <row r="97" spans="12:13" x14ac:dyDescent="0.25">
      <c r="L97" s="8"/>
      <c r="M97" s="8"/>
    </row>
    <row r="98" spans="12:13" x14ac:dyDescent="0.25">
      <c r="L98" s="8"/>
      <c r="M98" s="8"/>
    </row>
    <row r="99" spans="12:13" x14ac:dyDescent="0.25">
      <c r="L99" s="8"/>
      <c r="M99" s="8"/>
    </row>
    <row r="100" spans="12:13" x14ac:dyDescent="0.25">
      <c r="L100" s="8"/>
      <c r="M100" s="8"/>
    </row>
    <row r="101" spans="12:13" x14ac:dyDescent="0.25">
      <c r="L101" s="8"/>
      <c r="M101" s="8"/>
    </row>
    <row r="102" spans="12:13" x14ac:dyDescent="0.25">
      <c r="L102" s="8"/>
      <c r="M102" s="8"/>
    </row>
    <row r="103" spans="12:13" x14ac:dyDescent="0.25">
      <c r="L103" s="8"/>
      <c r="M103" s="8"/>
    </row>
    <row r="104" spans="12:13" x14ac:dyDescent="0.25">
      <c r="L104" s="8"/>
      <c r="M104" s="8"/>
    </row>
    <row r="105" spans="12:13" x14ac:dyDescent="0.25">
      <c r="L105" s="8"/>
      <c r="M105" s="8"/>
    </row>
    <row r="106" spans="12:13" x14ac:dyDescent="0.25">
      <c r="L106" s="8"/>
      <c r="M106" s="8"/>
    </row>
    <row r="107" spans="12:13" x14ac:dyDescent="0.25">
      <c r="L107" s="8"/>
      <c r="M107" s="8"/>
    </row>
    <row r="108" spans="12:13" x14ac:dyDescent="0.25">
      <c r="L108" s="8"/>
      <c r="M108" s="8"/>
    </row>
    <row r="109" spans="12:13" x14ac:dyDescent="0.25">
      <c r="L109" s="8"/>
      <c r="M109" s="8"/>
    </row>
    <row r="110" spans="12:13" x14ac:dyDescent="0.25">
      <c r="L110" s="8"/>
      <c r="M110" s="8"/>
    </row>
    <row r="111" spans="12:13" x14ac:dyDescent="0.25">
      <c r="L111" s="8"/>
      <c r="M111" s="8"/>
    </row>
    <row r="112" spans="12:13" x14ac:dyDescent="0.25">
      <c r="L112" s="8"/>
      <c r="M112" s="8"/>
    </row>
    <row r="113" spans="12:13" x14ac:dyDescent="0.25">
      <c r="L113" s="8"/>
      <c r="M113" s="8"/>
    </row>
    <row r="114" spans="12:13" x14ac:dyDescent="0.25">
      <c r="L114" s="8"/>
      <c r="M114" s="8"/>
    </row>
    <row r="115" spans="12:13" x14ac:dyDescent="0.25">
      <c r="L115" s="8"/>
      <c r="M115" s="8"/>
    </row>
    <row r="116" spans="12:13" x14ac:dyDescent="0.25">
      <c r="L116" s="8"/>
      <c r="M116" s="8"/>
    </row>
    <row r="117" spans="12:13" x14ac:dyDescent="0.25">
      <c r="L117" s="8"/>
      <c r="M117" s="8"/>
    </row>
    <row r="118" spans="12:13" x14ac:dyDescent="0.25">
      <c r="L118" s="8"/>
      <c r="M118" s="8"/>
    </row>
    <row r="119" spans="12:13" x14ac:dyDescent="0.25">
      <c r="L119" s="8"/>
      <c r="M119" s="8"/>
    </row>
    <row r="120" spans="12:13" x14ac:dyDescent="0.25">
      <c r="L120" s="8"/>
      <c r="M120" s="8"/>
    </row>
    <row r="121" spans="12:13" x14ac:dyDescent="0.25">
      <c r="L121" s="8"/>
      <c r="M121" s="8"/>
    </row>
    <row r="122" spans="12:13" x14ac:dyDescent="0.25">
      <c r="L122" s="8"/>
      <c r="M122" s="8"/>
    </row>
    <row r="123" spans="12:13" x14ac:dyDescent="0.25">
      <c r="L123" s="8"/>
      <c r="M123" s="8"/>
    </row>
    <row r="124" spans="12:13" x14ac:dyDescent="0.25">
      <c r="L124" s="8"/>
      <c r="M124" s="8"/>
    </row>
    <row r="125" spans="12:13" x14ac:dyDescent="0.25">
      <c r="L125" s="8"/>
      <c r="M125" s="8"/>
    </row>
    <row r="126" spans="12:13" x14ac:dyDescent="0.25">
      <c r="L126" s="8"/>
      <c r="M126" s="8"/>
    </row>
    <row r="127" spans="12:13" x14ac:dyDescent="0.25">
      <c r="L127" s="8"/>
      <c r="M127" s="8"/>
    </row>
    <row r="128" spans="12:13" x14ac:dyDescent="0.25">
      <c r="L128" s="8"/>
      <c r="M128" s="8"/>
    </row>
    <row r="129" spans="12:13" x14ac:dyDescent="0.25">
      <c r="L129" s="8"/>
      <c r="M129" s="8"/>
    </row>
    <row r="130" spans="12:13" x14ac:dyDescent="0.25">
      <c r="L130" s="8"/>
      <c r="M13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zoomScale="80" zoomScaleNormal="80" workbookViewId="0">
      <selection activeCell="E12" sqref="E12"/>
    </sheetView>
  </sheetViews>
  <sheetFormatPr defaultRowHeight="15" x14ac:dyDescent="0.25"/>
  <cols>
    <col min="1" max="1" width="9.140625" style="10"/>
    <col min="2" max="2" width="20" customWidth="1"/>
    <col min="3" max="3" width="22.140625" bestFit="1" customWidth="1"/>
    <col min="4" max="4" width="24.5703125" bestFit="1" customWidth="1"/>
    <col min="5" max="5" width="23" bestFit="1" customWidth="1"/>
    <col min="6" max="7" width="16.28515625" customWidth="1"/>
    <col min="8" max="9" width="13" customWidth="1"/>
    <col min="10" max="11" width="22.140625" bestFit="1" customWidth="1"/>
    <col min="12" max="12" width="11.5703125" customWidth="1"/>
    <col min="13" max="13" width="17" bestFit="1" customWidth="1"/>
    <col min="14" max="14" width="14.28515625" customWidth="1"/>
    <col min="15" max="15" width="11.28515625" customWidth="1"/>
    <col min="16" max="16" width="24.85546875" style="13" customWidth="1"/>
    <col min="17" max="17" width="15.5703125" customWidth="1"/>
    <col min="18" max="18" width="12.7109375" customWidth="1"/>
    <col min="19" max="19" width="20.28515625" customWidth="1"/>
  </cols>
  <sheetData>
    <row r="1" spans="1:22" ht="120" x14ac:dyDescent="0.25">
      <c r="A1" s="6" t="s">
        <v>36</v>
      </c>
      <c r="B1" s="6" t="s">
        <v>37</v>
      </c>
      <c r="C1" s="6" t="s">
        <v>123</v>
      </c>
      <c r="D1" s="6" t="s">
        <v>123</v>
      </c>
      <c r="E1" s="6" t="s">
        <v>43</v>
      </c>
      <c r="F1" s="3" t="s">
        <v>20</v>
      </c>
      <c r="G1" s="9" t="s">
        <v>21</v>
      </c>
      <c r="H1" s="3" t="s">
        <v>22</v>
      </c>
      <c r="I1" s="3" t="s">
        <v>23</v>
      </c>
      <c r="J1" s="9" t="s">
        <v>24</v>
      </c>
      <c r="K1" s="9" t="s">
        <v>25</v>
      </c>
      <c r="L1" s="3" t="s">
        <v>44</v>
      </c>
      <c r="M1" s="3" t="s">
        <v>51</v>
      </c>
      <c r="N1" s="3" t="s">
        <v>52</v>
      </c>
      <c r="O1" s="3" t="s">
        <v>124</v>
      </c>
      <c r="P1" s="3" t="s">
        <v>125</v>
      </c>
      <c r="Q1" s="3" t="s">
        <v>30</v>
      </c>
      <c r="R1" s="3" t="s">
        <v>53</v>
      </c>
      <c r="S1" s="3" t="s">
        <v>32</v>
      </c>
      <c r="U1" s="3" t="s">
        <v>51</v>
      </c>
      <c r="V1" s="3" t="s">
        <v>137</v>
      </c>
    </row>
    <row r="2" spans="1:22" ht="57" customHeight="1" x14ac:dyDescent="0.25">
      <c r="A2" s="61"/>
      <c r="B2" s="78"/>
      <c r="C2" s="62"/>
      <c r="D2" s="62"/>
      <c r="E2" s="67"/>
      <c r="F2" s="62"/>
      <c r="G2" s="62"/>
      <c r="H2" s="62"/>
      <c r="I2" s="62"/>
      <c r="J2" s="71"/>
      <c r="K2" s="71"/>
      <c r="L2" s="71"/>
      <c r="M2" s="71"/>
      <c r="N2" s="71"/>
      <c r="O2" s="71"/>
      <c r="P2" s="67"/>
      <c r="Q2" s="71"/>
      <c r="R2" s="71"/>
      <c r="S2" s="67"/>
      <c r="U2" s="77" t="s">
        <v>133</v>
      </c>
      <c r="V2" s="77">
        <f>((-3)+(-9.5))/2</f>
        <v>-6.25</v>
      </c>
    </row>
    <row r="3" spans="1:22" x14ac:dyDescent="0.25">
      <c r="B3" s="10" t="s">
        <v>143</v>
      </c>
      <c r="L3" s="11"/>
      <c r="M3" s="11"/>
      <c r="N3" s="11"/>
      <c r="O3" s="11"/>
      <c r="P3" s="12"/>
      <c r="Q3" s="11"/>
      <c r="R3" s="11"/>
      <c r="U3" s="77" t="s">
        <v>134</v>
      </c>
      <c r="V3" s="77">
        <f>((3)+(-1))/2</f>
        <v>1</v>
      </c>
    </row>
    <row r="4" spans="1:22" x14ac:dyDescent="0.25">
      <c r="L4" s="11"/>
      <c r="M4" s="11"/>
      <c r="N4" s="11"/>
      <c r="O4" s="11"/>
      <c r="P4" s="12"/>
      <c r="Q4" s="11"/>
      <c r="R4" s="11"/>
      <c r="U4" s="77" t="s">
        <v>135</v>
      </c>
      <c r="V4" s="77">
        <f>(5+(0))/2</f>
        <v>2.5</v>
      </c>
    </row>
    <row r="5" spans="1:22" x14ac:dyDescent="0.25">
      <c r="L5" s="11"/>
      <c r="M5" s="11"/>
      <c r="N5" s="11"/>
      <c r="O5" s="11"/>
      <c r="P5" s="12"/>
      <c r="Q5" s="11"/>
      <c r="R5" s="11"/>
    </row>
    <row r="6" spans="1:22" x14ac:dyDescent="0.25">
      <c r="L6" s="11"/>
      <c r="M6" s="11"/>
      <c r="N6" s="11"/>
      <c r="O6" s="11"/>
      <c r="P6" s="12"/>
      <c r="Q6" s="11"/>
      <c r="R6" s="11"/>
    </row>
    <row r="7" spans="1:22" x14ac:dyDescent="0.25">
      <c r="L7" s="11"/>
      <c r="M7" s="11"/>
      <c r="N7" s="11"/>
      <c r="O7" s="11"/>
      <c r="P7" s="12"/>
      <c r="Q7" s="11"/>
      <c r="R7" s="11"/>
    </row>
    <row r="8" spans="1:22" x14ac:dyDescent="0.25">
      <c r="L8" s="11"/>
      <c r="M8" s="11"/>
      <c r="N8" s="11"/>
      <c r="O8" s="11"/>
      <c r="P8" s="12"/>
      <c r="Q8" s="11"/>
      <c r="R8" s="11"/>
    </row>
    <row r="9" spans="1:22" x14ac:dyDescent="0.25">
      <c r="L9" s="11"/>
      <c r="M9" s="11"/>
      <c r="N9" s="11"/>
      <c r="O9" s="11"/>
      <c r="P9" s="12"/>
      <c r="Q9" s="11"/>
      <c r="R9" s="11"/>
    </row>
    <row r="10" spans="1:22" x14ac:dyDescent="0.25">
      <c r="L10" s="11"/>
      <c r="M10" s="11"/>
      <c r="N10" s="11"/>
      <c r="O10" s="11"/>
      <c r="P10" s="12"/>
      <c r="Q10" s="11"/>
      <c r="R10" s="11"/>
    </row>
    <row r="11" spans="1:22" x14ac:dyDescent="0.25">
      <c r="L11" s="11"/>
      <c r="M11" s="11"/>
      <c r="N11" s="11"/>
      <c r="O11" s="11"/>
      <c r="P11" s="12"/>
      <c r="Q11" s="11"/>
      <c r="R11" s="11"/>
    </row>
    <row r="12" spans="1:22" x14ac:dyDescent="0.25">
      <c r="L12" s="11"/>
      <c r="M12" s="11"/>
      <c r="N12" s="11"/>
      <c r="O12" s="11"/>
      <c r="P12" s="12"/>
      <c r="Q12" s="11"/>
      <c r="R12" s="11"/>
    </row>
    <row r="13" spans="1:22" x14ac:dyDescent="0.25">
      <c r="L13" s="11"/>
      <c r="M13" s="11"/>
      <c r="N13" s="11"/>
      <c r="O13" s="11"/>
      <c r="P13" s="12"/>
      <c r="Q13" s="11"/>
      <c r="R13" s="11"/>
    </row>
    <row r="14" spans="1:22" x14ac:dyDescent="0.25">
      <c r="L14" s="11"/>
      <c r="M14" s="11"/>
      <c r="N14" s="11"/>
      <c r="O14" s="11"/>
      <c r="P14" s="12"/>
      <c r="Q14" s="11"/>
      <c r="R14" s="11"/>
    </row>
    <row r="15" spans="1:22" x14ac:dyDescent="0.25">
      <c r="L15" s="11"/>
      <c r="M15" s="11"/>
      <c r="N15" s="11"/>
      <c r="O15" s="11"/>
      <c r="P15" s="12"/>
      <c r="Q15" s="11"/>
      <c r="R15" s="11"/>
    </row>
    <row r="16" spans="1:22" x14ac:dyDescent="0.25">
      <c r="L16" s="11"/>
      <c r="M16" s="11"/>
      <c r="N16" s="11"/>
      <c r="O16" s="11"/>
      <c r="P16" s="12"/>
      <c r="Q16" s="11"/>
      <c r="R16" s="11"/>
    </row>
    <row r="17" spans="12:18" x14ac:dyDescent="0.25">
      <c r="L17" s="11"/>
      <c r="M17" s="11"/>
      <c r="N17" s="11"/>
      <c r="O17" s="11"/>
      <c r="P17" s="12"/>
      <c r="Q17" s="11"/>
      <c r="R17" s="11"/>
    </row>
    <row r="18" spans="12:18" x14ac:dyDescent="0.25">
      <c r="L18" s="11"/>
      <c r="M18" s="11"/>
      <c r="N18" s="11"/>
      <c r="O18" s="11"/>
      <c r="P18" s="12"/>
      <c r="Q18" s="11"/>
      <c r="R18" s="11"/>
    </row>
    <row r="19" spans="12:18" x14ac:dyDescent="0.25">
      <c r="L19" s="11"/>
      <c r="M19" s="11"/>
      <c r="N19" s="11"/>
      <c r="O19" s="11"/>
      <c r="P19" s="12"/>
      <c r="Q19" s="11"/>
      <c r="R19" s="11"/>
    </row>
    <row r="20" spans="12:18" x14ac:dyDescent="0.25">
      <c r="L20" s="11"/>
      <c r="M20" s="11"/>
      <c r="N20" s="11"/>
      <c r="O20" s="11"/>
      <c r="P20" s="12"/>
      <c r="Q20" s="11"/>
      <c r="R20" s="11"/>
    </row>
    <row r="21" spans="12:18" x14ac:dyDescent="0.25">
      <c r="L21" s="11"/>
      <c r="M21" s="11"/>
      <c r="N21" s="11"/>
      <c r="O21" s="11"/>
      <c r="P21" s="12"/>
      <c r="Q21" s="11"/>
      <c r="R21" s="11"/>
    </row>
    <row r="22" spans="12:18" x14ac:dyDescent="0.25">
      <c r="L22" s="11"/>
      <c r="M22" s="11"/>
      <c r="N22" s="11"/>
      <c r="O22" s="11"/>
      <c r="P22" s="12"/>
      <c r="Q22" s="11"/>
      <c r="R22" s="11"/>
    </row>
    <row r="23" spans="12:18" x14ac:dyDescent="0.25">
      <c r="L23" s="11"/>
      <c r="M23" s="11"/>
      <c r="N23" s="11"/>
      <c r="O23" s="11"/>
      <c r="P23" s="12"/>
      <c r="Q23" s="11"/>
      <c r="R23" s="11"/>
    </row>
    <row r="24" spans="12:18" x14ac:dyDescent="0.25">
      <c r="L24" s="11"/>
      <c r="M24" s="11"/>
      <c r="N24" s="11"/>
      <c r="O24" s="11"/>
      <c r="P24" s="12"/>
      <c r="Q24" s="11"/>
      <c r="R24" s="11"/>
    </row>
    <row r="25" spans="12:18" x14ac:dyDescent="0.25">
      <c r="L25" s="11"/>
      <c r="M25" s="11"/>
      <c r="N25" s="11"/>
      <c r="O25" s="11"/>
      <c r="P25" s="12"/>
      <c r="Q25" s="11"/>
      <c r="R25" s="11"/>
    </row>
    <row r="26" spans="12:18" x14ac:dyDescent="0.25">
      <c r="L26" s="11"/>
      <c r="M26" s="11"/>
      <c r="N26" s="11"/>
      <c r="O26" s="11"/>
      <c r="P26" s="12"/>
      <c r="Q26" s="11"/>
      <c r="R26" s="11"/>
    </row>
    <row r="27" spans="12:18" x14ac:dyDescent="0.25">
      <c r="L27" s="11"/>
      <c r="M27" s="11"/>
      <c r="N27" s="11"/>
      <c r="O27" s="11"/>
      <c r="P27" s="12"/>
      <c r="Q27" s="11"/>
      <c r="R27" s="11"/>
    </row>
    <row r="28" spans="12:18" x14ac:dyDescent="0.25">
      <c r="L28" s="11"/>
      <c r="M28" s="11"/>
      <c r="N28" s="11"/>
      <c r="O28" s="11"/>
      <c r="P28" s="12"/>
      <c r="Q28" s="11"/>
      <c r="R28" s="11"/>
    </row>
    <row r="29" spans="12:18" x14ac:dyDescent="0.25">
      <c r="L29" s="11"/>
      <c r="M29" s="11"/>
      <c r="N29" s="11"/>
      <c r="O29" s="11"/>
      <c r="P29" s="12"/>
      <c r="Q29" s="11"/>
      <c r="R29" s="11"/>
    </row>
    <row r="30" spans="12:18" x14ac:dyDescent="0.25">
      <c r="L30" s="11"/>
      <c r="M30" s="11"/>
      <c r="N30" s="11"/>
      <c r="O30" s="11"/>
      <c r="P30" s="12"/>
      <c r="Q30" s="11"/>
      <c r="R30" s="11"/>
    </row>
    <row r="31" spans="12:18" x14ac:dyDescent="0.25">
      <c r="L31" s="11"/>
      <c r="M31" s="11"/>
      <c r="N31" s="11"/>
      <c r="O31" s="11"/>
      <c r="P31" s="12"/>
      <c r="Q31" s="11"/>
      <c r="R31" s="1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13" zoomScale="110" zoomScaleNormal="110" workbookViewId="0">
      <selection activeCell="H26" sqref="H26"/>
    </sheetView>
  </sheetViews>
  <sheetFormatPr defaultRowHeight="15" x14ac:dyDescent="0.25"/>
  <cols>
    <col min="2" max="2" width="12.28515625" bestFit="1" customWidth="1"/>
    <col min="3" max="3" width="15" customWidth="1"/>
    <col min="6" max="6" width="16.140625" bestFit="1" customWidth="1"/>
    <col min="7" max="7" width="37.5703125" style="13" customWidth="1"/>
  </cols>
  <sheetData>
    <row r="1" spans="1:7" x14ac:dyDescent="0.25">
      <c r="A1" s="6" t="s">
        <v>36</v>
      </c>
      <c r="B1" s="6" t="s">
        <v>37</v>
      </c>
      <c r="C1" s="6" t="s">
        <v>54</v>
      </c>
      <c r="D1" s="6" t="s">
        <v>55</v>
      </c>
      <c r="E1" s="6" t="s">
        <v>56</v>
      </c>
      <c r="F1" s="6" t="s">
        <v>57</v>
      </c>
      <c r="G1" s="3" t="s">
        <v>58</v>
      </c>
    </row>
    <row r="2" spans="1:7" x14ac:dyDescent="0.25">
      <c r="A2" s="155">
        <v>1</v>
      </c>
      <c r="B2" s="155" t="s">
        <v>145</v>
      </c>
      <c r="C2" s="155" t="s">
        <v>238</v>
      </c>
      <c r="D2" s="155" t="s">
        <v>2</v>
      </c>
      <c r="E2" s="155" t="s">
        <v>59</v>
      </c>
      <c r="F2" s="71" t="s">
        <v>60</v>
      </c>
      <c r="G2" s="67" t="s">
        <v>61</v>
      </c>
    </row>
    <row r="3" spans="1:7" x14ac:dyDescent="0.25">
      <c r="A3" s="155"/>
      <c r="B3" s="155"/>
      <c r="C3" s="155"/>
      <c r="D3" s="155"/>
      <c r="E3" s="155"/>
      <c r="F3" s="71" t="s">
        <v>62</v>
      </c>
      <c r="G3" s="67" t="s">
        <v>63</v>
      </c>
    </row>
    <row r="4" spans="1:7" x14ac:dyDescent="0.25">
      <c r="A4" s="155"/>
      <c r="B4" s="155"/>
      <c r="C4" s="155"/>
      <c r="D4" s="155"/>
      <c r="E4" s="155"/>
      <c r="F4" s="71" t="s">
        <v>64</v>
      </c>
      <c r="G4" s="67" t="s">
        <v>248</v>
      </c>
    </row>
    <row r="5" spans="1:7" x14ac:dyDescent="0.25">
      <c r="A5" s="155"/>
      <c r="B5" s="155"/>
      <c r="C5" s="155"/>
      <c r="D5" s="155"/>
      <c r="E5" s="155"/>
      <c r="F5" s="71" t="s">
        <v>65</v>
      </c>
      <c r="G5" s="67" t="s">
        <v>66</v>
      </c>
    </row>
    <row r="6" spans="1:7" x14ac:dyDescent="0.25">
      <c r="A6" s="155"/>
      <c r="B6" s="155"/>
      <c r="C6" s="155"/>
      <c r="D6" s="155"/>
      <c r="E6" s="155"/>
      <c r="F6" s="71" t="s">
        <v>128</v>
      </c>
      <c r="G6" s="67" t="s">
        <v>66</v>
      </c>
    </row>
    <row r="7" spans="1:7" x14ac:dyDescent="0.25">
      <c r="A7" s="155"/>
      <c r="B7" s="155"/>
      <c r="C7" s="155"/>
      <c r="D7" s="155"/>
      <c r="E7" s="155"/>
      <c r="F7" s="71" t="s">
        <v>129</v>
      </c>
      <c r="G7" s="67" t="s">
        <v>66</v>
      </c>
    </row>
    <row r="8" spans="1:7" x14ac:dyDescent="0.25">
      <c r="A8" s="155"/>
      <c r="B8" s="155"/>
      <c r="C8" s="155"/>
      <c r="D8" s="155"/>
      <c r="E8" s="155"/>
      <c r="F8" s="71" t="s">
        <v>67</v>
      </c>
      <c r="G8" s="67" t="s">
        <v>66</v>
      </c>
    </row>
    <row r="9" spans="1:7" x14ac:dyDescent="0.25">
      <c r="A9" s="155"/>
      <c r="B9" s="155"/>
      <c r="C9" s="155"/>
      <c r="D9" s="155"/>
      <c r="E9" s="155"/>
      <c r="F9" s="71" t="s">
        <v>68</v>
      </c>
      <c r="G9" s="67" t="s">
        <v>66</v>
      </c>
    </row>
    <row r="10" spans="1:7" x14ac:dyDescent="0.25">
      <c r="A10" s="155">
        <v>2</v>
      </c>
      <c r="B10" s="155" t="s">
        <v>145</v>
      </c>
      <c r="C10" s="155" t="s">
        <v>238</v>
      </c>
      <c r="D10" s="155" t="s">
        <v>3</v>
      </c>
      <c r="E10" s="155" t="s">
        <v>59</v>
      </c>
      <c r="F10" s="71" t="s">
        <v>60</v>
      </c>
      <c r="G10" s="67" t="s">
        <v>151</v>
      </c>
    </row>
    <row r="11" spans="1:7" x14ac:dyDescent="0.25">
      <c r="A11" s="155"/>
      <c r="B11" s="155"/>
      <c r="C11" s="155"/>
      <c r="D11" s="155"/>
      <c r="E11" s="155"/>
      <c r="F11" s="71" t="s">
        <v>62</v>
      </c>
      <c r="G11" s="67" t="s">
        <v>249</v>
      </c>
    </row>
    <row r="12" spans="1:7" x14ac:dyDescent="0.25">
      <c r="A12" s="155"/>
      <c r="B12" s="155"/>
      <c r="C12" s="155"/>
      <c r="D12" s="155"/>
      <c r="E12" s="155"/>
      <c r="F12" s="71" t="s">
        <v>64</v>
      </c>
      <c r="G12" s="67" t="s">
        <v>66</v>
      </c>
    </row>
    <row r="13" spans="1:7" x14ac:dyDescent="0.25">
      <c r="A13" s="155"/>
      <c r="B13" s="155"/>
      <c r="C13" s="155"/>
      <c r="D13" s="155"/>
      <c r="E13" s="155"/>
      <c r="F13" s="71" t="s">
        <v>65</v>
      </c>
      <c r="G13" s="67" t="s">
        <v>66</v>
      </c>
    </row>
    <row r="14" spans="1:7" x14ac:dyDescent="0.25">
      <c r="A14" s="155"/>
      <c r="B14" s="155"/>
      <c r="C14" s="155"/>
      <c r="D14" s="155"/>
      <c r="E14" s="155"/>
      <c r="F14" s="71" t="s">
        <v>128</v>
      </c>
      <c r="G14" s="67" t="s">
        <v>66</v>
      </c>
    </row>
    <row r="15" spans="1:7" x14ac:dyDescent="0.25">
      <c r="A15" s="155"/>
      <c r="B15" s="155"/>
      <c r="C15" s="155"/>
      <c r="D15" s="155"/>
      <c r="E15" s="155"/>
      <c r="F15" s="71" t="s">
        <v>129</v>
      </c>
      <c r="G15" s="67" t="s">
        <v>66</v>
      </c>
    </row>
    <row r="16" spans="1:7" x14ac:dyDescent="0.25">
      <c r="A16" s="155"/>
      <c r="B16" s="155"/>
      <c r="C16" s="155"/>
      <c r="D16" s="155"/>
      <c r="E16" s="155"/>
      <c r="F16" s="71" t="s">
        <v>67</v>
      </c>
      <c r="G16" s="67" t="s">
        <v>66</v>
      </c>
    </row>
    <row r="17" spans="1:7" x14ac:dyDescent="0.25">
      <c r="A17" s="155"/>
      <c r="B17" s="155"/>
      <c r="C17" s="155"/>
      <c r="D17" s="155"/>
      <c r="E17" s="155"/>
      <c r="F17" s="71" t="s">
        <v>68</v>
      </c>
      <c r="G17" s="67" t="s">
        <v>66</v>
      </c>
    </row>
    <row r="18" spans="1:7" x14ac:dyDescent="0.25">
      <c r="A18" s="155">
        <v>3</v>
      </c>
      <c r="B18" s="155" t="s">
        <v>145</v>
      </c>
      <c r="C18" s="155" t="s">
        <v>238</v>
      </c>
      <c r="D18" s="155" t="s">
        <v>19</v>
      </c>
      <c r="E18" s="155" t="s">
        <v>59</v>
      </c>
      <c r="F18" s="71" t="s">
        <v>60</v>
      </c>
      <c r="G18" s="67" t="s">
        <v>69</v>
      </c>
    </row>
    <row r="19" spans="1:7" x14ac:dyDescent="0.25">
      <c r="A19" s="155"/>
      <c r="B19" s="155"/>
      <c r="C19" s="155"/>
      <c r="D19" s="155"/>
      <c r="E19" s="155"/>
      <c r="F19" s="71" t="s">
        <v>62</v>
      </c>
      <c r="G19" s="67" t="s">
        <v>144</v>
      </c>
    </row>
    <row r="20" spans="1:7" x14ac:dyDescent="0.25">
      <c r="A20" s="155"/>
      <c r="B20" s="155"/>
      <c r="C20" s="155"/>
      <c r="D20" s="155"/>
      <c r="E20" s="155"/>
      <c r="F20" s="71" t="s">
        <v>64</v>
      </c>
      <c r="G20" s="67" t="s">
        <v>66</v>
      </c>
    </row>
    <row r="21" spans="1:7" ht="23.25" customHeight="1" x14ac:dyDescent="0.25">
      <c r="A21" s="155"/>
      <c r="B21" s="155"/>
      <c r="C21" s="155"/>
      <c r="D21" s="155"/>
      <c r="E21" s="155"/>
      <c r="F21" s="71" t="s">
        <v>65</v>
      </c>
      <c r="G21" s="67" t="s">
        <v>66</v>
      </c>
    </row>
    <row r="22" spans="1:7" x14ac:dyDescent="0.25">
      <c r="A22" s="155"/>
      <c r="B22" s="155"/>
      <c r="C22" s="155"/>
      <c r="D22" s="155"/>
      <c r="E22" s="155"/>
      <c r="F22" s="71" t="s">
        <v>128</v>
      </c>
      <c r="G22" s="67" t="s">
        <v>66</v>
      </c>
    </row>
    <row r="23" spans="1:7" x14ac:dyDescent="0.25">
      <c r="A23" s="155"/>
      <c r="B23" s="155"/>
      <c r="C23" s="155"/>
      <c r="D23" s="155"/>
      <c r="E23" s="155"/>
      <c r="F23" s="71" t="s">
        <v>129</v>
      </c>
      <c r="G23" s="67" t="s">
        <v>66</v>
      </c>
    </row>
    <row r="24" spans="1:7" x14ac:dyDescent="0.25">
      <c r="A24" s="155"/>
      <c r="B24" s="155"/>
      <c r="C24" s="155"/>
      <c r="D24" s="155"/>
      <c r="E24" s="155"/>
      <c r="F24" s="71" t="s">
        <v>67</v>
      </c>
      <c r="G24" s="67" t="s">
        <v>66</v>
      </c>
    </row>
    <row r="25" spans="1:7" x14ac:dyDescent="0.25">
      <c r="A25" s="155"/>
      <c r="B25" s="155"/>
      <c r="C25" s="155"/>
      <c r="D25" s="155"/>
      <c r="E25" s="155"/>
      <c r="F25" s="71" t="s">
        <v>68</v>
      </c>
      <c r="G25" s="67" t="s">
        <v>66</v>
      </c>
    </row>
    <row r="26" spans="1:7" x14ac:dyDescent="0.25">
      <c r="A26" s="155">
        <v>4</v>
      </c>
      <c r="B26" s="155" t="s">
        <v>145</v>
      </c>
      <c r="C26" s="155" t="s">
        <v>238</v>
      </c>
      <c r="D26" s="155" t="s">
        <v>81</v>
      </c>
      <c r="E26" s="155" t="s">
        <v>59</v>
      </c>
      <c r="F26" s="71" t="s">
        <v>60</v>
      </c>
      <c r="G26" s="67" t="s">
        <v>66</v>
      </c>
    </row>
    <row r="27" spans="1:7" x14ac:dyDescent="0.25">
      <c r="A27" s="155"/>
      <c r="B27" s="155"/>
      <c r="C27" s="155"/>
      <c r="D27" s="155"/>
      <c r="E27" s="155"/>
      <c r="F27" s="71" t="s">
        <v>62</v>
      </c>
      <c r="G27" s="67" t="s">
        <v>250</v>
      </c>
    </row>
    <row r="28" spans="1:7" x14ac:dyDescent="0.25">
      <c r="A28" s="155"/>
      <c r="B28" s="155"/>
      <c r="C28" s="155"/>
      <c r="D28" s="155"/>
      <c r="E28" s="155"/>
      <c r="F28" s="71" t="s">
        <v>64</v>
      </c>
      <c r="G28" s="67" t="s">
        <v>251</v>
      </c>
    </row>
    <row r="29" spans="1:7" x14ac:dyDescent="0.25">
      <c r="A29" s="155"/>
      <c r="B29" s="155"/>
      <c r="C29" s="155"/>
      <c r="D29" s="155"/>
      <c r="E29" s="155"/>
      <c r="F29" s="71" t="s">
        <v>65</v>
      </c>
      <c r="G29" s="67" t="s">
        <v>66</v>
      </c>
    </row>
    <row r="30" spans="1:7" x14ac:dyDescent="0.25">
      <c r="A30" s="155"/>
      <c r="B30" s="155"/>
      <c r="C30" s="155"/>
      <c r="D30" s="155"/>
      <c r="E30" s="155"/>
      <c r="F30" s="71" t="s">
        <v>128</v>
      </c>
      <c r="G30" s="67" t="s">
        <v>66</v>
      </c>
    </row>
    <row r="31" spans="1:7" x14ac:dyDescent="0.25">
      <c r="A31" s="155"/>
      <c r="B31" s="155"/>
      <c r="C31" s="155"/>
      <c r="D31" s="155"/>
      <c r="E31" s="155"/>
      <c r="F31" s="71" t="s">
        <v>129</v>
      </c>
      <c r="G31" s="67" t="s">
        <v>66</v>
      </c>
    </row>
    <row r="32" spans="1:7" x14ac:dyDescent="0.25">
      <c r="A32" s="155"/>
      <c r="B32" s="155"/>
      <c r="C32" s="155"/>
      <c r="D32" s="155"/>
      <c r="E32" s="155"/>
      <c r="F32" s="71" t="s">
        <v>67</v>
      </c>
      <c r="G32" s="67" t="s">
        <v>66</v>
      </c>
    </row>
    <row r="33" spans="1:7" x14ac:dyDescent="0.25">
      <c r="A33" s="155"/>
      <c r="B33" s="155"/>
      <c r="C33" s="155"/>
      <c r="D33" s="155"/>
      <c r="E33" s="155"/>
      <c r="F33" s="71" t="s">
        <v>68</v>
      </c>
      <c r="G33" s="67" t="s">
        <v>66</v>
      </c>
    </row>
  </sheetData>
  <mergeCells count="20">
    <mergeCell ref="A10:A17"/>
    <mergeCell ref="B10:B17"/>
    <mergeCell ref="C10:C17"/>
    <mergeCell ref="D10:D17"/>
    <mergeCell ref="E10:E17"/>
    <mergeCell ref="A2:A9"/>
    <mergeCell ref="B2:B9"/>
    <mergeCell ref="C2:C9"/>
    <mergeCell ref="D2:D9"/>
    <mergeCell ref="E2:E9"/>
    <mergeCell ref="A18:A25"/>
    <mergeCell ref="B18:B25"/>
    <mergeCell ref="C18:C25"/>
    <mergeCell ref="D18:D25"/>
    <mergeCell ref="E18:E25"/>
    <mergeCell ref="A26:A33"/>
    <mergeCell ref="B26:B33"/>
    <mergeCell ref="C26:C33"/>
    <mergeCell ref="D26:D33"/>
    <mergeCell ref="E26:E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C1238"/>
  <sheetViews>
    <sheetView zoomScale="50" zoomScaleNormal="50" workbookViewId="0">
      <selection sqref="A1:XFD1048576"/>
    </sheetView>
  </sheetViews>
  <sheetFormatPr defaultRowHeight="15" x14ac:dyDescent="0.25"/>
  <cols>
    <col min="2" max="2" width="15.5703125" customWidth="1"/>
    <col min="3" max="3" width="10.85546875" customWidth="1"/>
    <col min="4" max="4" width="17.85546875" customWidth="1"/>
    <col min="5" max="5" width="15.85546875" customWidth="1"/>
    <col min="7" max="7" width="10.42578125" bestFit="1" customWidth="1"/>
    <col min="8" max="8" width="14.7109375" style="13" customWidth="1"/>
    <col min="9" max="9" width="35.85546875" style="13" bestFit="1" customWidth="1"/>
    <col min="12" max="12" width="13.7109375" customWidth="1"/>
    <col min="13" max="13" width="10.7109375" bestFit="1" customWidth="1"/>
    <col min="14" max="14" width="20.140625" customWidth="1"/>
    <col min="15" max="15" width="15.5703125" customWidth="1"/>
    <col min="17" max="17" width="10.42578125" bestFit="1" customWidth="1"/>
    <col min="18" max="18" width="10.42578125" customWidth="1"/>
    <col min="19" max="19" width="25.42578125" style="13" bestFit="1" customWidth="1"/>
    <col min="22" max="22" width="12.7109375" bestFit="1" customWidth="1"/>
    <col min="23" max="23" width="9.85546875" bestFit="1" customWidth="1"/>
    <col min="28" max="28" width="10.42578125" bestFit="1" customWidth="1"/>
    <col min="29" max="29" width="33" bestFit="1" customWidth="1"/>
  </cols>
  <sheetData>
    <row r="4" spans="2:19" ht="31.5" x14ac:dyDescent="0.5">
      <c r="B4" s="14"/>
      <c r="C4" s="14"/>
      <c r="D4" s="14"/>
      <c r="E4" s="14"/>
      <c r="F4" s="14"/>
      <c r="G4" s="14"/>
      <c r="H4" s="65"/>
    </row>
    <row r="5" spans="2:19" ht="15.75" thickBot="1" x14ac:dyDescent="0.3"/>
    <row r="6" spans="2:19" ht="15.75" thickBot="1" x14ac:dyDescent="0.3">
      <c r="B6" s="171" t="s">
        <v>252</v>
      </c>
      <c r="C6" s="172"/>
      <c r="D6" s="172"/>
      <c r="E6" s="172"/>
      <c r="F6" s="172"/>
      <c r="G6" s="172"/>
      <c r="H6" s="172"/>
      <c r="I6" s="173"/>
      <c r="L6" s="171" t="s">
        <v>253</v>
      </c>
      <c r="M6" s="172"/>
      <c r="N6" s="172"/>
      <c r="O6" s="172"/>
      <c r="P6" s="172"/>
      <c r="Q6" s="172"/>
      <c r="R6" s="172"/>
      <c r="S6" s="173"/>
    </row>
    <row r="8" spans="2:19" ht="26.25" thickBot="1" x14ac:dyDescent="0.3">
      <c r="B8" s="15" t="s">
        <v>70</v>
      </c>
      <c r="C8" s="16" t="s">
        <v>71</v>
      </c>
      <c r="D8" s="15" t="s">
        <v>72</v>
      </c>
      <c r="E8" s="17" t="s">
        <v>73</v>
      </c>
      <c r="F8" s="17" t="s">
        <v>74</v>
      </c>
      <c r="G8" s="15" t="s">
        <v>75</v>
      </c>
      <c r="H8" s="15" t="s">
        <v>55</v>
      </c>
      <c r="I8" s="15" t="s">
        <v>76</v>
      </c>
      <c r="L8" s="15" t="s">
        <v>70</v>
      </c>
      <c r="M8" s="16" t="s">
        <v>71</v>
      </c>
      <c r="N8" s="15" t="s">
        <v>72</v>
      </c>
      <c r="O8" s="17" t="s">
        <v>73</v>
      </c>
      <c r="P8" s="17" t="s">
        <v>74</v>
      </c>
      <c r="Q8" s="15" t="s">
        <v>75</v>
      </c>
      <c r="R8" s="15" t="s">
        <v>55</v>
      </c>
      <c r="S8" s="15" t="s">
        <v>76</v>
      </c>
    </row>
    <row r="9" spans="2:19" x14ac:dyDescent="0.25">
      <c r="B9" s="174" t="s">
        <v>2</v>
      </c>
      <c r="C9" s="168" t="s">
        <v>77</v>
      </c>
      <c r="D9" s="18" t="s">
        <v>2</v>
      </c>
      <c r="E9" s="19">
        <v>1</v>
      </c>
      <c r="F9" s="19">
        <v>1</v>
      </c>
      <c r="G9" s="18" t="s">
        <v>78</v>
      </c>
      <c r="H9" s="156" t="s">
        <v>79</v>
      </c>
      <c r="I9" s="165" t="s">
        <v>157</v>
      </c>
      <c r="L9" s="174" t="s">
        <v>2</v>
      </c>
      <c r="M9" s="168" t="s">
        <v>77</v>
      </c>
      <c r="N9" s="18" t="s">
        <v>2</v>
      </c>
      <c r="O9" s="19">
        <v>1</v>
      </c>
      <c r="P9" s="19">
        <v>1</v>
      </c>
      <c r="Q9" s="18" t="s">
        <v>78</v>
      </c>
      <c r="R9" s="156" t="s">
        <v>79</v>
      </c>
      <c r="S9" s="165" t="s">
        <v>163</v>
      </c>
    </row>
    <row r="10" spans="2:19" x14ac:dyDescent="0.25">
      <c r="B10" s="175"/>
      <c r="C10" s="169"/>
      <c r="D10" s="18" t="s">
        <v>3</v>
      </c>
      <c r="E10" s="19">
        <v>2</v>
      </c>
      <c r="F10" s="19">
        <v>2</v>
      </c>
      <c r="G10" s="18" t="s">
        <v>78</v>
      </c>
      <c r="H10" s="157"/>
      <c r="I10" s="166"/>
      <c r="L10" s="175"/>
      <c r="M10" s="169"/>
      <c r="N10" s="18" t="s">
        <v>3</v>
      </c>
      <c r="O10" s="19">
        <v>2</v>
      </c>
      <c r="P10" s="19">
        <v>2</v>
      </c>
      <c r="Q10" s="18" t="s">
        <v>78</v>
      </c>
      <c r="R10" s="157"/>
      <c r="S10" s="166"/>
    </row>
    <row r="11" spans="2:19" x14ac:dyDescent="0.25">
      <c r="B11" s="175"/>
      <c r="C11" s="169"/>
      <c r="D11" s="18" t="s">
        <v>80</v>
      </c>
      <c r="E11" s="20">
        <v>3</v>
      </c>
      <c r="F11" s="20">
        <v>3</v>
      </c>
      <c r="G11" s="18" t="s">
        <v>66</v>
      </c>
      <c r="H11" s="157"/>
      <c r="I11" s="166"/>
      <c r="L11" s="175"/>
      <c r="M11" s="169"/>
      <c r="N11" s="18" t="s">
        <v>80</v>
      </c>
      <c r="O11" s="20">
        <v>3</v>
      </c>
      <c r="P11" s="20">
        <v>3</v>
      </c>
      <c r="Q11" s="18" t="s">
        <v>66</v>
      </c>
      <c r="R11" s="157"/>
      <c r="S11" s="166"/>
    </row>
    <row r="12" spans="2:19" x14ac:dyDescent="0.25">
      <c r="B12" s="175"/>
      <c r="C12" s="169"/>
      <c r="D12" s="18" t="s">
        <v>81</v>
      </c>
      <c r="E12" s="20">
        <v>4</v>
      </c>
      <c r="F12" s="20">
        <v>4</v>
      </c>
      <c r="G12" s="18" t="s">
        <v>66</v>
      </c>
      <c r="H12" s="157"/>
      <c r="I12" s="166"/>
      <c r="L12" s="175"/>
      <c r="M12" s="169"/>
      <c r="N12" s="18" t="s">
        <v>81</v>
      </c>
      <c r="O12" s="20">
        <v>4</v>
      </c>
      <c r="P12" s="20">
        <v>4</v>
      </c>
      <c r="Q12" s="18" t="s">
        <v>66</v>
      </c>
      <c r="R12" s="157"/>
      <c r="S12" s="166"/>
    </row>
    <row r="13" spans="2:19" x14ac:dyDescent="0.25">
      <c r="B13" s="175"/>
      <c r="C13" s="169"/>
      <c r="D13" s="18" t="s">
        <v>82</v>
      </c>
      <c r="E13" s="20">
        <v>5</v>
      </c>
      <c r="F13" s="20">
        <v>5</v>
      </c>
      <c r="G13" s="18" t="s">
        <v>66</v>
      </c>
      <c r="H13" s="157"/>
      <c r="I13" s="166"/>
      <c r="L13" s="175"/>
      <c r="M13" s="169"/>
      <c r="N13" s="18" t="s">
        <v>82</v>
      </c>
      <c r="O13" s="20">
        <v>5</v>
      </c>
      <c r="P13" s="20">
        <v>5</v>
      </c>
      <c r="Q13" s="18" t="s">
        <v>66</v>
      </c>
      <c r="R13" s="157"/>
      <c r="S13" s="166"/>
    </row>
    <row r="14" spans="2:19" ht="15.75" thickBot="1" x14ac:dyDescent="0.3">
      <c r="B14" s="175"/>
      <c r="C14" s="170"/>
      <c r="D14" s="18" t="s">
        <v>83</v>
      </c>
      <c r="E14" s="20">
        <v>6</v>
      </c>
      <c r="F14" s="20">
        <v>6</v>
      </c>
      <c r="G14" s="18" t="s">
        <v>66</v>
      </c>
      <c r="H14" s="158"/>
      <c r="I14" s="167"/>
      <c r="L14" s="175"/>
      <c r="M14" s="170"/>
      <c r="N14" s="18" t="s">
        <v>83</v>
      </c>
      <c r="O14" s="20">
        <v>6</v>
      </c>
      <c r="P14" s="20">
        <v>6</v>
      </c>
      <c r="Q14" s="18" t="s">
        <v>66</v>
      </c>
      <c r="R14" s="158"/>
      <c r="S14" s="167"/>
    </row>
    <row r="15" spans="2:19" x14ac:dyDescent="0.25">
      <c r="B15" s="175"/>
      <c r="C15" s="168" t="s">
        <v>84</v>
      </c>
      <c r="D15" s="18" t="s">
        <v>2</v>
      </c>
      <c r="E15" s="19">
        <v>1</v>
      </c>
      <c r="F15" s="19">
        <v>7</v>
      </c>
      <c r="G15" s="18" t="s">
        <v>78</v>
      </c>
      <c r="H15" s="156" t="s">
        <v>85</v>
      </c>
      <c r="I15" s="165" t="s">
        <v>164</v>
      </c>
      <c r="L15" s="175"/>
      <c r="M15" s="168" t="s">
        <v>84</v>
      </c>
      <c r="N15" s="18" t="s">
        <v>2</v>
      </c>
      <c r="O15" s="19">
        <v>1</v>
      </c>
      <c r="P15" s="19">
        <v>7</v>
      </c>
      <c r="Q15" s="18" t="s">
        <v>78</v>
      </c>
      <c r="R15" s="156" t="s">
        <v>85</v>
      </c>
      <c r="S15" s="165" t="s">
        <v>169</v>
      </c>
    </row>
    <row r="16" spans="2:19" x14ac:dyDescent="0.25">
      <c r="B16" s="175"/>
      <c r="C16" s="169"/>
      <c r="D16" s="18" t="s">
        <v>3</v>
      </c>
      <c r="E16" s="19">
        <v>2</v>
      </c>
      <c r="F16" s="19">
        <v>8</v>
      </c>
      <c r="G16" s="18" t="s">
        <v>78</v>
      </c>
      <c r="H16" s="157"/>
      <c r="I16" s="166"/>
      <c r="L16" s="175"/>
      <c r="M16" s="169"/>
      <c r="N16" s="18" t="s">
        <v>3</v>
      </c>
      <c r="O16" s="19">
        <v>2</v>
      </c>
      <c r="P16" s="19">
        <v>8</v>
      </c>
      <c r="Q16" s="18" t="s">
        <v>78</v>
      </c>
      <c r="R16" s="157"/>
      <c r="S16" s="166"/>
    </row>
    <row r="17" spans="2:19" x14ac:dyDescent="0.25">
      <c r="B17" s="175"/>
      <c r="C17" s="169"/>
      <c r="D17" s="18" t="s">
        <v>80</v>
      </c>
      <c r="E17" s="20">
        <v>3</v>
      </c>
      <c r="F17" s="20">
        <v>9</v>
      </c>
      <c r="G17" s="18" t="s">
        <v>66</v>
      </c>
      <c r="H17" s="157"/>
      <c r="I17" s="166"/>
      <c r="L17" s="175"/>
      <c r="M17" s="169"/>
      <c r="N17" s="18" t="s">
        <v>80</v>
      </c>
      <c r="O17" s="20">
        <v>3</v>
      </c>
      <c r="P17" s="20">
        <v>9</v>
      </c>
      <c r="Q17" s="18" t="s">
        <v>66</v>
      </c>
      <c r="R17" s="157"/>
      <c r="S17" s="166"/>
    </row>
    <row r="18" spans="2:19" x14ac:dyDescent="0.25">
      <c r="B18" s="175"/>
      <c r="C18" s="169"/>
      <c r="D18" s="18" t="s">
        <v>81</v>
      </c>
      <c r="E18" s="20">
        <v>4</v>
      </c>
      <c r="F18" s="20">
        <v>10</v>
      </c>
      <c r="G18" s="18" t="s">
        <v>66</v>
      </c>
      <c r="H18" s="157"/>
      <c r="I18" s="166"/>
      <c r="L18" s="175"/>
      <c r="M18" s="169"/>
      <c r="N18" s="18" t="s">
        <v>81</v>
      </c>
      <c r="O18" s="20">
        <v>4</v>
      </c>
      <c r="P18" s="20">
        <v>10</v>
      </c>
      <c r="Q18" s="18" t="s">
        <v>66</v>
      </c>
      <c r="R18" s="157"/>
      <c r="S18" s="166"/>
    </row>
    <row r="19" spans="2:19" x14ac:dyDescent="0.25">
      <c r="B19" s="175"/>
      <c r="C19" s="169"/>
      <c r="D19" s="18" t="s">
        <v>82</v>
      </c>
      <c r="E19" s="20">
        <v>5</v>
      </c>
      <c r="F19" s="20">
        <v>11</v>
      </c>
      <c r="G19" s="18" t="s">
        <v>66</v>
      </c>
      <c r="H19" s="157"/>
      <c r="I19" s="166"/>
      <c r="L19" s="175"/>
      <c r="M19" s="169"/>
      <c r="N19" s="18" t="s">
        <v>82</v>
      </c>
      <c r="O19" s="20">
        <v>5</v>
      </c>
      <c r="P19" s="20">
        <v>11</v>
      </c>
      <c r="Q19" s="18" t="s">
        <v>66</v>
      </c>
      <c r="R19" s="157"/>
      <c r="S19" s="166"/>
    </row>
    <row r="20" spans="2:19" ht="15.75" thickBot="1" x14ac:dyDescent="0.3">
      <c r="B20" s="176"/>
      <c r="C20" s="170"/>
      <c r="D20" s="18" t="s">
        <v>83</v>
      </c>
      <c r="E20" s="20">
        <v>6</v>
      </c>
      <c r="F20" s="20">
        <v>12</v>
      </c>
      <c r="G20" s="18" t="s">
        <v>66</v>
      </c>
      <c r="H20" s="158"/>
      <c r="I20" s="167"/>
      <c r="L20" s="176"/>
      <c r="M20" s="170"/>
      <c r="N20" s="18" t="s">
        <v>83</v>
      </c>
      <c r="O20" s="20">
        <v>6</v>
      </c>
      <c r="P20" s="20">
        <v>12</v>
      </c>
      <c r="Q20" s="18" t="s">
        <v>66</v>
      </c>
      <c r="R20" s="158"/>
      <c r="S20" s="167"/>
    </row>
    <row r="21" spans="2:19" x14ac:dyDescent="0.25">
      <c r="B21" s="180" t="s">
        <v>3</v>
      </c>
      <c r="C21" s="177" t="s">
        <v>77</v>
      </c>
      <c r="D21" s="21" t="s">
        <v>2</v>
      </c>
      <c r="E21" s="22">
        <v>1</v>
      </c>
      <c r="F21" s="22">
        <v>13</v>
      </c>
      <c r="G21" s="21" t="s">
        <v>78</v>
      </c>
      <c r="H21" s="159" t="s">
        <v>126</v>
      </c>
      <c r="I21" s="162" t="s">
        <v>170</v>
      </c>
      <c r="L21" s="180" t="s">
        <v>3</v>
      </c>
      <c r="M21" s="177" t="s">
        <v>77</v>
      </c>
      <c r="N21" s="21" t="s">
        <v>2</v>
      </c>
      <c r="O21" s="22">
        <v>1</v>
      </c>
      <c r="P21" s="22">
        <v>13</v>
      </c>
      <c r="Q21" s="21" t="s">
        <v>78</v>
      </c>
      <c r="R21" s="159" t="s">
        <v>126</v>
      </c>
      <c r="S21" s="162" t="s">
        <v>175</v>
      </c>
    </row>
    <row r="22" spans="2:19" x14ac:dyDescent="0.25">
      <c r="B22" s="181"/>
      <c r="C22" s="178"/>
      <c r="D22" s="23" t="s">
        <v>3</v>
      </c>
      <c r="E22" s="24">
        <v>2</v>
      </c>
      <c r="F22" s="24">
        <v>14</v>
      </c>
      <c r="G22" s="23" t="s">
        <v>78</v>
      </c>
      <c r="H22" s="160"/>
      <c r="I22" s="163"/>
      <c r="L22" s="181"/>
      <c r="M22" s="178"/>
      <c r="N22" s="23" t="s">
        <v>3</v>
      </c>
      <c r="O22" s="24">
        <v>2</v>
      </c>
      <c r="P22" s="24">
        <v>14</v>
      </c>
      <c r="Q22" s="23" t="s">
        <v>78</v>
      </c>
      <c r="R22" s="160"/>
      <c r="S22" s="163"/>
    </row>
    <row r="23" spans="2:19" x14ac:dyDescent="0.25">
      <c r="B23" s="181"/>
      <c r="C23" s="178"/>
      <c r="D23" s="23" t="s">
        <v>80</v>
      </c>
      <c r="E23" s="24">
        <v>3</v>
      </c>
      <c r="F23" s="24">
        <v>15</v>
      </c>
      <c r="G23" s="23" t="s">
        <v>66</v>
      </c>
      <c r="H23" s="160"/>
      <c r="I23" s="163"/>
      <c r="L23" s="181"/>
      <c r="M23" s="178"/>
      <c r="N23" s="23" t="s">
        <v>80</v>
      </c>
      <c r="O23" s="24">
        <v>3</v>
      </c>
      <c r="P23" s="24">
        <v>15</v>
      </c>
      <c r="Q23" s="23" t="s">
        <v>66</v>
      </c>
      <c r="R23" s="160"/>
      <c r="S23" s="163"/>
    </row>
    <row r="24" spans="2:19" x14ac:dyDescent="0.25">
      <c r="B24" s="181"/>
      <c r="C24" s="178"/>
      <c r="D24" s="23" t="s">
        <v>81</v>
      </c>
      <c r="E24" s="24">
        <v>4</v>
      </c>
      <c r="F24" s="24">
        <v>16</v>
      </c>
      <c r="G24" s="23" t="s">
        <v>66</v>
      </c>
      <c r="H24" s="160"/>
      <c r="I24" s="163"/>
      <c r="L24" s="181"/>
      <c r="M24" s="178"/>
      <c r="N24" s="23" t="s">
        <v>81</v>
      </c>
      <c r="O24" s="24">
        <v>4</v>
      </c>
      <c r="P24" s="24">
        <v>16</v>
      </c>
      <c r="Q24" s="23" t="s">
        <v>66</v>
      </c>
      <c r="R24" s="160"/>
      <c r="S24" s="163"/>
    </row>
    <row r="25" spans="2:19" x14ac:dyDescent="0.25">
      <c r="B25" s="181"/>
      <c r="C25" s="178"/>
      <c r="D25" s="23" t="s">
        <v>82</v>
      </c>
      <c r="E25" s="24">
        <v>5</v>
      </c>
      <c r="F25" s="24">
        <v>17</v>
      </c>
      <c r="G25" s="23" t="s">
        <v>66</v>
      </c>
      <c r="H25" s="160"/>
      <c r="I25" s="163"/>
      <c r="L25" s="181"/>
      <c r="M25" s="178"/>
      <c r="N25" s="23" t="s">
        <v>82</v>
      </c>
      <c r="O25" s="24">
        <v>5</v>
      </c>
      <c r="P25" s="24">
        <v>17</v>
      </c>
      <c r="Q25" s="23" t="s">
        <v>66</v>
      </c>
      <c r="R25" s="160"/>
      <c r="S25" s="163"/>
    </row>
    <row r="26" spans="2:19" ht="15.75" thickBot="1" x14ac:dyDescent="0.3">
      <c r="B26" s="181"/>
      <c r="C26" s="179"/>
      <c r="D26" s="23" t="s">
        <v>83</v>
      </c>
      <c r="E26" s="24">
        <v>6</v>
      </c>
      <c r="F26" s="24">
        <v>18</v>
      </c>
      <c r="G26" s="23" t="s">
        <v>66</v>
      </c>
      <c r="H26" s="161"/>
      <c r="I26" s="164"/>
      <c r="L26" s="181"/>
      <c r="M26" s="179"/>
      <c r="N26" s="23" t="s">
        <v>83</v>
      </c>
      <c r="O26" s="24">
        <v>6</v>
      </c>
      <c r="P26" s="24">
        <v>18</v>
      </c>
      <c r="Q26" s="23" t="s">
        <v>66</v>
      </c>
      <c r="R26" s="161"/>
      <c r="S26" s="164"/>
    </row>
    <row r="27" spans="2:19" x14ac:dyDescent="0.25">
      <c r="B27" s="181"/>
      <c r="C27" s="177" t="s">
        <v>84</v>
      </c>
      <c r="D27" s="23" t="s">
        <v>2</v>
      </c>
      <c r="E27" s="24">
        <v>1</v>
      </c>
      <c r="F27" s="24">
        <v>19</v>
      </c>
      <c r="G27" s="21" t="s">
        <v>66</v>
      </c>
      <c r="H27" s="63"/>
      <c r="I27" s="64"/>
      <c r="L27" s="181"/>
      <c r="M27" s="177" t="s">
        <v>84</v>
      </c>
      <c r="N27" s="23" t="s">
        <v>2</v>
      </c>
      <c r="O27" s="24">
        <v>1</v>
      </c>
      <c r="P27" s="24">
        <v>19</v>
      </c>
      <c r="Q27" s="21" t="s">
        <v>66</v>
      </c>
      <c r="R27" s="63"/>
      <c r="S27" s="64"/>
    </row>
    <row r="28" spans="2:19" x14ac:dyDescent="0.25">
      <c r="B28" s="181"/>
      <c r="C28" s="178"/>
      <c r="D28" s="23" t="s">
        <v>3</v>
      </c>
      <c r="E28" s="24">
        <v>2</v>
      </c>
      <c r="F28" s="24">
        <v>20</v>
      </c>
      <c r="G28" s="23" t="s">
        <v>66</v>
      </c>
      <c r="H28" s="63"/>
      <c r="I28" s="64"/>
      <c r="L28" s="181"/>
      <c r="M28" s="178"/>
      <c r="N28" s="23" t="s">
        <v>3</v>
      </c>
      <c r="O28" s="24">
        <v>2</v>
      </c>
      <c r="P28" s="24">
        <v>20</v>
      </c>
      <c r="Q28" s="23" t="s">
        <v>66</v>
      </c>
      <c r="R28" s="63"/>
      <c r="S28" s="64"/>
    </row>
    <row r="29" spans="2:19" x14ac:dyDescent="0.25">
      <c r="B29" s="181"/>
      <c r="C29" s="178"/>
      <c r="D29" s="23" t="s">
        <v>80</v>
      </c>
      <c r="E29" s="26">
        <v>3</v>
      </c>
      <c r="F29" s="24">
        <v>21</v>
      </c>
      <c r="G29" s="23" t="s">
        <v>66</v>
      </c>
      <c r="H29" s="63"/>
      <c r="I29" s="64"/>
      <c r="L29" s="181"/>
      <c r="M29" s="178"/>
      <c r="N29" s="23" t="s">
        <v>80</v>
      </c>
      <c r="O29" s="26">
        <v>3</v>
      </c>
      <c r="P29" s="24">
        <v>21</v>
      </c>
      <c r="Q29" s="23" t="s">
        <v>66</v>
      </c>
      <c r="R29" s="63"/>
      <c r="S29" s="64"/>
    </row>
    <row r="30" spans="2:19" x14ac:dyDescent="0.25">
      <c r="B30" s="181"/>
      <c r="C30" s="178"/>
      <c r="D30" s="23" t="s">
        <v>81</v>
      </c>
      <c r="E30" s="24">
        <v>4</v>
      </c>
      <c r="F30" s="24">
        <v>22</v>
      </c>
      <c r="G30" s="23" t="s">
        <v>66</v>
      </c>
      <c r="H30" s="63"/>
      <c r="I30" s="64"/>
      <c r="L30" s="181"/>
      <c r="M30" s="178"/>
      <c r="N30" s="23" t="s">
        <v>81</v>
      </c>
      <c r="O30" s="24">
        <v>4</v>
      </c>
      <c r="P30" s="24">
        <v>22</v>
      </c>
      <c r="Q30" s="23" t="s">
        <v>66</v>
      </c>
      <c r="R30" s="63"/>
      <c r="S30" s="64"/>
    </row>
    <row r="31" spans="2:19" x14ac:dyDescent="0.25">
      <c r="B31" s="181"/>
      <c r="C31" s="178"/>
      <c r="D31" s="23" t="s">
        <v>82</v>
      </c>
      <c r="E31" s="24">
        <v>5</v>
      </c>
      <c r="F31" s="24">
        <v>23</v>
      </c>
      <c r="G31" s="23" t="s">
        <v>66</v>
      </c>
      <c r="H31" s="63"/>
      <c r="I31" s="64"/>
      <c r="L31" s="181"/>
      <c r="M31" s="178"/>
      <c r="N31" s="23" t="s">
        <v>82</v>
      </c>
      <c r="O31" s="24">
        <v>5</v>
      </c>
      <c r="P31" s="24">
        <v>23</v>
      </c>
      <c r="Q31" s="23" t="s">
        <v>66</v>
      </c>
      <c r="R31" s="63"/>
      <c r="S31" s="64"/>
    </row>
    <row r="32" spans="2:19" ht="15.75" thickBot="1" x14ac:dyDescent="0.3">
      <c r="B32" s="182"/>
      <c r="C32" s="179"/>
      <c r="D32" s="23" t="s">
        <v>83</v>
      </c>
      <c r="E32" s="24">
        <v>6</v>
      </c>
      <c r="F32" s="24">
        <v>24</v>
      </c>
      <c r="G32" s="23" t="s">
        <v>66</v>
      </c>
      <c r="H32" s="63"/>
      <c r="I32" s="64"/>
      <c r="L32" s="182"/>
      <c r="M32" s="179"/>
      <c r="N32" s="23" t="s">
        <v>83</v>
      </c>
      <c r="O32" s="24">
        <v>6</v>
      </c>
      <c r="P32" s="24">
        <v>24</v>
      </c>
      <c r="Q32" s="23" t="s">
        <v>66</v>
      </c>
      <c r="R32" s="63"/>
      <c r="S32" s="64"/>
    </row>
    <row r="33" spans="2:19" x14ac:dyDescent="0.25">
      <c r="B33" s="189" t="s">
        <v>80</v>
      </c>
      <c r="C33" s="192" t="s">
        <v>77</v>
      </c>
      <c r="D33" s="27" t="s">
        <v>2</v>
      </c>
      <c r="E33" s="28">
        <v>1</v>
      </c>
      <c r="F33" s="28">
        <v>25</v>
      </c>
      <c r="G33" s="27" t="s">
        <v>66</v>
      </c>
      <c r="H33" s="27"/>
      <c r="I33" s="48"/>
      <c r="L33" s="189" t="s">
        <v>80</v>
      </c>
      <c r="M33" s="192" t="s">
        <v>77</v>
      </c>
      <c r="N33" s="27" t="s">
        <v>2</v>
      </c>
      <c r="O33" s="28">
        <v>1</v>
      </c>
      <c r="P33" s="28">
        <v>25</v>
      </c>
      <c r="Q33" s="27" t="s">
        <v>66</v>
      </c>
      <c r="R33" s="27"/>
      <c r="S33" s="48"/>
    </row>
    <row r="34" spans="2:19" x14ac:dyDescent="0.25">
      <c r="B34" s="190"/>
      <c r="C34" s="193"/>
      <c r="D34" s="27" t="s">
        <v>3</v>
      </c>
      <c r="E34" s="28">
        <v>2</v>
      </c>
      <c r="F34" s="28">
        <v>26</v>
      </c>
      <c r="G34" s="27" t="s">
        <v>66</v>
      </c>
      <c r="H34" s="27"/>
      <c r="I34" s="48"/>
      <c r="L34" s="190"/>
      <c r="M34" s="193"/>
      <c r="N34" s="27" t="s">
        <v>3</v>
      </c>
      <c r="O34" s="28">
        <v>2</v>
      </c>
      <c r="P34" s="28">
        <v>26</v>
      </c>
      <c r="Q34" s="27" t="s">
        <v>66</v>
      </c>
      <c r="R34" s="27"/>
      <c r="S34" s="48"/>
    </row>
    <row r="35" spans="2:19" x14ac:dyDescent="0.25">
      <c r="B35" s="190"/>
      <c r="C35" s="193"/>
      <c r="D35" s="27" t="s">
        <v>80</v>
      </c>
      <c r="E35" s="28">
        <v>3</v>
      </c>
      <c r="F35" s="28">
        <v>27</v>
      </c>
      <c r="G35" s="27" t="s">
        <v>66</v>
      </c>
      <c r="H35" s="27"/>
      <c r="I35" s="48"/>
      <c r="L35" s="190"/>
      <c r="M35" s="193"/>
      <c r="N35" s="27" t="s">
        <v>80</v>
      </c>
      <c r="O35" s="28">
        <v>3</v>
      </c>
      <c r="P35" s="28">
        <v>27</v>
      </c>
      <c r="Q35" s="27" t="s">
        <v>66</v>
      </c>
      <c r="R35" s="27"/>
      <c r="S35" s="48"/>
    </row>
    <row r="36" spans="2:19" x14ac:dyDescent="0.25">
      <c r="B36" s="190"/>
      <c r="C36" s="193"/>
      <c r="D36" s="27" t="s">
        <v>81</v>
      </c>
      <c r="E36" s="28">
        <v>4</v>
      </c>
      <c r="F36" s="28">
        <v>28</v>
      </c>
      <c r="G36" s="27" t="s">
        <v>66</v>
      </c>
      <c r="H36" s="27"/>
      <c r="I36" s="48"/>
      <c r="L36" s="190"/>
      <c r="M36" s="193"/>
      <c r="N36" s="27" t="s">
        <v>81</v>
      </c>
      <c r="O36" s="28">
        <v>4</v>
      </c>
      <c r="P36" s="28">
        <v>28</v>
      </c>
      <c r="Q36" s="27" t="s">
        <v>66</v>
      </c>
      <c r="R36" s="27"/>
      <c r="S36" s="48"/>
    </row>
    <row r="37" spans="2:19" x14ac:dyDescent="0.25">
      <c r="B37" s="190"/>
      <c r="C37" s="193"/>
      <c r="D37" s="27" t="s">
        <v>82</v>
      </c>
      <c r="E37" s="28">
        <v>5</v>
      </c>
      <c r="F37" s="28">
        <v>29</v>
      </c>
      <c r="G37" s="27" t="s">
        <v>66</v>
      </c>
      <c r="H37" s="27"/>
      <c r="I37" s="48"/>
      <c r="L37" s="190"/>
      <c r="M37" s="193"/>
      <c r="N37" s="27" t="s">
        <v>82</v>
      </c>
      <c r="O37" s="28">
        <v>5</v>
      </c>
      <c r="P37" s="28">
        <v>29</v>
      </c>
      <c r="Q37" s="27" t="s">
        <v>66</v>
      </c>
      <c r="R37" s="27"/>
      <c r="S37" s="48"/>
    </row>
    <row r="38" spans="2:19" ht="15.75" thickBot="1" x14ac:dyDescent="0.3">
      <c r="B38" s="190"/>
      <c r="C38" s="194"/>
      <c r="D38" s="27" t="s">
        <v>83</v>
      </c>
      <c r="E38" s="28">
        <v>6</v>
      </c>
      <c r="F38" s="28">
        <v>30</v>
      </c>
      <c r="G38" s="27" t="s">
        <v>66</v>
      </c>
      <c r="H38" s="27"/>
      <c r="I38" s="48"/>
      <c r="L38" s="190"/>
      <c r="M38" s="194"/>
      <c r="N38" s="27" t="s">
        <v>83</v>
      </c>
      <c r="O38" s="28">
        <v>6</v>
      </c>
      <c r="P38" s="28">
        <v>30</v>
      </c>
      <c r="Q38" s="27" t="s">
        <v>66</v>
      </c>
      <c r="R38" s="27"/>
      <c r="S38" s="48"/>
    </row>
    <row r="39" spans="2:19" x14ac:dyDescent="0.25">
      <c r="B39" s="190"/>
      <c r="C39" s="192" t="s">
        <v>84</v>
      </c>
      <c r="D39" s="27" t="s">
        <v>2</v>
      </c>
      <c r="E39" s="28">
        <v>1</v>
      </c>
      <c r="F39" s="28">
        <v>31</v>
      </c>
      <c r="G39" s="27" t="s">
        <v>66</v>
      </c>
      <c r="H39" s="27"/>
      <c r="I39" s="48"/>
      <c r="L39" s="190"/>
      <c r="M39" s="192" t="s">
        <v>84</v>
      </c>
      <c r="N39" s="27" t="s">
        <v>2</v>
      </c>
      <c r="O39" s="28">
        <v>1</v>
      </c>
      <c r="P39" s="28">
        <v>31</v>
      </c>
      <c r="Q39" s="27" t="s">
        <v>66</v>
      </c>
      <c r="R39" s="27"/>
      <c r="S39" s="48"/>
    </row>
    <row r="40" spans="2:19" x14ac:dyDescent="0.25">
      <c r="B40" s="190"/>
      <c r="C40" s="193"/>
      <c r="D40" s="27" t="s">
        <v>3</v>
      </c>
      <c r="E40" s="28">
        <v>2</v>
      </c>
      <c r="F40" s="28">
        <v>32</v>
      </c>
      <c r="G40" s="27" t="s">
        <v>66</v>
      </c>
      <c r="H40" s="27"/>
      <c r="I40" s="48"/>
      <c r="L40" s="190"/>
      <c r="M40" s="193"/>
      <c r="N40" s="27" t="s">
        <v>3</v>
      </c>
      <c r="O40" s="28">
        <v>2</v>
      </c>
      <c r="P40" s="28">
        <v>32</v>
      </c>
      <c r="Q40" s="27" t="s">
        <v>66</v>
      </c>
      <c r="R40" s="27"/>
      <c r="S40" s="48"/>
    </row>
    <row r="41" spans="2:19" x14ac:dyDescent="0.25">
      <c r="B41" s="190"/>
      <c r="C41" s="193"/>
      <c r="D41" s="27" t="s">
        <v>80</v>
      </c>
      <c r="E41" s="28">
        <v>3</v>
      </c>
      <c r="F41" s="28">
        <v>33</v>
      </c>
      <c r="G41" s="27" t="s">
        <v>66</v>
      </c>
      <c r="H41" s="27"/>
      <c r="I41" s="48"/>
      <c r="L41" s="190"/>
      <c r="M41" s="193"/>
      <c r="N41" s="27" t="s">
        <v>80</v>
      </c>
      <c r="O41" s="28">
        <v>3</v>
      </c>
      <c r="P41" s="28">
        <v>33</v>
      </c>
      <c r="Q41" s="27" t="s">
        <v>66</v>
      </c>
      <c r="R41" s="27"/>
      <c r="S41" s="48"/>
    </row>
    <row r="42" spans="2:19" x14ac:dyDescent="0.25">
      <c r="B42" s="190"/>
      <c r="C42" s="193"/>
      <c r="D42" s="27" t="s">
        <v>81</v>
      </c>
      <c r="E42" s="28">
        <v>4</v>
      </c>
      <c r="F42" s="28">
        <v>34</v>
      </c>
      <c r="G42" s="27" t="s">
        <v>66</v>
      </c>
      <c r="H42" s="27"/>
      <c r="I42" s="48"/>
      <c r="L42" s="190"/>
      <c r="M42" s="193"/>
      <c r="N42" s="27" t="s">
        <v>81</v>
      </c>
      <c r="O42" s="28">
        <v>4</v>
      </c>
      <c r="P42" s="28">
        <v>34</v>
      </c>
      <c r="Q42" s="27" t="s">
        <v>66</v>
      </c>
      <c r="R42" s="27"/>
      <c r="S42" s="48"/>
    </row>
    <row r="43" spans="2:19" x14ac:dyDescent="0.25">
      <c r="B43" s="190"/>
      <c r="C43" s="193"/>
      <c r="D43" s="27" t="s">
        <v>82</v>
      </c>
      <c r="E43" s="28">
        <v>5</v>
      </c>
      <c r="F43" s="28">
        <v>35</v>
      </c>
      <c r="G43" s="27" t="s">
        <v>66</v>
      </c>
      <c r="H43" s="27"/>
      <c r="I43" s="48"/>
      <c r="L43" s="190"/>
      <c r="M43" s="193"/>
      <c r="N43" s="27" t="s">
        <v>82</v>
      </c>
      <c r="O43" s="28">
        <v>5</v>
      </c>
      <c r="P43" s="28">
        <v>35</v>
      </c>
      <c r="Q43" s="27" t="s">
        <v>66</v>
      </c>
      <c r="R43" s="27"/>
      <c r="S43" s="48"/>
    </row>
    <row r="44" spans="2:19" ht="15.75" thickBot="1" x14ac:dyDescent="0.3">
      <c r="B44" s="191"/>
      <c r="C44" s="194"/>
      <c r="D44" s="27" t="s">
        <v>83</v>
      </c>
      <c r="E44" s="28">
        <v>6</v>
      </c>
      <c r="F44" s="28">
        <v>36</v>
      </c>
      <c r="G44" s="27" t="s">
        <v>66</v>
      </c>
      <c r="H44" s="27"/>
      <c r="I44" s="48"/>
      <c r="L44" s="191"/>
      <c r="M44" s="194"/>
      <c r="N44" s="27" t="s">
        <v>83</v>
      </c>
      <c r="O44" s="28">
        <v>6</v>
      </c>
      <c r="P44" s="28">
        <v>36</v>
      </c>
      <c r="Q44" s="27" t="s">
        <v>66</v>
      </c>
      <c r="R44" s="27"/>
      <c r="S44" s="48"/>
    </row>
    <row r="45" spans="2:19" ht="15" customHeight="1" x14ac:dyDescent="0.25">
      <c r="B45" s="183" t="s">
        <v>81</v>
      </c>
      <c r="C45" s="186" t="s">
        <v>77</v>
      </c>
      <c r="D45" s="29" t="s">
        <v>2</v>
      </c>
      <c r="E45" s="30">
        <v>1</v>
      </c>
      <c r="F45" s="30">
        <v>37</v>
      </c>
      <c r="G45" s="29" t="s">
        <v>66</v>
      </c>
      <c r="H45" s="31"/>
      <c r="I45" s="60"/>
      <c r="L45" s="183" t="s">
        <v>81</v>
      </c>
      <c r="M45" s="186" t="s">
        <v>77</v>
      </c>
      <c r="N45" s="29" t="s">
        <v>2</v>
      </c>
      <c r="O45" s="30">
        <v>1</v>
      </c>
      <c r="P45" s="30">
        <v>37</v>
      </c>
      <c r="Q45" s="29" t="s">
        <v>66</v>
      </c>
      <c r="R45" s="31"/>
      <c r="S45" s="60"/>
    </row>
    <row r="46" spans="2:19" x14ac:dyDescent="0.25">
      <c r="B46" s="184"/>
      <c r="C46" s="187"/>
      <c r="D46" s="29" t="s">
        <v>3</v>
      </c>
      <c r="E46" s="30">
        <v>2</v>
      </c>
      <c r="F46" s="30">
        <v>38</v>
      </c>
      <c r="G46" s="29" t="s">
        <v>66</v>
      </c>
      <c r="H46" s="31"/>
      <c r="I46" s="60"/>
      <c r="L46" s="184"/>
      <c r="M46" s="187"/>
      <c r="N46" s="29" t="s">
        <v>3</v>
      </c>
      <c r="O46" s="30">
        <v>2</v>
      </c>
      <c r="P46" s="30">
        <v>38</v>
      </c>
      <c r="Q46" s="29" t="s">
        <v>66</v>
      </c>
      <c r="R46" s="31"/>
      <c r="S46" s="60"/>
    </row>
    <row r="47" spans="2:19" x14ac:dyDescent="0.25">
      <c r="B47" s="184"/>
      <c r="C47" s="187"/>
      <c r="D47" s="29" t="s">
        <v>80</v>
      </c>
      <c r="E47" s="30">
        <v>3</v>
      </c>
      <c r="F47" s="30">
        <v>39</v>
      </c>
      <c r="G47" s="29" t="s">
        <v>66</v>
      </c>
      <c r="H47" s="31"/>
      <c r="I47" s="60"/>
      <c r="L47" s="184"/>
      <c r="M47" s="187"/>
      <c r="N47" s="29" t="s">
        <v>80</v>
      </c>
      <c r="O47" s="30">
        <v>3</v>
      </c>
      <c r="P47" s="30">
        <v>39</v>
      </c>
      <c r="Q47" s="29" t="s">
        <v>66</v>
      </c>
      <c r="R47" s="31"/>
      <c r="S47" s="60"/>
    </row>
    <row r="48" spans="2:19" x14ac:dyDescent="0.25">
      <c r="B48" s="184"/>
      <c r="C48" s="187"/>
      <c r="D48" s="29" t="s">
        <v>81</v>
      </c>
      <c r="E48" s="30">
        <v>4</v>
      </c>
      <c r="F48" s="30">
        <v>40</v>
      </c>
      <c r="G48" s="29" t="s">
        <v>66</v>
      </c>
      <c r="H48" s="31"/>
      <c r="I48" s="60"/>
      <c r="L48" s="184"/>
      <c r="M48" s="187"/>
      <c r="N48" s="29" t="s">
        <v>81</v>
      </c>
      <c r="O48" s="30">
        <v>4</v>
      </c>
      <c r="P48" s="30">
        <v>40</v>
      </c>
      <c r="Q48" s="29" t="s">
        <v>66</v>
      </c>
      <c r="R48" s="31"/>
      <c r="S48" s="60"/>
    </row>
    <row r="49" spans="2:19" x14ac:dyDescent="0.25">
      <c r="B49" s="184"/>
      <c r="C49" s="187"/>
      <c r="D49" s="29" t="s">
        <v>82</v>
      </c>
      <c r="E49" s="30">
        <v>5</v>
      </c>
      <c r="F49" s="30">
        <v>41</v>
      </c>
      <c r="G49" s="29" t="s">
        <v>66</v>
      </c>
      <c r="H49" s="31"/>
      <c r="I49" s="60"/>
      <c r="L49" s="184"/>
      <c r="M49" s="187"/>
      <c r="N49" s="29" t="s">
        <v>82</v>
      </c>
      <c r="O49" s="30">
        <v>5</v>
      </c>
      <c r="P49" s="30">
        <v>41</v>
      </c>
      <c r="Q49" s="29" t="s">
        <v>66</v>
      </c>
      <c r="R49" s="31"/>
      <c r="S49" s="60"/>
    </row>
    <row r="50" spans="2:19" ht="15.75" thickBot="1" x14ac:dyDescent="0.3">
      <c r="B50" s="184"/>
      <c r="C50" s="188"/>
      <c r="D50" s="29" t="s">
        <v>83</v>
      </c>
      <c r="E50" s="30">
        <v>6</v>
      </c>
      <c r="F50" s="30">
        <v>42</v>
      </c>
      <c r="G50" s="29" t="s">
        <v>66</v>
      </c>
      <c r="H50" s="31"/>
      <c r="I50" s="60"/>
      <c r="L50" s="184"/>
      <c r="M50" s="188"/>
      <c r="N50" s="29" t="s">
        <v>83</v>
      </c>
      <c r="O50" s="30">
        <v>6</v>
      </c>
      <c r="P50" s="30">
        <v>42</v>
      </c>
      <c r="Q50" s="29" t="s">
        <v>66</v>
      </c>
      <c r="R50" s="31"/>
      <c r="S50" s="60"/>
    </row>
    <row r="51" spans="2:19" x14ac:dyDescent="0.25">
      <c r="B51" s="184"/>
      <c r="C51" s="186" t="s">
        <v>84</v>
      </c>
      <c r="D51" s="29" t="s">
        <v>2</v>
      </c>
      <c r="E51" s="30">
        <v>1</v>
      </c>
      <c r="F51" s="30">
        <v>43</v>
      </c>
      <c r="G51" s="29" t="s">
        <v>66</v>
      </c>
      <c r="H51" s="29"/>
      <c r="I51" s="49"/>
      <c r="L51" s="184"/>
      <c r="M51" s="186" t="s">
        <v>84</v>
      </c>
      <c r="N51" s="29" t="s">
        <v>2</v>
      </c>
      <c r="O51" s="30">
        <v>1</v>
      </c>
      <c r="P51" s="30">
        <v>43</v>
      </c>
      <c r="Q51" s="29" t="s">
        <v>66</v>
      </c>
      <c r="R51" s="29"/>
      <c r="S51" s="49"/>
    </row>
    <row r="52" spans="2:19" x14ac:dyDescent="0.25">
      <c r="B52" s="184"/>
      <c r="C52" s="187"/>
      <c r="D52" s="29" t="s">
        <v>3</v>
      </c>
      <c r="E52" s="30">
        <v>2</v>
      </c>
      <c r="F52" s="30">
        <v>44</v>
      </c>
      <c r="G52" s="29" t="s">
        <v>66</v>
      </c>
      <c r="H52" s="29"/>
      <c r="I52" s="49"/>
      <c r="L52" s="184"/>
      <c r="M52" s="187"/>
      <c r="N52" s="29" t="s">
        <v>3</v>
      </c>
      <c r="O52" s="30">
        <v>2</v>
      </c>
      <c r="P52" s="30">
        <v>44</v>
      </c>
      <c r="Q52" s="29" t="s">
        <v>66</v>
      </c>
      <c r="R52" s="29"/>
      <c r="S52" s="49"/>
    </row>
    <row r="53" spans="2:19" x14ac:dyDescent="0.25">
      <c r="B53" s="184"/>
      <c r="C53" s="187"/>
      <c r="D53" s="29" t="s">
        <v>80</v>
      </c>
      <c r="E53" s="30">
        <v>3</v>
      </c>
      <c r="F53" s="30">
        <v>45</v>
      </c>
      <c r="G53" s="29" t="s">
        <v>66</v>
      </c>
      <c r="H53" s="29"/>
      <c r="I53" s="49"/>
      <c r="L53" s="184"/>
      <c r="M53" s="187"/>
      <c r="N53" s="29" t="s">
        <v>80</v>
      </c>
      <c r="O53" s="30">
        <v>3</v>
      </c>
      <c r="P53" s="30">
        <v>45</v>
      </c>
      <c r="Q53" s="29" t="s">
        <v>66</v>
      </c>
      <c r="R53" s="29"/>
      <c r="S53" s="49"/>
    </row>
    <row r="54" spans="2:19" x14ac:dyDescent="0.25">
      <c r="B54" s="184"/>
      <c r="C54" s="187"/>
      <c r="D54" s="29" t="s">
        <v>81</v>
      </c>
      <c r="E54" s="30">
        <v>4</v>
      </c>
      <c r="F54" s="30">
        <v>46</v>
      </c>
      <c r="G54" s="29" t="s">
        <v>66</v>
      </c>
      <c r="H54" s="29"/>
      <c r="I54" s="49"/>
      <c r="L54" s="184"/>
      <c r="M54" s="187"/>
      <c r="N54" s="29" t="s">
        <v>81</v>
      </c>
      <c r="O54" s="30">
        <v>4</v>
      </c>
      <c r="P54" s="30">
        <v>46</v>
      </c>
      <c r="Q54" s="29" t="s">
        <v>66</v>
      </c>
      <c r="R54" s="29"/>
      <c r="S54" s="49"/>
    </row>
    <row r="55" spans="2:19" x14ac:dyDescent="0.25">
      <c r="B55" s="184"/>
      <c r="C55" s="187"/>
      <c r="D55" s="29" t="s">
        <v>82</v>
      </c>
      <c r="E55" s="30">
        <v>5</v>
      </c>
      <c r="F55" s="30">
        <v>47</v>
      </c>
      <c r="G55" s="29" t="s">
        <v>66</v>
      </c>
      <c r="H55" s="29"/>
      <c r="I55" s="49"/>
      <c r="L55" s="184"/>
      <c r="M55" s="187"/>
      <c r="N55" s="29" t="s">
        <v>82</v>
      </c>
      <c r="O55" s="30">
        <v>5</v>
      </c>
      <c r="P55" s="30">
        <v>47</v>
      </c>
      <c r="Q55" s="29" t="s">
        <v>66</v>
      </c>
      <c r="R55" s="29"/>
      <c r="S55" s="49"/>
    </row>
    <row r="56" spans="2:19" ht="15.75" thickBot="1" x14ac:dyDescent="0.3">
      <c r="B56" s="185"/>
      <c r="C56" s="188"/>
      <c r="D56" s="29" t="s">
        <v>83</v>
      </c>
      <c r="E56" s="30">
        <v>6</v>
      </c>
      <c r="F56" s="30">
        <v>48</v>
      </c>
      <c r="G56" s="29" t="s">
        <v>66</v>
      </c>
      <c r="H56" s="29"/>
      <c r="I56" s="49"/>
      <c r="L56" s="185"/>
      <c r="M56" s="188"/>
      <c r="N56" s="29" t="s">
        <v>83</v>
      </c>
      <c r="O56" s="30">
        <v>6</v>
      </c>
      <c r="P56" s="30">
        <v>48</v>
      </c>
      <c r="Q56" s="29" t="s">
        <v>66</v>
      </c>
      <c r="R56" s="29"/>
      <c r="S56" s="49"/>
    </row>
    <row r="57" spans="2:19" ht="15.75" thickBot="1" x14ac:dyDescent="0.3"/>
    <row r="58" spans="2:19" ht="15.75" thickBot="1" x14ac:dyDescent="0.3">
      <c r="B58" s="171" t="s">
        <v>254</v>
      </c>
      <c r="C58" s="172"/>
      <c r="D58" s="172"/>
      <c r="E58" s="172"/>
      <c r="F58" s="172"/>
      <c r="G58" s="172"/>
      <c r="H58" s="172"/>
      <c r="I58" s="173"/>
      <c r="L58" s="171" t="s">
        <v>255</v>
      </c>
      <c r="M58" s="172"/>
      <c r="N58" s="172"/>
      <c r="O58" s="172"/>
      <c r="P58" s="172"/>
      <c r="Q58" s="172"/>
      <c r="R58" s="172"/>
      <c r="S58" s="173"/>
    </row>
    <row r="60" spans="2:19" ht="26.25" thickBot="1" x14ac:dyDescent="0.3">
      <c r="B60" s="15" t="s">
        <v>70</v>
      </c>
      <c r="C60" s="16" t="s">
        <v>71</v>
      </c>
      <c r="D60" s="15" t="s">
        <v>72</v>
      </c>
      <c r="E60" s="17" t="s">
        <v>73</v>
      </c>
      <c r="F60" s="17" t="s">
        <v>74</v>
      </c>
      <c r="G60" s="15" t="s">
        <v>75</v>
      </c>
      <c r="H60" s="15" t="s">
        <v>86</v>
      </c>
      <c r="I60" s="15" t="s">
        <v>76</v>
      </c>
      <c r="L60" s="15" t="s">
        <v>70</v>
      </c>
      <c r="M60" s="16" t="s">
        <v>71</v>
      </c>
      <c r="N60" s="15" t="s">
        <v>72</v>
      </c>
      <c r="O60" s="17" t="s">
        <v>73</v>
      </c>
      <c r="P60" s="17" t="s">
        <v>74</v>
      </c>
      <c r="Q60" s="15" t="s">
        <v>75</v>
      </c>
      <c r="R60" s="15" t="s">
        <v>55</v>
      </c>
      <c r="S60" s="15" t="s">
        <v>76</v>
      </c>
    </row>
    <row r="61" spans="2:19" ht="15" customHeight="1" x14ac:dyDescent="0.25">
      <c r="B61" s="174" t="s">
        <v>2</v>
      </c>
      <c r="C61" s="168" t="s">
        <v>77</v>
      </c>
      <c r="D61" s="18" t="s">
        <v>2</v>
      </c>
      <c r="E61" s="19">
        <v>1</v>
      </c>
      <c r="F61" s="19">
        <v>1</v>
      </c>
      <c r="G61" s="18" t="s">
        <v>78</v>
      </c>
      <c r="H61" s="156" t="s">
        <v>79</v>
      </c>
      <c r="I61" s="165" t="s">
        <v>156</v>
      </c>
      <c r="L61" s="174" t="s">
        <v>2</v>
      </c>
      <c r="M61" s="168" t="s">
        <v>77</v>
      </c>
      <c r="N61" s="18" t="s">
        <v>2</v>
      </c>
      <c r="O61" s="19">
        <v>1</v>
      </c>
      <c r="P61" s="19">
        <v>1</v>
      </c>
      <c r="Q61" s="18" t="s">
        <v>78</v>
      </c>
      <c r="R61" s="156" t="s">
        <v>79</v>
      </c>
      <c r="S61" s="165" t="s">
        <v>158</v>
      </c>
    </row>
    <row r="62" spans="2:19" x14ac:dyDescent="0.25">
      <c r="B62" s="175"/>
      <c r="C62" s="169"/>
      <c r="D62" s="18" t="s">
        <v>3</v>
      </c>
      <c r="E62" s="19">
        <v>2</v>
      </c>
      <c r="F62" s="19">
        <v>2</v>
      </c>
      <c r="G62" s="18" t="s">
        <v>78</v>
      </c>
      <c r="H62" s="157"/>
      <c r="I62" s="166"/>
      <c r="L62" s="175"/>
      <c r="M62" s="169"/>
      <c r="N62" s="18" t="s">
        <v>3</v>
      </c>
      <c r="O62" s="19">
        <v>2</v>
      </c>
      <c r="P62" s="19">
        <v>2</v>
      </c>
      <c r="Q62" s="18" t="s">
        <v>78</v>
      </c>
      <c r="R62" s="157"/>
      <c r="S62" s="166"/>
    </row>
    <row r="63" spans="2:19" x14ac:dyDescent="0.25">
      <c r="B63" s="175"/>
      <c r="C63" s="169"/>
      <c r="D63" s="18" t="s">
        <v>80</v>
      </c>
      <c r="E63" s="20">
        <v>3</v>
      </c>
      <c r="F63" s="20">
        <v>3</v>
      </c>
      <c r="G63" s="18" t="s">
        <v>66</v>
      </c>
      <c r="H63" s="157"/>
      <c r="I63" s="166"/>
      <c r="L63" s="175"/>
      <c r="M63" s="169"/>
      <c r="N63" s="18" t="s">
        <v>80</v>
      </c>
      <c r="O63" s="20">
        <v>3</v>
      </c>
      <c r="P63" s="20">
        <v>3</v>
      </c>
      <c r="Q63" s="18" t="s">
        <v>66</v>
      </c>
      <c r="R63" s="157"/>
      <c r="S63" s="166"/>
    </row>
    <row r="64" spans="2:19" x14ac:dyDescent="0.25">
      <c r="B64" s="175"/>
      <c r="C64" s="169"/>
      <c r="D64" s="18" t="s">
        <v>81</v>
      </c>
      <c r="E64" s="20">
        <v>4</v>
      </c>
      <c r="F64" s="20">
        <v>4</v>
      </c>
      <c r="G64" s="18" t="s">
        <v>66</v>
      </c>
      <c r="H64" s="157"/>
      <c r="I64" s="166"/>
      <c r="L64" s="175"/>
      <c r="M64" s="169"/>
      <c r="N64" s="18" t="s">
        <v>81</v>
      </c>
      <c r="O64" s="20">
        <v>4</v>
      </c>
      <c r="P64" s="20">
        <v>4</v>
      </c>
      <c r="Q64" s="18" t="s">
        <v>66</v>
      </c>
      <c r="R64" s="157"/>
      <c r="S64" s="166"/>
    </row>
    <row r="65" spans="2:19" x14ac:dyDescent="0.25">
      <c r="B65" s="175"/>
      <c r="C65" s="169"/>
      <c r="D65" s="18" t="s">
        <v>82</v>
      </c>
      <c r="E65" s="20">
        <v>5</v>
      </c>
      <c r="F65" s="20">
        <v>5</v>
      </c>
      <c r="G65" s="18" t="s">
        <v>66</v>
      </c>
      <c r="H65" s="157"/>
      <c r="I65" s="166"/>
      <c r="L65" s="175"/>
      <c r="M65" s="169"/>
      <c r="N65" s="18" t="s">
        <v>82</v>
      </c>
      <c r="O65" s="20">
        <v>5</v>
      </c>
      <c r="P65" s="20">
        <v>5</v>
      </c>
      <c r="Q65" s="18" t="s">
        <v>66</v>
      </c>
      <c r="R65" s="157"/>
      <c r="S65" s="166"/>
    </row>
    <row r="66" spans="2:19" ht="15.75" thickBot="1" x14ac:dyDescent="0.3">
      <c r="B66" s="175"/>
      <c r="C66" s="170"/>
      <c r="D66" s="18" t="s">
        <v>83</v>
      </c>
      <c r="E66" s="20">
        <v>6</v>
      </c>
      <c r="F66" s="20">
        <v>6</v>
      </c>
      <c r="G66" s="18" t="s">
        <v>66</v>
      </c>
      <c r="H66" s="158"/>
      <c r="I66" s="167"/>
      <c r="L66" s="175"/>
      <c r="M66" s="170"/>
      <c r="N66" s="18" t="s">
        <v>83</v>
      </c>
      <c r="O66" s="20">
        <v>6</v>
      </c>
      <c r="P66" s="20">
        <v>6</v>
      </c>
      <c r="Q66" s="18" t="s">
        <v>66</v>
      </c>
      <c r="R66" s="158"/>
      <c r="S66" s="167"/>
    </row>
    <row r="67" spans="2:19" x14ac:dyDescent="0.25">
      <c r="B67" s="175"/>
      <c r="C67" s="168" t="s">
        <v>84</v>
      </c>
      <c r="D67" s="18" t="s">
        <v>2</v>
      </c>
      <c r="E67" s="19">
        <v>1</v>
      </c>
      <c r="F67" s="19">
        <v>7</v>
      </c>
      <c r="G67" s="18" t="s">
        <v>66</v>
      </c>
      <c r="H67" s="32"/>
      <c r="I67" s="50"/>
      <c r="L67" s="175"/>
      <c r="M67" s="168" t="s">
        <v>84</v>
      </c>
      <c r="N67" s="18" t="s">
        <v>2</v>
      </c>
      <c r="O67" s="19">
        <v>1</v>
      </c>
      <c r="P67" s="19">
        <v>7</v>
      </c>
      <c r="Q67" s="18" t="s">
        <v>66</v>
      </c>
      <c r="R67" s="32"/>
      <c r="S67" s="50"/>
    </row>
    <row r="68" spans="2:19" x14ac:dyDescent="0.25">
      <c r="B68" s="175"/>
      <c r="C68" s="169"/>
      <c r="D68" s="18" t="s">
        <v>3</v>
      </c>
      <c r="E68" s="19">
        <v>2</v>
      </c>
      <c r="F68" s="19">
        <v>8</v>
      </c>
      <c r="G68" s="18" t="s">
        <v>66</v>
      </c>
      <c r="H68" s="32"/>
      <c r="I68" s="50"/>
      <c r="L68" s="175"/>
      <c r="M68" s="169"/>
      <c r="N68" s="18" t="s">
        <v>3</v>
      </c>
      <c r="O68" s="19">
        <v>2</v>
      </c>
      <c r="P68" s="19">
        <v>8</v>
      </c>
      <c r="Q68" s="18" t="s">
        <v>66</v>
      </c>
      <c r="R68" s="32"/>
      <c r="S68" s="50"/>
    </row>
    <row r="69" spans="2:19" x14ac:dyDescent="0.25">
      <c r="B69" s="175"/>
      <c r="C69" s="169"/>
      <c r="D69" s="18" t="s">
        <v>80</v>
      </c>
      <c r="E69" s="20">
        <v>3</v>
      </c>
      <c r="F69" s="20">
        <v>9</v>
      </c>
      <c r="G69" s="18" t="s">
        <v>66</v>
      </c>
      <c r="H69" s="32"/>
      <c r="I69" s="50"/>
      <c r="L69" s="175"/>
      <c r="M69" s="169"/>
      <c r="N69" s="18" t="s">
        <v>80</v>
      </c>
      <c r="O69" s="20">
        <v>3</v>
      </c>
      <c r="P69" s="20">
        <v>9</v>
      </c>
      <c r="Q69" s="18" t="s">
        <v>66</v>
      </c>
      <c r="R69" s="32"/>
      <c r="S69" s="50"/>
    </row>
    <row r="70" spans="2:19" x14ac:dyDescent="0.25">
      <c r="B70" s="175"/>
      <c r="C70" s="169"/>
      <c r="D70" s="18" t="s">
        <v>81</v>
      </c>
      <c r="E70" s="20">
        <v>4</v>
      </c>
      <c r="F70" s="20">
        <v>10</v>
      </c>
      <c r="G70" s="18" t="s">
        <v>66</v>
      </c>
      <c r="H70" s="32"/>
      <c r="I70" s="50"/>
      <c r="L70" s="175"/>
      <c r="M70" s="169"/>
      <c r="N70" s="18" t="s">
        <v>81</v>
      </c>
      <c r="O70" s="20">
        <v>4</v>
      </c>
      <c r="P70" s="20">
        <v>10</v>
      </c>
      <c r="Q70" s="18" t="s">
        <v>66</v>
      </c>
      <c r="R70" s="32"/>
      <c r="S70" s="50"/>
    </row>
    <row r="71" spans="2:19" x14ac:dyDescent="0.25">
      <c r="B71" s="175"/>
      <c r="C71" s="169"/>
      <c r="D71" s="18" t="s">
        <v>82</v>
      </c>
      <c r="E71" s="20">
        <v>5</v>
      </c>
      <c r="F71" s="20">
        <v>11</v>
      </c>
      <c r="G71" s="18" t="s">
        <v>66</v>
      </c>
      <c r="H71" s="32"/>
      <c r="I71" s="50"/>
      <c r="L71" s="175"/>
      <c r="M71" s="169"/>
      <c r="N71" s="18" t="s">
        <v>82</v>
      </c>
      <c r="O71" s="20">
        <v>5</v>
      </c>
      <c r="P71" s="20">
        <v>11</v>
      </c>
      <c r="Q71" s="18" t="s">
        <v>66</v>
      </c>
      <c r="R71" s="32"/>
      <c r="S71" s="50"/>
    </row>
    <row r="72" spans="2:19" ht="15.75" thickBot="1" x14ac:dyDescent="0.3">
      <c r="B72" s="176"/>
      <c r="C72" s="170"/>
      <c r="D72" s="18" t="s">
        <v>83</v>
      </c>
      <c r="E72" s="20">
        <v>6</v>
      </c>
      <c r="F72" s="20">
        <v>12</v>
      </c>
      <c r="G72" s="18" t="s">
        <v>66</v>
      </c>
      <c r="H72" s="32"/>
      <c r="I72" s="50"/>
      <c r="L72" s="176"/>
      <c r="M72" s="170"/>
      <c r="N72" s="18" t="s">
        <v>83</v>
      </c>
      <c r="O72" s="20">
        <v>6</v>
      </c>
      <c r="P72" s="20">
        <v>12</v>
      </c>
      <c r="Q72" s="18" t="s">
        <v>66</v>
      </c>
      <c r="R72" s="32"/>
      <c r="S72" s="50"/>
    </row>
    <row r="73" spans="2:19" x14ac:dyDescent="0.25">
      <c r="B73" s="180" t="s">
        <v>3</v>
      </c>
      <c r="C73" s="177" t="s">
        <v>77</v>
      </c>
      <c r="D73" s="21" t="s">
        <v>2</v>
      </c>
      <c r="E73" s="22">
        <v>1</v>
      </c>
      <c r="F73" s="22">
        <v>13</v>
      </c>
      <c r="G73" s="21" t="s">
        <v>66</v>
      </c>
      <c r="H73" s="21"/>
      <c r="I73" s="51"/>
      <c r="L73" s="180" t="s">
        <v>3</v>
      </c>
      <c r="M73" s="177" t="s">
        <v>77</v>
      </c>
      <c r="N73" s="21" t="s">
        <v>2</v>
      </c>
      <c r="O73" s="22">
        <v>1</v>
      </c>
      <c r="P73" s="22">
        <v>13</v>
      </c>
      <c r="Q73" s="21" t="s">
        <v>66</v>
      </c>
      <c r="R73" s="21"/>
      <c r="S73" s="51"/>
    </row>
    <row r="74" spans="2:19" x14ac:dyDescent="0.25">
      <c r="B74" s="181"/>
      <c r="C74" s="178"/>
      <c r="D74" s="23" t="s">
        <v>3</v>
      </c>
      <c r="E74" s="24">
        <v>2</v>
      </c>
      <c r="F74" s="24">
        <v>14</v>
      </c>
      <c r="G74" s="23" t="s">
        <v>66</v>
      </c>
      <c r="H74" s="23"/>
      <c r="I74" s="47"/>
      <c r="L74" s="181"/>
      <c r="M74" s="178"/>
      <c r="N74" s="23" t="s">
        <v>3</v>
      </c>
      <c r="O74" s="24">
        <v>2</v>
      </c>
      <c r="P74" s="24">
        <v>14</v>
      </c>
      <c r="Q74" s="23" t="s">
        <v>66</v>
      </c>
      <c r="R74" s="23"/>
      <c r="S74" s="47"/>
    </row>
    <row r="75" spans="2:19" x14ac:dyDescent="0.25">
      <c r="B75" s="181"/>
      <c r="C75" s="178"/>
      <c r="D75" s="23" t="s">
        <v>80</v>
      </c>
      <c r="E75" s="24">
        <v>3</v>
      </c>
      <c r="F75" s="24">
        <v>15</v>
      </c>
      <c r="G75" s="23" t="s">
        <v>66</v>
      </c>
      <c r="H75" s="23"/>
      <c r="I75" s="47"/>
      <c r="L75" s="181"/>
      <c r="M75" s="178"/>
      <c r="N75" s="23" t="s">
        <v>80</v>
      </c>
      <c r="O75" s="24">
        <v>3</v>
      </c>
      <c r="P75" s="24">
        <v>15</v>
      </c>
      <c r="Q75" s="23" t="s">
        <v>66</v>
      </c>
      <c r="R75" s="23"/>
      <c r="S75" s="47"/>
    </row>
    <row r="76" spans="2:19" x14ac:dyDescent="0.25">
      <c r="B76" s="181"/>
      <c r="C76" s="178"/>
      <c r="D76" s="23" t="s">
        <v>81</v>
      </c>
      <c r="E76" s="24">
        <v>4</v>
      </c>
      <c r="F76" s="24">
        <v>16</v>
      </c>
      <c r="G76" s="23" t="s">
        <v>66</v>
      </c>
      <c r="H76" s="23"/>
      <c r="I76" s="47"/>
      <c r="L76" s="181"/>
      <c r="M76" s="178"/>
      <c r="N76" s="23" t="s">
        <v>81</v>
      </c>
      <c r="O76" s="24">
        <v>4</v>
      </c>
      <c r="P76" s="24">
        <v>16</v>
      </c>
      <c r="Q76" s="23" t="s">
        <v>66</v>
      </c>
      <c r="R76" s="23"/>
      <c r="S76" s="47"/>
    </row>
    <row r="77" spans="2:19" x14ac:dyDescent="0.25">
      <c r="B77" s="181"/>
      <c r="C77" s="178"/>
      <c r="D77" s="23" t="s">
        <v>82</v>
      </c>
      <c r="E77" s="24">
        <v>5</v>
      </c>
      <c r="F77" s="24">
        <v>17</v>
      </c>
      <c r="G77" s="23" t="s">
        <v>66</v>
      </c>
      <c r="H77" s="23"/>
      <c r="I77" s="47"/>
      <c r="L77" s="181"/>
      <c r="M77" s="178"/>
      <c r="N77" s="23" t="s">
        <v>82</v>
      </c>
      <c r="O77" s="24">
        <v>5</v>
      </c>
      <c r="P77" s="24">
        <v>17</v>
      </c>
      <c r="Q77" s="23" t="s">
        <v>66</v>
      </c>
      <c r="R77" s="23"/>
      <c r="S77" s="47"/>
    </row>
    <row r="78" spans="2:19" ht="15.75" thickBot="1" x14ac:dyDescent="0.3">
      <c r="B78" s="181"/>
      <c r="C78" s="179"/>
      <c r="D78" s="23" t="s">
        <v>83</v>
      </c>
      <c r="E78" s="24">
        <v>6</v>
      </c>
      <c r="F78" s="24">
        <v>18</v>
      </c>
      <c r="G78" s="23" t="s">
        <v>66</v>
      </c>
      <c r="H78" s="23"/>
      <c r="I78" s="47"/>
      <c r="L78" s="181"/>
      <c r="M78" s="179"/>
      <c r="N78" s="23" t="s">
        <v>83</v>
      </c>
      <c r="O78" s="24">
        <v>6</v>
      </c>
      <c r="P78" s="24">
        <v>18</v>
      </c>
      <c r="Q78" s="23" t="s">
        <v>66</v>
      </c>
      <c r="R78" s="23"/>
      <c r="S78" s="47"/>
    </row>
    <row r="79" spans="2:19" x14ac:dyDescent="0.25">
      <c r="B79" s="181"/>
      <c r="C79" s="177" t="s">
        <v>84</v>
      </c>
      <c r="D79" s="23" t="s">
        <v>2</v>
      </c>
      <c r="E79" s="24">
        <v>1</v>
      </c>
      <c r="F79" s="24">
        <v>19</v>
      </c>
      <c r="G79" s="23" t="s">
        <v>66</v>
      </c>
      <c r="H79" s="23"/>
      <c r="I79" s="47"/>
      <c r="L79" s="181"/>
      <c r="M79" s="177" t="s">
        <v>84</v>
      </c>
      <c r="N79" s="23" t="s">
        <v>2</v>
      </c>
      <c r="O79" s="24">
        <v>1</v>
      </c>
      <c r="P79" s="24">
        <v>19</v>
      </c>
      <c r="Q79" s="23" t="s">
        <v>66</v>
      </c>
      <c r="R79" s="23"/>
      <c r="S79" s="47"/>
    </row>
    <row r="80" spans="2:19" x14ac:dyDescent="0.25">
      <c r="B80" s="181"/>
      <c r="C80" s="178"/>
      <c r="D80" s="23" t="s">
        <v>3</v>
      </c>
      <c r="E80" s="24">
        <v>2</v>
      </c>
      <c r="F80" s="24">
        <v>20</v>
      </c>
      <c r="G80" s="23" t="s">
        <v>66</v>
      </c>
      <c r="H80" s="23"/>
      <c r="I80" s="47"/>
      <c r="L80" s="181"/>
      <c r="M80" s="178"/>
      <c r="N80" s="23" t="s">
        <v>3</v>
      </c>
      <c r="O80" s="24">
        <v>2</v>
      </c>
      <c r="P80" s="24">
        <v>20</v>
      </c>
      <c r="Q80" s="23" t="s">
        <v>66</v>
      </c>
      <c r="R80" s="23"/>
      <c r="S80" s="47"/>
    </row>
    <row r="81" spans="2:19" x14ac:dyDescent="0.25">
      <c r="B81" s="181"/>
      <c r="C81" s="178"/>
      <c r="D81" s="23" t="s">
        <v>80</v>
      </c>
      <c r="E81" s="26">
        <v>3</v>
      </c>
      <c r="F81" s="24">
        <v>21</v>
      </c>
      <c r="G81" s="23" t="s">
        <v>66</v>
      </c>
      <c r="H81" s="23"/>
      <c r="I81" s="47"/>
      <c r="L81" s="181"/>
      <c r="M81" s="178"/>
      <c r="N81" s="23" t="s">
        <v>80</v>
      </c>
      <c r="O81" s="26">
        <v>3</v>
      </c>
      <c r="P81" s="24">
        <v>21</v>
      </c>
      <c r="Q81" s="23" t="s">
        <v>66</v>
      </c>
      <c r="R81" s="23"/>
      <c r="S81" s="47"/>
    </row>
    <row r="82" spans="2:19" x14ac:dyDescent="0.25">
      <c r="B82" s="181"/>
      <c r="C82" s="178"/>
      <c r="D82" s="23" t="s">
        <v>81</v>
      </c>
      <c r="E82" s="24">
        <v>4</v>
      </c>
      <c r="F82" s="24">
        <v>22</v>
      </c>
      <c r="G82" s="23" t="s">
        <v>66</v>
      </c>
      <c r="H82" s="23"/>
      <c r="I82" s="47"/>
      <c r="L82" s="181"/>
      <c r="M82" s="178"/>
      <c r="N82" s="23" t="s">
        <v>81</v>
      </c>
      <c r="O82" s="24">
        <v>4</v>
      </c>
      <c r="P82" s="24">
        <v>22</v>
      </c>
      <c r="Q82" s="23" t="s">
        <v>66</v>
      </c>
      <c r="R82" s="23"/>
      <c r="S82" s="47"/>
    </row>
    <row r="83" spans="2:19" x14ac:dyDescent="0.25">
      <c r="B83" s="181"/>
      <c r="C83" s="178"/>
      <c r="D83" s="23" t="s">
        <v>82</v>
      </c>
      <c r="E83" s="24">
        <v>5</v>
      </c>
      <c r="F83" s="24">
        <v>23</v>
      </c>
      <c r="G83" s="23" t="s">
        <v>66</v>
      </c>
      <c r="H83" s="23"/>
      <c r="I83" s="47"/>
      <c r="L83" s="181"/>
      <c r="M83" s="178"/>
      <c r="N83" s="23" t="s">
        <v>82</v>
      </c>
      <c r="O83" s="24">
        <v>5</v>
      </c>
      <c r="P83" s="24">
        <v>23</v>
      </c>
      <c r="Q83" s="23" t="s">
        <v>66</v>
      </c>
      <c r="R83" s="23"/>
      <c r="S83" s="47"/>
    </row>
    <row r="84" spans="2:19" ht="15.75" thickBot="1" x14ac:dyDescent="0.3">
      <c r="B84" s="182"/>
      <c r="C84" s="179"/>
      <c r="D84" s="23" t="s">
        <v>83</v>
      </c>
      <c r="E84" s="24">
        <v>6</v>
      </c>
      <c r="F84" s="24">
        <v>24</v>
      </c>
      <c r="G84" s="23" t="s">
        <v>66</v>
      </c>
      <c r="H84" s="23"/>
      <c r="I84" s="47"/>
      <c r="L84" s="182"/>
      <c r="M84" s="179"/>
      <c r="N84" s="23" t="s">
        <v>83</v>
      </c>
      <c r="O84" s="24">
        <v>6</v>
      </c>
      <c r="P84" s="24">
        <v>24</v>
      </c>
      <c r="Q84" s="23" t="s">
        <v>66</v>
      </c>
      <c r="R84" s="23"/>
      <c r="S84" s="47"/>
    </row>
    <row r="85" spans="2:19" x14ac:dyDescent="0.25">
      <c r="B85" s="189" t="s">
        <v>80</v>
      </c>
      <c r="C85" s="192" t="s">
        <v>77</v>
      </c>
      <c r="D85" s="27" t="s">
        <v>2</v>
      </c>
      <c r="E85" s="28">
        <v>1</v>
      </c>
      <c r="F85" s="28">
        <v>25</v>
      </c>
      <c r="G85" s="27" t="s">
        <v>66</v>
      </c>
      <c r="H85" s="27"/>
      <c r="I85" s="48"/>
      <c r="L85" s="189" t="s">
        <v>80</v>
      </c>
      <c r="M85" s="192" t="s">
        <v>77</v>
      </c>
      <c r="N85" s="27" t="s">
        <v>2</v>
      </c>
      <c r="O85" s="28">
        <v>1</v>
      </c>
      <c r="P85" s="28">
        <v>25</v>
      </c>
      <c r="Q85" s="27" t="s">
        <v>66</v>
      </c>
      <c r="R85" s="27"/>
      <c r="S85" s="48"/>
    </row>
    <row r="86" spans="2:19" x14ac:dyDescent="0.25">
      <c r="B86" s="190"/>
      <c r="C86" s="193"/>
      <c r="D86" s="27" t="s">
        <v>3</v>
      </c>
      <c r="E86" s="28">
        <v>2</v>
      </c>
      <c r="F86" s="28">
        <v>26</v>
      </c>
      <c r="G86" s="27" t="s">
        <v>66</v>
      </c>
      <c r="H86" s="27"/>
      <c r="I86" s="48"/>
      <c r="L86" s="190"/>
      <c r="M86" s="193"/>
      <c r="N86" s="27" t="s">
        <v>3</v>
      </c>
      <c r="O86" s="28">
        <v>2</v>
      </c>
      <c r="P86" s="28">
        <v>26</v>
      </c>
      <c r="Q86" s="27" t="s">
        <v>66</v>
      </c>
      <c r="R86" s="27"/>
      <c r="S86" s="48"/>
    </row>
    <row r="87" spans="2:19" x14ac:dyDescent="0.25">
      <c r="B87" s="190"/>
      <c r="C87" s="193"/>
      <c r="D87" s="27" t="s">
        <v>80</v>
      </c>
      <c r="E87" s="28">
        <v>3</v>
      </c>
      <c r="F87" s="28">
        <v>27</v>
      </c>
      <c r="G87" s="27" t="s">
        <v>66</v>
      </c>
      <c r="H87" s="27"/>
      <c r="I87" s="48"/>
      <c r="L87" s="190"/>
      <c r="M87" s="193"/>
      <c r="N87" s="27" t="s">
        <v>80</v>
      </c>
      <c r="O87" s="28">
        <v>3</v>
      </c>
      <c r="P87" s="28">
        <v>27</v>
      </c>
      <c r="Q87" s="27" t="s">
        <v>66</v>
      </c>
      <c r="R87" s="27"/>
      <c r="S87" s="48"/>
    </row>
    <row r="88" spans="2:19" x14ac:dyDescent="0.25">
      <c r="B88" s="190"/>
      <c r="C88" s="193"/>
      <c r="D88" s="27" t="s">
        <v>81</v>
      </c>
      <c r="E88" s="28">
        <v>4</v>
      </c>
      <c r="F88" s="28">
        <v>28</v>
      </c>
      <c r="G88" s="27" t="s">
        <v>66</v>
      </c>
      <c r="H88" s="27"/>
      <c r="I88" s="48"/>
      <c r="L88" s="190"/>
      <c r="M88" s="193"/>
      <c r="N88" s="27" t="s">
        <v>81</v>
      </c>
      <c r="O88" s="28">
        <v>4</v>
      </c>
      <c r="P88" s="28">
        <v>28</v>
      </c>
      <c r="Q88" s="27" t="s">
        <v>66</v>
      </c>
      <c r="R88" s="27"/>
      <c r="S88" s="48"/>
    </row>
    <row r="89" spans="2:19" x14ac:dyDescent="0.25">
      <c r="B89" s="190"/>
      <c r="C89" s="193"/>
      <c r="D89" s="27" t="s">
        <v>82</v>
      </c>
      <c r="E89" s="28">
        <v>5</v>
      </c>
      <c r="F89" s="28">
        <v>29</v>
      </c>
      <c r="G89" s="27" t="s">
        <v>66</v>
      </c>
      <c r="H89" s="27"/>
      <c r="I89" s="48"/>
      <c r="L89" s="190"/>
      <c r="M89" s="193"/>
      <c r="N89" s="27" t="s">
        <v>82</v>
      </c>
      <c r="O89" s="28">
        <v>5</v>
      </c>
      <c r="P89" s="28">
        <v>29</v>
      </c>
      <c r="Q89" s="27" t="s">
        <v>66</v>
      </c>
      <c r="R89" s="27"/>
      <c r="S89" s="48"/>
    </row>
    <row r="90" spans="2:19" ht="15.75" thickBot="1" x14ac:dyDescent="0.3">
      <c r="B90" s="190"/>
      <c r="C90" s="194"/>
      <c r="D90" s="27" t="s">
        <v>83</v>
      </c>
      <c r="E90" s="28">
        <v>6</v>
      </c>
      <c r="F90" s="28">
        <v>30</v>
      </c>
      <c r="G90" s="27" t="s">
        <v>66</v>
      </c>
      <c r="H90" s="27"/>
      <c r="I90" s="48"/>
      <c r="L90" s="190"/>
      <c r="M90" s="194"/>
      <c r="N90" s="27" t="s">
        <v>83</v>
      </c>
      <c r="O90" s="28">
        <v>6</v>
      </c>
      <c r="P90" s="28">
        <v>30</v>
      </c>
      <c r="Q90" s="27" t="s">
        <v>66</v>
      </c>
      <c r="R90" s="27"/>
      <c r="S90" s="48"/>
    </row>
    <row r="91" spans="2:19" x14ac:dyDescent="0.25">
      <c r="B91" s="190"/>
      <c r="C91" s="192" t="s">
        <v>84</v>
      </c>
      <c r="D91" s="27" t="s">
        <v>2</v>
      </c>
      <c r="E91" s="28">
        <v>1</v>
      </c>
      <c r="F91" s="28">
        <v>31</v>
      </c>
      <c r="G91" s="27" t="s">
        <v>66</v>
      </c>
      <c r="H91" s="27"/>
      <c r="I91" s="48"/>
      <c r="L91" s="190"/>
      <c r="M91" s="192" t="s">
        <v>84</v>
      </c>
      <c r="N91" s="27" t="s">
        <v>2</v>
      </c>
      <c r="O91" s="28">
        <v>1</v>
      </c>
      <c r="P91" s="28">
        <v>31</v>
      </c>
      <c r="Q91" s="27" t="s">
        <v>66</v>
      </c>
      <c r="R91" s="27"/>
      <c r="S91" s="48"/>
    </row>
    <row r="92" spans="2:19" x14ac:dyDescent="0.25">
      <c r="B92" s="190"/>
      <c r="C92" s="193"/>
      <c r="D92" s="27" t="s">
        <v>3</v>
      </c>
      <c r="E92" s="28">
        <v>2</v>
      </c>
      <c r="F92" s="28">
        <v>32</v>
      </c>
      <c r="G92" s="27" t="s">
        <v>66</v>
      </c>
      <c r="H92" s="27"/>
      <c r="I92" s="48"/>
      <c r="L92" s="190"/>
      <c r="M92" s="193"/>
      <c r="N92" s="27" t="s">
        <v>3</v>
      </c>
      <c r="O92" s="28">
        <v>2</v>
      </c>
      <c r="P92" s="28">
        <v>32</v>
      </c>
      <c r="Q92" s="27" t="s">
        <v>66</v>
      </c>
      <c r="R92" s="27"/>
      <c r="S92" s="48"/>
    </row>
    <row r="93" spans="2:19" x14ac:dyDescent="0.25">
      <c r="B93" s="190"/>
      <c r="C93" s="193"/>
      <c r="D93" s="27" t="s">
        <v>80</v>
      </c>
      <c r="E93" s="28">
        <v>3</v>
      </c>
      <c r="F93" s="28">
        <v>33</v>
      </c>
      <c r="G93" s="27" t="s">
        <v>66</v>
      </c>
      <c r="H93" s="27"/>
      <c r="I93" s="48"/>
      <c r="L93" s="190"/>
      <c r="M93" s="193"/>
      <c r="N93" s="27" t="s">
        <v>80</v>
      </c>
      <c r="O93" s="28">
        <v>3</v>
      </c>
      <c r="P93" s="28">
        <v>33</v>
      </c>
      <c r="Q93" s="27" t="s">
        <v>66</v>
      </c>
      <c r="R93" s="27"/>
      <c r="S93" s="48"/>
    </row>
    <row r="94" spans="2:19" x14ac:dyDescent="0.25">
      <c r="B94" s="190"/>
      <c r="C94" s="193"/>
      <c r="D94" s="27" t="s">
        <v>81</v>
      </c>
      <c r="E94" s="28">
        <v>4</v>
      </c>
      <c r="F94" s="28">
        <v>34</v>
      </c>
      <c r="G94" s="27" t="s">
        <v>66</v>
      </c>
      <c r="H94" s="27"/>
      <c r="I94" s="48"/>
      <c r="L94" s="190"/>
      <c r="M94" s="193"/>
      <c r="N94" s="27" t="s">
        <v>81</v>
      </c>
      <c r="O94" s="28">
        <v>4</v>
      </c>
      <c r="P94" s="28">
        <v>34</v>
      </c>
      <c r="Q94" s="27" t="s">
        <v>66</v>
      </c>
      <c r="R94" s="27"/>
      <c r="S94" s="48"/>
    </row>
    <row r="95" spans="2:19" x14ac:dyDescent="0.25">
      <c r="B95" s="190"/>
      <c r="C95" s="193"/>
      <c r="D95" s="27" t="s">
        <v>82</v>
      </c>
      <c r="E95" s="28">
        <v>5</v>
      </c>
      <c r="F95" s="28">
        <v>35</v>
      </c>
      <c r="G95" s="27" t="s">
        <v>66</v>
      </c>
      <c r="H95" s="27"/>
      <c r="I95" s="48"/>
      <c r="L95" s="190"/>
      <c r="M95" s="193"/>
      <c r="N95" s="27" t="s">
        <v>82</v>
      </c>
      <c r="O95" s="28">
        <v>5</v>
      </c>
      <c r="P95" s="28">
        <v>35</v>
      </c>
      <c r="Q95" s="27" t="s">
        <v>66</v>
      </c>
      <c r="R95" s="27"/>
      <c r="S95" s="48"/>
    </row>
    <row r="96" spans="2:19" ht="15.75" thickBot="1" x14ac:dyDescent="0.3">
      <c r="B96" s="191"/>
      <c r="C96" s="194"/>
      <c r="D96" s="27" t="s">
        <v>83</v>
      </c>
      <c r="E96" s="28">
        <v>6</v>
      </c>
      <c r="F96" s="28">
        <v>36</v>
      </c>
      <c r="G96" s="27" t="s">
        <v>66</v>
      </c>
      <c r="H96" s="27"/>
      <c r="I96" s="48"/>
      <c r="L96" s="191"/>
      <c r="M96" s="194"/>
      <c r="N96" s="27" t="s">
        <v>83</v>
      </c>
      <c r="O96" s="28">
        <v>6</v>
      </c>
      <c r="P96" s="28">
        <v>36</v>
      </c>
      <c r="Q96" s="27" t="s">
        <v>66</v>
      </c>
      <c r="R96" s="27"/>
      <c r="S96" s="48"/>
    </row>
    <row r="97" spans="2:19" x14ac:dyDescent="0.25">
      <c r="B97" s="183" t="s">
        <v>81</v>
      </c>
      <c r="C97" s="186" t="s">
        <v>77</v>
      </c>
      <c r="D97" s="29" t="s">
        <v>2</v>
      </c>
      <c r="E97" s="30">
        <v>1</v>
      </c>
      <c r="F97" s="30">
        <v>37</v>
      </c>
      <c r="G97" s="29" t="s">
        <v>66</v>
      </c>
      <c r="H97" s="29"/>
      <c r="I97" s="49"/>
      <c r="L97" s="183" t="s">
        <v>81</v>
      </c>
      <c r="M97" s="186" t="s">
        <v>77</v>
      </c>
      <c r="N97" s="29" t="s">
        <v>2</v>
      </c>
      <c r="O97" s="30">
        <v>1</v>
      </c>
      <c r="P97" s="30">
        <v>37</v>
      </c>
      <c r="Q97" s="29" t="s">
        <v>66</v>
      </c>
      <c r="R97" s="29"/>
      <c r="S97" s="49"/>
    </row>
    <row r="98" spans="2:19" x14ac:dyDescent="0.25">
      <c r="B98" s="184"/>
      <c r="C98" s="187"/>
      <c r="D98" s="29" t="s">
        <v>3</v>
      </c>
      <c r="E98" s="30">
        <v>2</v>
      </c>
      <c r="F98" s="30">
        <v>38</v>
      </c>
      <c r="G98" s="29" t="s">
        <v>66</v>
      </c>
      <c r="H98" s="29"/>
      <c r="I98" s="49"/>
      <c r="L98" s="184"/>
      <c r="M98" s="187"/>
      <c r="N98" s="29" t="s">
        <v>3</v>
      </c>
      <c r="O98" s="30">
        <v>2</v>
      </c>
      <c r="P98" s="30">
        <v>38</v>
      </c>
      <c r="Q98" s="29" t="s">
        <v>66</v>
      </c>
      <c r="R98" s="29"/>
      <c r="S98" s="49"/>
    </row>
    <row r="99" spans="2:19" x14ac:dyDescent="0.25">
      <c r="B99" s="184"/>
      <c r="C99" s="187"/>
      <c r="D99" s="29" t="s">
        <v>80</v>
      </c>
      <c r="E99" s="30">
        <v>3</v>
      </c>
      <c r="F99" s="30">
        <v>39</v>
      </c>
      <c r="G99" s="29" t="s">
        <v>66</v>
      </c>
      <c r="H99" s="29"/>
      <c r="I99" s="49"/>
      <c r="L99" s="184"/>
      <c r="M99" s="187"/>
      <c r="N99" s="29" t="s">
        <v>80</v>
      </c>
      <c r="O99" s="30">
        <v>3</v>
      </c>
      <c r="P99" s="30">
        <v>39</v>
      </c>
      <c r="Q99" s="29" t="s">
        <v>66</v>
      </c>
      <c r="R99" s="29"/>
      <c r="S99" s="49"/>
    </row>
    <row r="100" spans="2:19" x14ac:dyDescent="0.25">
      <c r="B100" s="184"/>
      <c r="C100" s="187"/>
      <c r="D100" s="29" t="s">
        <v>81</v>
      </c>
      <c r="E100" s="30">
        <v>4</v>
      </c>
      <c r="F100" s="30">
        <v>40</v>
      </c>
      <c r="G100" s="29" t="s">
        <v>66</v>
      </c>
      <c r="H100" s="29"/>
      <c r="I100" s="49"/>
      <c r="L100" s="184"/>
      <c r="M100" s="187"/>
      <c r="N100" s="29" t="s">
        <v>81</v>
      </c>
      <c r="O100" s="30">
        <v>4</v>
      </c>
      <c r="P100" s="30">
        <v>40</v>
      </c>
      <c r="Q100" s="29" t="s">
        <v>66</v>
      </c>
      <c r="R100" s="29"/>
      <c r="S100" s="49"/>
    </row>
    <row r="101" spans="2:19" x14ac:dyDescent="0.25">
      <c r="B101" s="184"/>
      <c r="C101" s="187"/>
      <c r="D101" s="29" t="s">
        <v>82</v>
      </c>
      <c r="E101" s="30">
        <v>5</v>
      </c>
      <c r="F101" s="30">
        <v>41</v>
      </c>
      <c r="G101" s="29" t="s">
        <v>66</v>
      </c>
      <c r="H101" s="29"/>
      <c r="I101" s="49"/>
      <c r="L101" s="184"/>
      <c r="M101" s="187"/>
      <c r="N101" s="29" t="s">
        <v>82</v>
      </c>
      <c r="O101" s="30">
        <v>5</v>
      </c>
      <c r="P101" s="30">
        <v>41</v>
      </c>
      <c r="Q101" s="29" t="s">
        <v>66</v>
      </c>
      <c r="R101" s="29"/>
      <c r="S101" s="49"/>
    </row>
    <row r="102" spans="2:19" ht="15.75" thickBot="1" x14ac:dyDescent="0.3">
      <c r="B102" s="184"/>
      <c r="C102" s="188"/>
      <c r="D102" s="29" t="s">
        <v>83</v>
      </c>
      <c r="E102" s="30">
        <v>6</v>
      </c>
      <c r="F102" s="30">
        <v>42</v>
      </c>
      <c r="G102" s="29" t="s">
        <v>66</v>
      </c>
      <c r="H102" s="29"/>
      <c r="I102" s="49"/>
      <c r="L102" s="184"/>
      <c r="M102" s="188"/>
      <c r="N102" s="29" t="s">
        <v>83</v>
      </c>
      <c r="O102" s="30">
        <v>6</v>
      </c>
      <c r="P102" s="30">
        <v>42</v>
      </c>
      <c r="Q102" s="29" t="s">
        <v>66</v>
      </c>
      <c r="R102" s="29"/>
      <c r="S102" s="49"/>
    </row>
    <row r="103" spans="2:19" x14ac:dyDescent="0.25">
      <c r="B103" s="184"/>
      <c r="C103" s="186" t="s">
        <v>84</v>
      </c>
      <c r="D103" s="29" t="s">
        <v>2</v>
      </c>
      <c r="E103" s="30">
        <v>1</v>
      </c>
      <c r="F103" s="30">
        <v>43</v>
      </c>
      <c r="G103" s="29" t="s">
        <v>66</v>
      </c>
      <c r="H103" s="29"/>
      <c r="I103" s="49"/>
      <c r="L103" s="184"/>
      <c r="M103" s="186" t="s">
        <v>84</v>
      </c>
      <c r="N103" s="29" t="s">
        <v>2</v>
      </c>
      <c r="O103" s="30">
        <v>1</v>
      </c>
      <c r="P103" s="30">
        <v>43</v>
      </c>
      <c r="Q103" s="29" t="s">
        <v>66</v>
      </c>
      <c r="R103" s="29"/>
      <c r="S103" s="49"/>
    </row>
    <row r="104" spans="2:19" x14ac:dyDescent="0.25">
      <c r="B104" s="184"/>
      <c r="C104" s="187"/>
      <c r="D104" s="29" t="s">
        <v>3</v>
      </c>
      <c r="E104" s="30">
        <v>2</v>
      </c>
      <c r="F104" s="30">
        <v>44</v>
      </c>
      <c r="G104" s="29" t="s">
        <v>66</v>
      </c>
      <c r="H104" s="29"/>
      <c r="I104" s="49"/>
      <c r="L104" s="184"/>
      <c r="M104" s="187"/>
      <c r="N104" s="29" t="s">
        <v>3</v>
      </c>
      <c r="O104" s="30">
        <v>2</v>
      </c>
      <c r="P104" s="30">
        <v>44</v>
      </c>
      <c r="Q104" s="29" t="s">
        <v>66</v>
      </c>
      <c r="R104" s="29"/>
      <c r="S104" s="49"/>
    </row>
    <row r="105" spans="2:19" x14ac:dyDescent="0.25">
      <c r="B105" s="184"/>
      <c r="C105" s="187"/>
      <c r="D105" s="29" t="s">
        <v>80</v>
      </c>
      <c r="E105" s="30">
        <v>3</v>
      </c>
      <c r="F105" s="30">
        <v>45</v>
      </c>
      <c r="G105" s="29" t="s">
        <v>66</v>
      </c>
      <c r="H105" s="29"/>
      <c r="I105" s="49"/>
      <c r="L105" s="184"/>
      <c r="M105" s="187"/>
      <c r="N105" s="29" t="s">
        <v>80</v>
      </c>
      <c r="O105" s="30">
        <v>3</v>
      </c>
      <c r="P105" s="30">
        <v>45</v>
      </c>
      <c r="Q105" s="29" t="s">
        <v>66</v>
      </c>
      <c r="R105" s="29"/>
      <c r="S105" s="49"/>
    </row>
    <row r="106" spans="2:19" x14ac:dyDescent="0.25">
      <c r="B106" s="184"/>
      <c r="C106" s="187"/>
      <c r="D106" s="29" t="s">
        <v>81</v>
      </c>
      <c r="E106" s="30">
        <v>4</v>
      </c>
      <c r="F106" s="30">
        <v>46</v>
      </c>
      <c r="G106" s="29" t="s">
        <v>66</v>
      </c>
      <c r="H106" s="29"/>
      <c r="I106" s="49"/>
      <c r="L106" s="184"/>
      <c r="M106" s="187"/>
      <c r="N106" s="29" t="s">
        <v>81</v>
      </c>
      <c r="O106" s="30">
        <v>4</v>
      </c>
      <c r="P106" s="30">
        <v>46</v>
      </c>
      <c r="Q106" s="29" t="s">
        <v>66</v>
      </c>
      <c r="R106" s="29"/>
      <c r="S106" s="49"/>
    </row>
    <row r="107" spans="2:19" x14ac:dyDescent="0.25">
      <c r="B107" s="184"/>
      <c r="C107" s="187"/>
      <c r="D107" s="29" t="s">
        <v>82</v>
      </c>
      <c r="E107" s="30">
        <v>5</v>
      </c>
      <c r="F107" s="30">
        <v>47</v>
      </c>
      <c r="G107" s="29" t="s">
        <v>66</v>
      </c>
      <c r="H107" s="29"/>
      <c r="I107" s="49"/>
      <c r="L107" s="184"/>
      <c r="M107" s="187"/>
      <c r="N107" s="29" t="s">
        <v>82</v>
      </c>
      <c r="O107" s="30">
        <v>5</v>
      </c>
      <c r="P107" s="30">
        <v>47</v>
      </c>
      <c r="Q107" s="29" t="s">
        <v>66</v>
      </c>
      <c r="R107" s="29"/>
      <c r="S107" s="49"/>
    </row>
    <row r="108" spans="2:19" ht="15.75" thickBot="1" x14ac:dyDescent="0.3">
      <c r="B108" s="185"/>
      <c r="C108" s="188"/>
      <c r="D108" s="29" t="s">
        <v>83</v>
      </c>
      <c r="E108" s="30">
        <v>6</v>
      </c>
      <c r="F108" s="30">
        <v>48</v>
      </c>
      <c r="G108" s="29" t="s">
        <v>66</v>
      </c>
      <c r="H108" s="29"/>
      <c r="I108" s="49"/>
      <c r="L108" s="185"/>
      <c r="M108" s="188"/>
      <c r="N108" s="29" t="s">
        <v>83</v>
      </c>
      <c r="O108" s="30">
        <v>6</v>
      </c>
      <c r="P108" s="30">
        <v>48</v>
      </c>
      <c r="Q108" s="29" t="s">
        <v>66</v>
      </c>
      <c r="R108" s="29"/>
      <c r="S108" s="49"/>
    </row>
    <row r="109" spans="2:19" ht="15.75" thickBot="1" x14ac:dyDescent="0.3"/>
    <row r="110" spans="2:19" ht="15.75" thickBot="1" x14ac:dyDescent="0.3">
      <c r="B110" s="171" t="s">
        <v>256</v>
      </c>
      <c r="C110" s="172"/>
      <c r="D110" s="172"/>
      <c r="E110" s="172"/>
      <c r="F110" s="172"/>
      <c r="G110" s="172"/>
      <c r="H110" s="172"/>
      <c r="I110" s="173"/>
      <c r="L110" s="171" t="s">
        <v>257</v>
      </c>
      <c r="M110" s="172"/>
      <c r="N110" s="172"/>
      <c r="O110" s="172"/>
      <c r="P110" s="172"/>
      <c r="Q110" s="172"/>
      <c r="R110" s="172"/>
      <c r="S110" s="173"/>
    </row>
    <row r="112" spans="2:19" ht="26.25" thickBot="1" x14ac:dyDescent="0.3">
      <c r="B112" s="15" t="s">
        <v>70</v>
      </c>
      <c r="C112" s="16" t="s">
        <v>71</v>
      </c>
      <c r="D112" s="15" t="s">
        <v>72</v>
      </c>
      <c r="E112" s="17" t="s">
        <v>73</v>
      </c>
      <c r="F112" s="17" t="s">
        <v>74</v>
      </c>
      <c r="G112" s="15" t="s">
        <v>75</v>
      </c>
      <c r="H112" s="15" t="s">
        <v>55</v>
      </c>
      <c r="I112" s="15" t="s">
        <v>76</v>
      </c>
      <c r="L112" s="15" t="s">
        <v>70</v>
      </c>
      <c r="M112" s="16" t="s">
        <v>71</v>
      </c>
      <c r="N112" s="15" t="s">
        <v>72</v>
      </c>
      <c r="O112" s="17" t="s">
        <v>73</v>
      </c>
      <c r="P112" s="17" t="s">
        <v>74</v>
      </c>
      <c r="Q112" s="15" t="s">
        <v>75</v>
      </c>
      <c r="R112" s="15" t="s">
        <v>55</v>
      </c>
      <c r="S112" s="15" t="s">
        <v>76</v>
      </c>
    </row>
    <row r="113" spans="2:19" x14ac:dyDescent="0.25">
      <c r="B113" s="174" t="s">
        <v>2</v>
      </c>
      <c r="C113" s="168" t="s">
        <v>77</v>
      </c>
      <c r="D113" s="18" t="s">
        <v>2</v>
      </c>
      <c r="E113" s="19">
        <v>1</v>
      </c>
      <c r="F113" s="19">
        <v>1</v>
      </c>
      <c r="G113" s="18" t="s">
        <v>78</v>
      </c>
      <c r="H113" s="156" t="s">
        <v>79</v>
      </c>
      <c r="I113" s="165" t="s">
        <v>157</v>
      </c>
      <c r="L113" s="174" t="s">
        <v>2</v>
      </c>
      <c r="M113" s="168" t="s">
        <v>77</v>
      </c>
      <c r="N113" s="18" t="s">
        <v>2</v>
      </c>
      <c r="O113" s="19">
        <v>1</v>
      </c>
      <c r="P113" s="19">
        <v>1</v>
      </c>
      <c r="Q113" s="18" t="s">
        <v>78</v>
      </c>
      <c r="R113" s="156" t="s">
        <v>79</v>
      </c>
      <c r="S113" s="165" t="s">
        <v>159</v>
      </c>
    </row>
    <row r="114" spans="2:19" x14ac:dyDescent="0.25">
      <c r="B114" s="175"/>
      <c r="C114" s="169"/>
      <c r="D114" s="18" t="s">
        <v>3</v>
      </c>
      <c r="E114" s="19">
        <v>2</v>
      </c>
      <c r="F114" s="19">
        <v>2</v>
      </c>
      <c r="G114" s="18" t="s">
        <v>78</v>
      </c>
      <c r="H114" s="157"/>
      <c r="I114" s="166"/>
      <c r="L114" s="175"/>
      <c r="M114" s="169"/>
      <c r="N114" s="18" t="s">
        <v>3</v>
      </c>
      <c r="O114" s="19">
        <v>2</v>
      </c>
      <c r="P114" s="19">
        <v>2</v>
      </c>
      <c r="Q114" s="18" t="s">
        <v>78</v>
      </c>
      <c r="R114" s="157"/>
      <c r="S114" s="166"/>
    </row>
    <row r="115" spans="2:19" x14ac:dyDescent="0.25">
      <c r="B115" s="175"/>
      <c r="C115" s="169"/>
      <c r="D115" s="18" t="s">
        <v>80</v>
      </c>
      <c r="E115" s="20">
        <v>3</v>
      </c>
      <c r="F115" s="20">
        <v>3</v>
      </c>
      <c r="G115" s="18" t="s">
        <v>66</v>
      </c>
      <c r="H115" s="157"/>
      <c r="I115" s="166"/>
      <c r="L115" s="175"/>
      <c r="M115" s="169"/>
      <c r="N115" s="18" t="s">
        <v>80</v>
      </c>
      <c r="O115" s="20">
        <v>3</v>
      </c>
      <c r="P115" s="20">
        <v>3</v>
      </c>
      <c r="Q115" s="18" t="s">
        <v>66</v>
      </c>
      <c r="R115" s="157"/>
      <c r="S115" s="166"/>
    </row>
    <row r="116" spans="2:19" x14ac:dyDescent="0.25">
      <c r="B116" s="175"/>
      <c r="C116" s="169"/>
      <c r="D116" s="18" t="s">
        <v>81</v>
      </c>
      <c r="E116" s="20">
        <v>4</v>
      </c>
      <c r="F116" s="20">
        <v>4</v>
      </c>
      <c r="G116" s="18" t="s">
        <v>66</v>
      </c>
      <c r="H116" s="157"/>
      <c r="I116" s="166"/>
      <c r="L116" s="175"/>
      <c r="M116" s="169"/>
      <c r="N116" s="18" t="s">
        <v>81</v>
      </c>
      <c r="O116" s="20">
        <v>4</v>
      </c>
      <c r="P116" s="20">
        <v>4</v>
      </c>
      <c r="Q116" s="18" t="s">
        <v>66</v>
      </c>
      <c r="R116" s="157"/>
      <c r="S116" s="166"/>
    </row>
    <row r="117" spans="2:19" x14ac:dyDescent="0.25">
      <c r="B117" s="175"/>
      <c r="C117" s="169"/>
      <c r="D117" s="18" t="s">
        <v>82</v>
      </c>
      <c r="E117" s="20">
        <v>5</v>
      </c>
      <c r="F117" s="20">
        <v>5</v>
      </c>
      <c r="G117" s="18" t="s">
        <v>66</v>
      </c>
      <c r="H117" s="157"/>
      <c r="I117" s="166"/>
      <c r="L117" s="175"/>
      <c r="M117" s="169"/>
      <c r="N117" s="18" t="s">
        <v>82</v>
      </c>
      <c r="O117" s="20">
        <v>5</v>
      </c>
      <c r="P117" s="20">
        <v>5</v>
      </c>
      <c r="Q117" s="18" t="s">
        <v>66</v>
      </c>
      <c r="R117" s="157"/>
      <c r="S117" s="166"/>
    </row>
    <row r="118" spans="2:19" ht="15.75" thickBot="1" x14ac:dyDescent="0.3">
      <c r="B118" s="175"/>
      <c r="C118" s="170"/>
      <c r="D118" s="18" t="s">
        <v>83</v>
      </c>
      <c r="E118" s="20">
        <v>6</v>
      </c>
      <c r="F118" s="20">
        <v>6</v>
      </c>
      <c r="G118" s="18" t="s">
        <v>66</v>
      </c>
      <c r="H118" s="158"/>
      <c r="I118" s="167"/>
      <c r="L118" s="175"/>
      <c r="M118" s="170"/>
      <c r="N118" s="18" t="s">
        <v>83</v>
      </c>
      <c r="O118" s="20">
        <v>6</v>
      </c>
      <c r="P118" s="20">
        <v>6</v>
      </c>
      <c r="Q118" s="18" t="s">
        <v>66</v>
      </c>
      <c r="R118" s="158"/>
      <c r="S118" s="167"/>
    </row>
    <row r="119" spans="2:19" x14ac:dyDescent="0.25">
      <c r="B119" s="175"/>
      <c r="C119" s="168" t="s">
        <v>84</v>
      </c>
      <c r="D119" s="18" t="s">
        <v>2</v>
      </c>
      <c r="E119" s="19">
        <v>1</v>
      </c>
      <c r="F119" s="19">
        <v>7</v>
      </c>
      <c r="G119" s="18" t="s">
        <v>66</v>
      </c>
      <c r="H119" s="32"/>
      <c r="I119" s="50"/>
      <c r="L119" s="175"/>
      <c r="M119" s="168" t="s">
        <v>84</v>
      </c>
      <c r="N119" s="18" t="s">
        <v>2</v>
      </c>
      <c r="O119" s="19">
        <v>1</v>
      </c>
      <c r="P119" s="19">
        <v>7</v>
      </c>
      <c r="Q119" s="18" t="s">
        <v>66</v>
      </c>
      <c r="R119" s="32"/>
      <c r="S119" s="50"/>
    </row>
    <row r="120" spans="2:19" x14ac:dyDescent="0.25">
      <c r="B120" s="175"/>
      <c r="C120" s="169"/>
      <c r="D120" s="18" t="s">
        <v>3</v>
      </c>
      <c r="E120" s="19">
        <v>2</v>
      </c>
      <c r="F120" s="19">
        <v>8</v>
      </c>
      <c r="G120" s="18" t="s">
        <v>66</v>
      </c>
      <c r="H120" s="32"/>
      <c r="I120" s="50"/>
      <c r="L120" s="175"/>
      <c r="M120" s="169"/>
      <c r="N120" s="18" t="s">
        <v>3</v>
      </c>
      <c r="O120" s="19">
        <v>2</v>
      </c>
      <c r="P120" s="19">
        <v>8</v>
      </c>
      <c r="Q120" s="18" t="s">
        <v>66</v>
      </c>
      <c r="R120" s="32"/>
      <c r="S120" s="50"/>
    </row>
    <row r="121" spans="2:19" x14ac:dyDescent="0.25">
      <c r="B121" s="175"/>
      <c r="C121" s="169"/>
      <c r="D121" s="18" t="s">
        <v>80</v>
      </c>
      <c r="E121" s="20">
        <v>3</v>
      </c>
      <c r="F121" s="20">
        <v>9</v>
      </c>
      <c r="G121" s="18" t="s">
        <v>66</v>
      </c>
      <c r="H121" s="32"/>
      <c r="I121" s="50"/>
      <c r="L121" s="175"/>
      <c r="M121" s="169"/>
      <c r="N121" s="18" t="s">
        <v>80</v>
      </c>
      <c r="O121" s="20">
        <v>3</v>
      </c>
      <c r="P121" s="20">
        <v>9</v>
      </c>
      <c r="Q121" s="18" t="s">
        <v>66</v>
      </c>
      <c r="R121" s="32"/>
      <c r="S121" s="50"/>
    </row>
    <row r="122" spans="2:19" x14ac:dyDescent="0.25">
      <c r="B122" s="175"/>
      <c r="C122" s="169"/>
      <c r="D122" s="18" t="s">
        <v>81</v>
      </c>
      <c r="E122" s="20">
        <v>4</v>
      </c>
      <c r="F122" s="20">
        <v>10</v>
      </c>
      <c r="G122" s="18" t="s">
        <v>66</v>
      </c>
      <c r="H122" s="32"/>
      <c r="I122" s="50"/>
      <c r="L122" s="175"/>
      <c r="M122" s="169"/>
      <c r="N122" s="18" t="s">
        <v>81</v>
      </c>
      <c r="O122" s="20">
        <v>4</v>
      </c>
      <c r="P122" s="20">
        <v>10</v>
      </c>
      <c r="Q122" s="18" t="s">
        <v>66</v>
      </c>
      <c r="R122" s="32"/>
      <c r="S122" s="50"/>
    </row>
    <row r="123" spans="2:19" x14ac:dyDescent="0.25">
      <c r="B123" s="175"/>
      <c r="C123" s="169"/>
      <c r="D123" s="18" t="s">
        <v>82</v>
      </c>
      <c r="E123" s="20">
        <v>5</v>
      </c>
      <c r="F123" s="20">
        <v>11</v>
      </c>
      <c r="G123" s="18" t="s">
        <v>66</v>
      </c>
      <c r="H123" s="32"/>
      <c r="I123" s="50"/>
      <c r="L123" s="175"/>
      <c r="M123" s="169"/>
      <c r="N123" s="18" t="s">
        <v>82</v>
      </c>
      <c r="O123" s="20">
        <v>5</v>
      </c>
      <c r="P123" s="20">
        <v>11</v>
      </c>
      <c r="Q123" s="18" t="s">
        <v>66</v>
      </c>
      <c r="R123" s="32"/>
      <c r="S123" s="50"/>
    </row>
    <row r="124" spans="2:19" ht="15.75" thickBot="1" x14ac:dyDescent="0.3">
      <c r="B124" s="176"/>
      <c r="C124" s="170"/>
      <c r="D124" s="18" t="s">
        <v>83</v>
      </c>
      <c r="E124" s="20">
        <v>6</v>
      </c>
      <c r="F124" s="20">
        <v>12</v>
      </c>
      <c r="G124" s="18" t="s">
        <v>66</v>
      </c>
      <c r="H124" s="32"/>
      <c r="I124" s="50"/>
      <c r="L124" s="176"/>
      <c r="M124" s="170"/>
      <c r="N124" s="18" t="s">
        <v>83</v>
      </c>
      <c r="O124" s="20">
        <v>6</v>
      </c>
      <c r="P124" s="20">
        <v>12</v>
      </c>
      <c r="Q124" s="18" t="s">
        <v>66</v>
      </c>
      <c r="R124" s="32"/>
      <c r="S124" s="50"/>
    </row>
    <row r="125" spans="2:19" x14ac:dyDescent="0.25">
      <c r="B125" s="180" t="s">
        <v>3</v>
      </c>
      <c r="C125" s="177" t="s">
        <v>77</v>
      </c>
      <c r="D125" s="21" t="s">
        <v>2</v>
      </c>
      <c r="E125" s="22">
        <v>1</v>
      </c>
      <c r="F125" s="22">
        <v>13</v>
      </c>
      <c r="G125" s="21" t="s">
        <v>66</v>
      </c>
      <c r="H125" s="21"/>
      <c r="I125" s="51"/>
      <c r="L125" s="180" t="s">
        <v>3</v>
      </c>
      <c r="M125" s="177" t="s">
        <v>77</v>
      </c>
      <c r="N125" s="21" t="s">
        <v>2</v>
      </c>
      <c r="O125" s="22">
        <v>1</v>
      </c>
      <c r="P125" s="22">
        <v>13</v>
      </c>
      <c r="Q125" s="21" t="s">
        <v>66</v>
      </c>
      <c r="R125" s="21"/>
      <c r="S125" s="51"/>
    </row>
    <row r="126" spans="2:19" x14ac:dyDescent="0.25">
      <c r="B126" s="181"/>
      <c r="C126" s="178"/>
      <c r="D126" s="23" t="s">
        <v>3</v>
      </c>
      <c r="E126" s="24">
        <v>2</v>
      </c>
      <c r="F126" s="24">
        <v>14</v>
      </c>
      <c r="G126" s="23" t="s">
        <v>66</v>
      </c>
      <c r="H126" s="23"/>
      <c r="I126" s="47"/>
      <c r="L126" s="181"/>
      <c r="M126" s="178"/>
      <c r="N126" s="23" t="s">
        <v>3</v>
      </c>
      <c r="O126" s="24">
        <v>2</v>
      </c>
      <c r="P126" s="24">
        <v>14</v>
      </c>
      <c r="Q126" s="23" t="s">
        <v>66</v>
      </c>
      <c r="R126" s="23"/>
      <c r="S126" s="47"/>
    </row>
    <row r="127" spans="2:19" x14ac:dyDescent="0.25">
      <c r="B127" s="181"/>
      <c r="C127" s="178"/>
      <c r="D127" s="23" t="s">
        <v>80</v>
      </c>
      <c r="E127" s="24">
        <v>3</v>
      </c>
      <c r="F127" s="24">
        <v>15</v>
      </c>
      <c r="G127" s="23" t="s">
        <v>66</v>
      </c>
      <c r="H127" s="23"/>
      <c r="I127" s="47"/>
      <c r="L127" s="181"/>
      <c r="M127" s="178"/>
      <c r="N127" s="23" t="s">
        <v>80</v>
      </c>
      <c r="O127" s="24">
        <v>3</v>
      </c>
      <c r="P127" s="24">
        <v>15</v>
      </c>
      <c r="Q127" s="23" t="s">
        <v>66</v>
      </c>
      <c r="R127" s="23"/>
      <c r="S127" s="47"/>
    </row>
    <row r="128" spans="2:19" x14ac:dyDescent="0.25">
      <c r="B128" s="181"/>
      <c r="C128" s="178"/>
      <c r="D128" s="23" t="s">
        <v>81</v>
      </c>
      <c r="E128" s="24">
        <v>4</v>
      </c>
      <c r="F128" s="24">
        <v>16</v>
      </c>
      <c r="G128" s="23" t="s">
        <v>66</v>
      </c>
      <c r="H128" s="23"/>
      <c r="I128" s="47"/>
      <c r="L128" s="181"/>
      <c r="M128" s="178"/>
      <c r="N128" s="23" t="s">
        <v>81</v>
      </c>
      <c r="O128" s="24">
        <v>4</v>
      </c>
      <c r="P128" s="24">
        <v>16</v>
      </c>
      <c r="Q128" s="23" t="s">
        <v>66</v>
      </c>
      <c r="R128" s="23"/>
      <c r="S128" s="47"/>
    </row>
    <row r="129" spans="2:19" x14ac:dyDescent="0.25">
      <c r="B129" s="181"/>
      <c r="C129" s="178"/>
      <c r="D129" s="23" t="s">
        <v>82</v>
      </c>
      <c r="E129" s="24">
        <v>5</v>
      </c>
      <c r="F129" s="24">
        <v>17</v>
      </c>
      <c r="G129" s="23" t="s">
        <v>66</v>
      </c>
      <c r="H129" s="23"/>
      <c r="I129" s="47"/>
      <c r="L129" s="181"/>
      <c r="M129" s="178"/>
      <c r="N129" s="23" t="s">
        <v>82</v>
      </c>
      <c r="O129" s="24">
        <v>5</v>
      </c>
      <c r="P129" s="24">
        <v>17</v>
      </c>
      <c r="Q129" s="23" t="s">
        <v>66</v>
      </c>
      <c r="R129" s="23"/>
      <c r="S129" s="47"/>
    </row>
    <row r="130" spans="2:19" ht="15.75" thickBot="1" x14ac:dyDescent="0.3">
      <c r="B130" s="181"/>
      <c r="C130" s="179"/>
      <c r="D130" s="23" t="s">
        <v>83</v>
      </c>
      <c r="E130" s="24">
        <v>6</v>
      </c>
      <c r="F130" s="24">
        <v>18</v>
      </c>
      <c r="G130" s="23" t="s">
        <v>66</v>
      </c>
      <c r="H130" s="23"/>
      <c r="I130" s="47"/>
      <c r="L130" s="181"/>
      <c r="M130" s="179"/>
      <c r="N130" s="23" t="s">
        <v>83</v>
      </c>
      <c r="O130" s="24">
        <v>6</v>
      </c>
      <c r="P130" s="24">
        <v>18</v>
      </c>
      <c r="Q130" s="23" t="s">
        <v>66</v>
      </c>
      <c r="R130" s="23"/>
      <c r="S130" s="47"/>
    </row>
    <row r="131" spans="2:19" x14ac:dyDescent="0.25">
      <c r="B131" s="181"/>
      <c r="C131" s="177" t="s">
        <v>84</v>
      </c>
      <c r="D131" s="23" t="s">
        <v>2</v>
      </c>
      <c r="E131" s="24">
        <v>1</v>
      </c>
      <c r="F131" s="24">
        <v>19</v>
      </c>
      <c r="G131" s="23" t="s">
        <v>66</v>
      </c>
      <c r="H131" s="23"/>
      <c r="I131" s="47"/>
      <c r="L131" s="181"/>
      <c r="M131" s="177" t="s">
        <v>84</v>
      </c>
      <c r="N131" s="23" t="s">
        <v>2</v>
      </c>
      <c r="O131" s="24">
        <v>1</v>
      </c>
      <c r="P131" s="24">
        <v>19</v>
      </c>
      <c r="Q131" s="23" t="s">
        <v>66</v>
      </c>
      <c r="R131" s="23"/>
      <c r="S131" s="47"/>
    </row>
    <row r="132" spans="2:19" x14ac:dyDescent="0.25">
      <c r="B132" s="181"/>
      <c r="C132" s="178"/>
      <c r="D132" s="23" t="s">
        <v>3</v>
      </c>
      <c r="E132" s="24">
        <v>2</v>
      </c>
      <c r="F132" s="24">
        <v>20</v>
      </c>
      <c r="G132" s="23" t="s">
        <v>66</v>
      </c>
      <c r="H132" s="23"/>
      <c r="I132" s="47"/>
      <c r="L132" s="181"/>
      <c r="M132" s="178"/>
      <c r="N132" s="23" t="s">
        <v>3</v>
      </c>
      <c r="O132" s="24">
        <v>2</v>
      </c>
      <c r="P132" s="24">
        <v>20</v>
      </c>
      <c r="Q132" s="23" t="s">
        <v>66</v>
      </c>
      <c r="R132" s="23"/>
      <c r="S132" s="47"/>
    </row>
    <row r="133" spans="2:19" x14ac:dyDescent="0.25">
      <c r="B133" s="181"/>
      <c r="C133" s="178"/>
      <c r="D133" s="23" t="s">
        <v>80</v>
      </c>
      <c r="E133" s="26">
        <v>3</v>
      </c>
      <c r="F133" s="24">
        <v>21</v>
      </c>
      <c r="G133" s="23" t="s">
        <v>66</v>
      </c>
      <c r="H133" s="23"/>
      <c r="I133" s="47"/>
      <c r="L133" s="181"/>
      <c r="M133" s="178"/>
      <c r="N133" s="23" t="s">
        <v>80</v>
      </c>
      <c r="O133" s="26">
        <v>3</v>
      </c>
      <c r="P133" s="24">
        <v>21</v>
      </c>
      <c r="Q133" s="23" t="s">
        <v>66</v>
      </c>
      <c r="R133" s="23"/>
      <c r="S133" s="47"/>
    </row>
    <row r="134" spans="2:19" x14ac:dyDescent="0.25">
      <c r="B134" s="181"/>
      <c r="C134" s="178"/>
      <c r="D134" s="23" t="s">
        <v>81</v>
      </c>
      <c r="E134" s="24">
        <v>4</v>
      </c>
      <c r="F134" s="24">
        <v>22</v>
      </c>
      <c r="G134" s="23" t="s">
        <v>66</v>
      </c>
      <c r="H134" s="23"/>
      <c r="I134" s="47"/>
      <c r="L134" s="181"/>
      <c r="M134" s="178"/>
      <c r="N134" s="23" t="s">
        <v>81</v>
      </c>
      <c r="O134" s="24">
        <v>4</v>
      </c>
      <c r="P134" s="24">
        <v>22</v>
      </c>
      <c r="Q134" s="23" t="s">
        <v>66</v>
      </c>
      <c r="R134" s="23"/>
      <c r="S134" s="47"/>
    </row>
    <row r="135" spans="2:19" x14ac:dyDescent="0.25">
      <c r="B135" s="181"/>
      <c r="C135" s="178"/>
      <c r="D135" s="23" t="s">
        <v>82</v>
      </c>
      <c r="E135" s="24">
        <v>5</v>
      </c>
      <c r="F135" s="24">
        <v>23</v>
      </c>
      <c r="G135" s="23" t="s">
        <v>66</v>
      </c>
      <c r="H135" s="23"/>
      <c r="I135" s="47"/>
      <c r="L135" s="181"/>
      <c r="M135" s="178"/>
      <c r="N135" s="23" t="s">
        <v>82</v>
      </c>
      <c r="O135" s="24">
        <v>5</v>
      </c>
      <c r="P135" s="24">
        <v>23</v>
      </c>
      <c r="Q135" s="23" t="s">
        <v>66</v>
      </c>
      <c r="R135" s="23"/>
      <c r="S135" s="47"/>
    </row>
    <row r="136" spans="2:19" ht="15.75" thickBot="1" x14ac:dyDescent="0.3">
      <c r="B136" s="182"/>
      <c r="C136" s="179"/>
      <c r="D136" s="23" t="s">
        <v>83</v>
      </c>
      <c r="E136" s="24">
        <v>6</v>
      </c>
      <c r="F136" s="24">
        <v>24</v>
      </c>
      <c r="G136" s="23" t="s">
        <v>66</v>
      </c>
      <c r="H136" s="23"/>
      <c r="I136" s="47"/>
      <c r="L136" s="182"/>
      <c r="M136" s="179"/>
      <c r="N136" s="23" t="s">
        <v>83</v>
      </c>
      <c r="O136" s="24">
        <v>6</v>
      </c>
      <c r="P136" s="24">
        <v>24</v>
      </c>
      <c r="Q136" s="23" t="s">
        <v>66</v>
      </c>
      <c r="R136" s="23"/>
      <c r="S136" s="47"/>
    </row>
    <row r="137" spans="2:19" x14ac:dyDescent="0.25">
      <c r="B137" s="189" t="s">
        <v>80</v>
      </c>
      <c r="C137" s="192" t="s">
        <v>77</v>
      </c>
      <c r="D137" s="27" t="s">
        <v>2</v>
      </c>
      <c r="E137" s="28">
        <v>1</v>
      </c>
      <c r="F137" s="28">
        <v>25</v>
      </c>
      <c r="G137" s="27" t="s">
        <v>66</v>
      </c>
      <c r="H137" s="27"/>
      <c r="I137" s="48"/>
      <c r="L137" s="189" t="s">
        <v>80</v>
      </c>
      <c r="M137" s="192" t="s">
        <v>77</v>
      </c>
      <c r="N137" s="27" t="s">
        <v>2</v>
      </c>
      <c r="O137" s="28">
        <v>1</v>
      </c>
      <c r="P137" s="28">
        <v>25</v>
      </c>
      <c r="Q137" s="27" t="s">
        <v>66</v>
      </c>
      <c r="R137" s="27"/>
      <c r="S137" s="48"/>
    </row>
    <row r="138" spans="2:19" x14ac:dyDescent="0.25">
      <c r="B138" s="190"/>
      <c r="C138" s="193"/>
      <c r="D138" s="27" t="s">
        <v>3</v>
      </c>
      <c r="E138" s="28">
        <v>2</v>
      </c>
      <c r="F138" s="28">
        <v>26</v>
      </c>
      <c r="G138" s="27" t="s">
        <v>66</v>
      </c>
      <c r="H138" s="27"/>
      <c r="I138" s="48"/>
      <c r="L138" s="190"/>
      <c r="M138" s="193"/>
      <c r="N138" s="27" t="s">
        <v>3</v>
      </c>
      <c r="O138" s="28">
        <v>2</v>
      </c>
      <c r="P138" s="28">
        <v>26</v>
      </c>
      <c r="Q138" s="27" t="s">
        <v>66</v>
      </c>
      <c r="R138" s="27"/>
      <c r="S138" s="48"/>
    </row>
    <row r="139" spans="2:19" x14ac:dyDescent="0.25">
      <c r="B139" s="190"/>
      <c r="C139" s="193"/>
      <c r="D139" s="27" t="s">
        <v>80</v>
      </c>
      <c r="E139" s="28">
        <v>3</v>
      </c>
      <c r="F139" s="28">
        <v>27</v>
      </c>
      <c r="G139" s="27" t="s">
        <v>66</v>
      </c>
      <c r="H139" s="27"/>
      <c r="I139" s="48"/>
      <c r="L139" s="190"/>
      <c r="M139" s="193"/>
      <c r="N139" s="27" t="s">
        <v>80</v>
      </c>
      <c r="O139" s="28">
        <v>3</v>
      </c>
      <c r="P139" s="28">
        <v>27</v>
      </c>
      <c r="Q139" s="27" t="s">
        <v>66</v>
      </c>
      <c r="R139" s="27"/>
      <c r="S139" s="48"/>
    </row>
    <row r="140" spans="2:19" x14ac:dyDescent="0.25">
      <c r="B140" s="190"/>
      <c r="C140" s="193"/>
      <c r="D140" s="27" t="s">
        <v>81</v>
      </c>
      <c r="E140" s="28">
        <v>4</v>
      </c>
      <c r="F140" s="28">
        <v>28</v>
      </c>
      <c r="G140" s="27" t="s">
        <v>66</v>
      </c>
      <c r="H140" s="27"/>
      <c r="I140" s="48"/>
      <c r="L140" s="190"/>
      <c r="M140" s="193"/>
      <c r="N140" s="27" t="s">
        <v>81</v>
      </c>
      <c r="O140" s="28">
        <v>4</v>
      </c>
      <c r="P140" s="28">
        <v>28</v>
      </c>
      <c r="Q140" s="27" t="s">
        <v>66</v>
      </c>
      <c r="R140" s="27"/>
      <c r="S140" s="48"/>
    </row>
    <row r="141" spans="2:19" x14ac:dyDescent="0.25">
      <c r="B141" s="190"/>
      <c r="C141" s="193"/>
      <c r="D141" s="27" t="s">
        <v>82</v>
      </c>
      <c r="E141" s="28">
        <v>5</v>
      </c>
      <c r="F141" s="28">
        <v>29</v>
      </c>
      <c r="G141" s="27" t="s">
        <v>66</v>
      </c>
      <c r="H141" s="27"/>
      <c r="I141" s="48"/>
      <c r="L141" s="190"/>
      <c r="M141" s="193"/>
      <c r="N141" s="27" t="s">
        <v>82</v>
      </c>
      <c r="O141" s="28">
        <v>5</v>
      </c>
      <c r="P141" s="28">
        <v>29</v>
      </c>
      <c r="Q141" s="27" t="s">
        <v>66</v>
      </c>
      <c r="R141" s="27"/>
      <c r="S141" s="48"/>
    </row>
    <row r="142" spans="2:19" ht="15.75" thickBot="1" x14ac:dyDescent="0.3">
      <c r="B142" s="190"/>
      <c r="C142" s="194"/>
      <c r="D142" s="27" t="s">
        <v>83</v>
      </c>
      <c r="E142" s="28">
        <v>6</v>
      </c>
      <c r="F142" s="28">
        <v>30</v>
      </c>
      <c r="G142" s="27" t="s">
        <v>66</v>
      </c>
      <c r="H142" s="27"/>
      <c r="I142" s="48"/>
      <c r="L142" s="190"/>
      <c r="M142" s="194"/>
      <c r="N142" s="27" t="s">
        <v>83</v>
      </c>
      <c r="O142" s="28">
        <v>6</v>
      </c>
      <c r="P142" s="28">
        <v>30</v>
      </c>
      <c r="Q142" s="27" t="s">
        <v>66</v>
      </c>
      <c r="R142" s="27"/>
      <c r="S142" s="48"/>
    </row>
    <row r="143" spans="2:19" x14ac:dyDescent="0.25">
      <c r="B143" s="190"/>
      <c r="C143" s="192" t="s">
        <v>84</v>
      </c>
      <c r="D143" s="27" t="s">
        <v>2</v>
      </c>
      <c r="E143" s="28">
        <v>1</v>
      </c>
      <c r="F143" s="28">
        <v>31</v>
      </c>
      <c r="G143" s="27" t="s">
        <v>66</v>
      </c>
      <c r="H143" s="27"/>
      <c r="I143" s="48"/>
      <c r="L143" s="190"/>
      <c r="M143" s="192" t="s">
        <v>84</v>
      </c>
      <c r="N143" s="27" t="s">
        <v>2</v>
      </c>
      <c r="O143" s="28">
        <v>1</v>
      </c>
      <c r="P143" s="28">
        <v>31</v>
      </c>
      <c r="Q143" s="27" t="s">
        <v>66</v>
      </c>
      <c r="R143" s="27"/>
      <c r="S143" s="48"/>
    </row>
    <row r="144" spans="2:19" x14ac:dyDescent="0.25">
      <c r="B144" s="190"/>
      <c r="C144" s="193"/>
      <c r="D144" s="27" t="s">
        <v>3</v>
      </c>
      <c r="E144" s="28">
        <v>2</v>
      </c>
      <c r="F144" s="28">
        <v>32</v>
      </c>
      <c r="G144" s="27" t="s">
        <v>66</v>
      </c>
      <c r="H144" s="27"/>
      <c r="I144" s="48"/>
      <c r="L144" s="190"/>
      <c r="M144" s="193"/>
      <c r="N144" s="27" t="s">
        <v>3</v>
      </c>
      <c r="O144" s="28">
        <v>2</v>
      </c>
      <c r="P144" s="28">
        <v>32</v>
      </c>
      <c r="Q144" s="27" t="s">
        <v>66</v>
      </c>
      <c r="R144" s="27"/>
      <c r="S144" s="48"/>
    </row>
    <row r="145" spans="2:19" x14ac:dyDescent="0.25">
      <c r="B145" s="190"/>
      <c r="C145" s="193"/>
      <c r="D145" s="27" t="s">
        <v>80</v>
      </c>
      <c r="E145" s="28">
        <v>3</v>
      </c>
      <c r="F145" s="28">
        <v>33</v>
      </c>
      <c r="G145" s="27" t="s">
        <v>66</v>
      </c>
      <c r="H145" s="27"/>
      <c r="I145" s="48"/>
      <c r="L145" s="190"/>
      <c r="M145" s="193"/>
      <c r="N145" s="27" t="s">
        <v>80</v>
      </c>
      <c r="O145" s="28">
        <v>3</v>
      </c>
      <c r="P145" s="28">
        <v>33</v>
      </c>
      <c r="Q145" s="27" t="s">
        <v>66</v>
      </c>
      <c r="R145" s="27"/>
      <c r="S145" s="48"/>
    </row>
    <row r="146" spans="2:19" x14ac:dyDescent="0.25">
      <c r="B146" s="190"/>
      <c r="C146" s="193"/>
      <c r="D146" s="27" t="s">
        <v>81</v>
      </c>
      <c r="E146" s="28">
        <v>4</v>
      </c>
      <c r="F146" s="28">
        <v>34</v>
      </c>
      <c r="G146" s="27" t="s">
        <v>66</v>
      </c>
      <c r="H146" s="27"/>
      <c r="I146" s="48"/>
      <c r="L146" s="190"/>
      <c r="M146" s="193"/>
      <c r="N146" s="27" t="s">
        <v>81</v>
      </c>
      <c r="O146" s="28">
        <v>4</v>
      </c>
      <c r="P146" s="28">
        <v>34</v>
      </c>
      <c r="Q146" s="27" t="s">
        <v>66</v>
      </c>
      <c r="R146" s="27"/>
      <c r="S146" s="48"/>
    </row>
    <row r="147" spans="2:19" x14ac:dyDescent="0.25">
      <c r="B147" s="190"/>
      <c r="C147" s="193"/>
      <c r="D147" s="27" t="s">
        <v>82</v>
      </c>
      <c r="E147" s="28">
        <v>5</v>
      </c>
      <c r="F147" s="28">
        <v>35</v>
      </c>
      <c r="G147" s="27" t="s">
        <v>66</v>
      </c>
      <c r="H147" s="27"/>
      <c r="I147" s="48"/>
      <c r="L147" s="190"/>
      <c r="M147" s="193"/>
      <c r="N147" s="27" t="s">
        <v>82</v>
      </c>
      <c r="O147" s="28">
        <v>5</v>
      </c>
      <c r="P147" s="28">
        <v>35</v>
      </c>
      <c r="Q147" s="27" t="s">
        <v>66</v>
      </c>
      <c r="R147" s="27"/>
      <c r="S147" s="48"/>
    </row>
    <row r="148" spans="2:19" ht="15.75" thickBot="1" x14ac:dyDescent="0.3">
      <c r="B148" s="191"/>
      <c r="C148" s="194"/>
      <c r="D148" s="27" t="s">
        <v>83</v>
      </c>
      <c r="E148" s="28">
        <v>6</v>
      </c>
      <c r="F148" s="28">
        <v>36</v>
      </c>
      <c r="G148" s="27" t="s">
        <v>66</v>
      </c>
      <c r="H148" s="27"/>
      <c r="I148" s="48"/>
      <c r="L148" s="191"/>
      <c r="M148" s="194"/>
      <c r="N148" s="27" t="s">
        <v>83</v>
      </c>
      <c r="O148" s="28">
        <v>6</v>
      </c>
      <c r="P148" s="28">
        <v>36</v>
      </c>
      <c r="Q148" s="27" t="s">
        <v>66</v>
      </c>
      <c r="R148" s="27"/>
      <c r="S148" s="48"/>
    </row>
    <row r="149" spans="2:19" x14ac:dyDescent="0.25">
      <c r="B149" s="183" t="s">
        <v>81</v>
      </c>
      <c r="C149" s="186" t="s">
        <v>77</v>
      </c>
      <c r="D149" s="29" t="s">
        <v>2</v>
      </c>
      <c r="E149" s="30">
        <v>1</v>
      </c>
      <c r="F149" s="30">
        <v>37</v>
      </c>
      <c r="G149" s="29" t="s">
        <v>66</v>
      </c>
      <c r="H149" s="29"/>
      <c r="I149" s="49"/>
      <c r="L149" s="183" t="s">
        <v>81</v>
      </c>
      <c r="M149" s="186" t="s">
        <v>77</v>
      </c>
      <c r="N149" s="29" t="s">
        <v>2</v>
      </c>
      <c r="O149" s="30">
        <v>1</v>
      </c>
      <c r="P149" s="30">
        <v>37</v>
      </c>
      <c r="Q149" s="29" t="s">
        <v>66</v>
      </c>
      <c r="R149" s="29"/>
      <c r="S149" s="49"/>
    </row>
    <row r="150" spans="2:19" x14ac:dyDescent="0.25">
      <c r="B150" s="184"/>
      <c r="C150" s="187"/>
      <c r="D150" s="29" t="s">
        <v>3</v>
      </c>
      <c r="E150" s="30">
        <v>2</v>
      </c>
      <c r="F150" s="30">
        <v>38</v>
      </c>
      <c r="G150" s="29" t="s">
        <v>66</v>
      </c>
      <c r="H150" s="29"/>
      <c r="I150" s="49"/>
      <c r="L150" s="184"/>
      <c r="M150" s="187"/>
      <c r="N150" s="29" t="s">
        <v>3</v>
      </c>
      <c r="O150" s="30">
        <v>2</v>
      </c>
      <c r="P150" s="30">
        <v>38</v>
      </c>
      <c r="Q150" s="29" t="s">
        <v>66</v>
      </c>
      <c r="R150" s="29"/>
      <c r="S150" s="49"/>
    </row>
    <row r="151" spans="2:19" x14ac:dyDescent="0.25">
      <c r="B151" s="184"/>
      <c r="C151" s="187"/>
      <c r="D151" s="29" t="s">
        <v>80</v>
      </c>
      <c r="E151" s="30">
        <v>3</v>
      </c>
      <c r="F151" s="30">
        <v>39</v>
      </c>
      <c r="G151" s="29" t="s">
        <v>66</v>
      </c>
      <c r="H151" s="29"/>
      <c r="I151" s="49"/>
      <c r="L151" s="184"/>
      <c r="M151" s="187"/>
      <c r="N151" s="29" t="s">
        <v>80</v>
      </c>
      <c r="O151" s="30">
        <v>3</v>
      </c>
      <c r="P151" s="30">
        <v>39</v>
      </c>
      <c r="Q151" s="29" t="s">
        <v>66</v>
      </c>
      <c r="R151" s="29"/>
      <c r="S151" s="49"/>
    </row>
    <row r="152" spans="2:19" x14ac:dyDescent="0.25">
      <c r="B152" s="184"/>
      <c r="C152" s="187"/>
      <c r="D152" s="29" t="s">
        <v>81</v>
      </c>
      <c r="E152" s="30">
        <v>4</v>
      </c>
      <c r="F152" s="30">
        <v>40</v>
      </c>
      <c r="G152" s="29" t="s">
        <v>66</v>
      </c>
      <c r="H152" s="29"/>
      <c r="I152" s="49"/>
      <c r="L152" s="184"/>
      <c r="M152" s="187"/>
      <c r="N152" s="29" t="s">
        <v>81</v>
      </c>
      <c r="O152" s="30">
        <v>4</v>
      </c>
      <c r="P152" s="30">
        <v>40</v>
      </c>
      <c r="Q152" s="29" t="s">
        <v>66</v>
      </c>
      <c r="R152" s="29"/>
      <c r="S152" s="49"/>
    </row>
    <row r="153" spans="2:19" x14ac:dyDescent="0.25">
      <c r="B153" s="184"/>
      <c r="C153" s="187"/>
      <c r="D153" s="29" t="s">
        <v>82</v>
      </c>
      <c r="E153" s="30">
        <v>5</v>
      </c>
      <c r="F153" s="30">
        <v>41</v>
      </c>
      <c r="G153" s="29" t="s">
        <v>66</v>
      </c>
      <c r="H153" s="29"/>
      <c r="I153" s="49"/>
      <c r="L153" s="184"/>
      <c r="M153" s="187"/>
      <c r="N153" s="29" t="s">
        <v>82</v>
      </c>
      <c r="O153" s="30">
        <v>5</v>
      </c>
      <c r="P153" s="30">
        <v>41</v>
      </c>
      <c r="Q153" s="29" t="s">
        <v>66</v>
      </c>
      <c r="R153" s="29"/>
      <c r="S153" s="49"/>
    </row>
    <row r="154" spans="2:19" ht="15.75" thickBot="1" x14ac:dyDescent="0.3">
      <c r="B154" s="184"/>
      <c r="C154" s="188"/>
      <c r="D154" s="29" t="s">
        <v>83</v>
      </c>
      <c r="E154" s="30">
        <v>6</v>
      </c>
      <c r="F154" s="30">
        <v>42</v>
      </c>
      <c r="G154" s="29" t="s">
        <v>66</v>
      </c>
      <c r="H154" s="29"/>
      <c r="I154" s="49"/>
      <c r="L154" s="184"/>
      <c r="M154" s="188"/>
      <c r="N154" s="29" t="s">
        <v>83</v>
      </c>
      <c r="O154" s="30">
        <v>6</v>
      </c>
      <c r="P154" s="30">
        <v>42</v>
      </c>
      <c r="Q154" s="29" t="s">
        <v>66</v>
      </c>
      <c r="R154" s="29"/>
      <c r="S154" s="49"/>
    </row>
    <row r="155" spans="2:19" x14ac:dyDescent="0.25">
      <c r="B155" s="184"/>
      <c r="C155" s="186" t="s">
        <v>84</v>
      </c>
      <c r="D155" s="29" t="s">
        <v>2</v>
      </c>
      <c r="E155" s="30">
        <v>1</v>
      </c>
      <c r="F155" s="30">
        <v>43</v>
      </c>
      <c r="G155" s="29" t="s">
        <v>66</v>
      </c>
      <c r="H155" s="29"/>
      <c r="I155" s="49"/>
      <c r="L155" s="184"/>
      <c r="M155" s="186" t="s">
        <v>84</v>
      </c>
      <c r="N155" s="29" t="s">
        <v>2</v>
      </c>
      <c r="O155" s="30">
        <v>1</v>
      </c>
      <c r="P155" s="30">
        <v>43</v>
      </c>
      <c r="Q155" s="29" t="s">
        <v>66</v>
      </c>
      <c r="R155" s="29"/>
      <c r="S155" s="49"/>
    </row>
    <row r="156" spans="2:19" x14ac:dyDescent="0.25">
      <c r="B156" s="184"/>
      <c r="C156" s="187"/>
      <c r="D156" s="29" t="s">
        <v>3</v>
      </c>
      <c r="E156" s="30">
        <v>2</v>
      </c>
      <c r="F156" s="30">
        <v>44</v>
      </c>
      <c r="G156" s="29" t="s">
        <v>66</v>
      </c>
      <c r="H156" s="29"/>
      <c r="I156" s="49"/>
      <c r="L156" s="184"/>
      <c r="M156" s="187"/>
      <c r="N156" s="29" t="s">
        <v>3</v>
      </c>
      <c r="O156" s="30">
        <v>2</v>
      </c>
      <c r="P156" s="30">
        <v>44</v>
      </c>
      <c r="Q156" s="29" t="s">
        <v>66</v>
      </c>
      <c r="R156" s="29"/>
      <c r="S156" s="49"/>
    </row>
    <row r="157" spans="2:19" x14ac:dyDescent="0.25">
      <c r="B157" s="184"/>
      <c r="C157" s="187"/>
      <c r="D157" s="29" t="s">
        <v>80</v>
      </c>
      <c r="E157" s="30">
        <v>3</v>
      </c>
      <c r="F157" s="30">
        <v>45</v>
      </c>
      <c r="G157" s="29" t="s">
        <v>66</v>
      </c>
      <c r="H157" s="29"/>
      <c r="I157" s="49"/>
      <c r="L157" s="184"/>
      <c r="M157" s="187"/>
      <c r="N157" s="29" t="s">
        <v>80</v>
      </c>
      <c r="O157" s="30">
        <v>3</v>
      </c>
      <c r="P157" s="30">
        <v>45</v>
      </c>
      <c r="Q157" s="29" t="s">
        <v>66</v>
      </c>
      <c r="R157" s="29"/>
      <c r="S157" s="49"/>
    </row>
    <row r="158" spans="2:19" x14ac:dyDescent="0.25">
      <c r="B158" s="184"/>
      <c r="C158" s="187"/>
      <c r="D158" s="29" t="s">
        <v>81</v>
      </c>
      <c r="E158" s="30">
        <v>4</v>
      </c>
      <c r="F158" s="30">
        <v>46</v>
      </c>
      <c r="G158" s="29" t="s">
        <v>66</v>
      </c>
      <c r="H158" s="29"/>
      <c r="I158" s="49"/>
      <c r="L158" s="184"/>
      <c r="M158" s="187"/>
      <c r="N158" s="29" t="s">
        <v>81</v>
      </c>
      <c r="O158" s="30">
        <v>4</v>
      </c>
      <c r="P158" s="30">
        <v>46</v>
      </c>
      <c r="Q158" s="29" t="s">
        <v>66</v>
      </c>
      <c r="R158" s="29"/>
      <c r="S158" s="49"/>
    </row>
    <row r="159" spans="2:19" x14ac:dyDescent="0.25">
      <c r="B159" s="184"/>
      <c r="C159" s="187"/>
      <c r="D159" s="29" t="s">
        <v>82</v>
      </c>
      <c r="E159" s="30">
        <v>5</v>
      </c>
      <c r="F159" s="30">
        <v>47</v>
      </c>
      <c r="G159" s="29" t="s">
        <v>66</v>
      </c>
      <c r="H159" s="29"/>
      <c r="I159" s="49"/>
      <c r="L159" s="184"/>
      <c r="M159" s="187"/>
      <c r="N159" s="29" t="s">
        <v>82</v>
      </c>
      <c r="O159" s="30">
        <v>5</v>
      </c>
      <c r="P159" s="30">
        <v>47</v>
      </c>
      <c r="Q159" s="29" t="s">
        <v>66</v>
      </c>
      <c r="R159" s="29"/>
      <c r="S159" s="49"/>
    </row>
    <row r="160" spans="2:19" ht="15.75" thickBot="1" x14ac:dyDescent="0.3">
      <c r="B160" s="185"/>
      <c r="C160" s="188"/>
      <c r="D160" s="29" t="s">
        <v>83</v>
      </c>
      <c r="E160" s="30">
        <v>6</v>
      </c>
      <c r="F160" s="30">
        <v>48</v>
      </c>
      <c r="G160" s="29" t="s">
        <v>66</v>
      </c>
      <c r="H160" s="29"/>
      <c r="I160" s="49"/>
      <c r="L160" s="185"/>
      <c r="M160" s="188"/>
      <c r="N160" s="29" t="s">
        <v>83</v>
      </c>
      <c r="O160" s="30">
        <v>6</v>
      </c>
      <c r="P160" s="30">
        <v>48</v>
      </c>
      <c r="Q160" s="29" t="s">
        <v>66</v>
      </c>
      <c r="R160" s="29"/>
      <c r="S160" s="49"/>
    </row>
    <row r="161" spans="2:19" ht="15.75" thickBot="1" x14ac:dyDescent="0.3"/>
    <row r="162" spans="2:19" ht="15.75" thickBot="1" x14ac:dyDescent="0.3">
      <c r="B162" s="171" t="s">
        <v>258</v>
      </c>
      <c r="C162" s="172"/>
      <c r="D162" s="172"/>
      <c r="E162" s="172"/>
      <c r="F162" s="172"/>
      <c r="G162" s="172"/>
      <c r="H162" s="172"/>
      <c r="I162" s="173"/>
      <c r="L162" s="171" t="s">
        <v>259</v>
      </c>
      <c r="M162" s="172"/>
      <c r="N162" s="172"/>
      <c r="O162" s="172"/>
      <c r="P162" s="172"/>
      <c r="Q162" s="172"/>
      <c r="R162" s="172"/>
      <c r="S162" s="173"/>
    </row>
    <row r="163" spans="2:19" ht="8.25" customHeight="1" x14ac:dyDescent="0.25"/>
    <row r="164" spans="2:19" ht="26.25" thickBot="1" x14ac:dyDescent="0.3">
      <c r="B164" s="15" t="s">
        <v>70</v>
      </c>
      <c r="C164" s="16" t="s">
        <v>71</v>
      </c>
      <c r="D164" s="15" t="s">
        <v>72</v>
      </c>
      <c r="E164" s="17" t="s">
        <v>73</v>
      </c>
      <c r="F164" s="17" t="s">
        <v>74</v>
      </c>
      <c r="G164" s="15" t="s">
        <v>75</v>
      </c>
      <c r="H164" s="15" t="s">
        <v>55</v>
      </c>
      <c r="I164" s="15" t="s">
        <v>76</v>
      </c>
      <c r="L164" s="15" t="s">
        <v>70</v>
      </c>
      <c r="M164" s="16" t="s">
        <v>71</v>
      </c>
      <c r="N164" s="15" t="s">
        <v>72</v>
      </c>
      <c r="O164" s="17" t="s">
        <v>73</v>
      </c>
      <c r="P164" s="17" t="s">
        <v>74</v>
      </c>
      <c r="Q164" s="15" t="s">
        <v>75</v>
      </c>
      <c r="R164" s="15" t="s">
        <v>55</v>
      </c>
      <c r="S164" s="15" t="s">
        <v>76</v>
      </c>
    </row>
    <row r="165" spans="2:19" x14ac:dyDescent="0.25">
      <c r="B165" s="174" t="s">
        <v>2</v>
      </c>
      <c r="C165" s="168" t="s">
        <v>77</v>
      </c>
      <c r="D165" s="18" t="s">
        <v>2</v>
      </c>
      <c r="E165" s="19">
        <v>1</v>
      </c>
      <c r="F165" s="19">
        <v>1</v>
      </c>
      <c r="G165" s="18" t="s">
        <v>78</v>
      </c>
      <c r="H165" s="156" t="s">
        <v>79</v>
      </c>
      <c r="I165" s="165" t="s">
        <v>158</v>
      </c>
      <c r="L165" s="174" t="s">
        <v>2</v>
      </c>
      <c r="M165" s="168" t="s">
        <v>77</v>
      </c>
      <c r="N165" s="18" t="s">
        <v>2</v>
      </c>
      <c r="O165" s="19">
        <v>1</v>
      </c>
      <c r="P165" s="19">
        <v>1</v>
      </c>
      <c r="Q165" s="18" t="s">
        <v>78</v>
      </c>
      <c r="R165" s="156" t="s">
        <v>79</v>
      </c>
      <c r="S165" s="165" t="s">
        <v>160</v>
      </c>
    </row>
    <row r="166" spans="2:19" x14ac:dyDescent="0.25">
      <c r="B166" s="175"/>
      <c r="C166" s="169"/>
      <c r="D166" s="18" t="s">
        <v>3</v>
      </c>
      <c r="E166" s="19">
        <v>2</v>
      </c>
      <c r="F166" s="19">
        <v>2</v>
      </c>
      <c r="G166" s="18" t="s">
        <v>78</v>
      </c>
      <c r="H166" s="157"/>
      <c r="I166" s="166"/>
      <c r="L166" s="175"/>
      <c r="M166" s="169"/>
      <c r="N166" s="18" t="s">
        <v>3</v>
      </c>
      <c r="O166" s="19">
        <v>2</v>
      </c>
      <c r="P166" s="19">
        <v>2</v>
      </c>
      <c r="Q166" s="18" t="s">
        <v>78</v>
      </c>
      <c r="R166" s="157"/>
      <c r="S166" s="166"/>
    </row>
    <row r="167" spans="2:19" x14ac:dyDescent="0.25">
      <c r="B167" s="175"/>
      <c r="C167" s="169"/>
      <c r="D167" s="18" t="s">
        <v>80</v>
      </c>
      <c r="E167" s="20">
        <v>3</v>
      </c>
      <c r="F167" s="20">
        <v>3</v>
      </c>
      <c r="G167" s="18" t="s">
        <v>66</v>
      </c>
      <c r="H167" s="157"/>
      <c r="I167" s="166"/>
      <c r="L167" s="175"/>
      <c r="M167" s="169"/>
      <c r="N167" s="18" t="s">
        <v>80</v>
      </c>
      <c r="O167" s="20">
        <v>3</v>
      </c>
      <c r="P167" s="20">
        <v>3</v>
      </c>
      <c r="Q167" s="18" t="s">
        <v>66</v>
      </c>
      <c r="R167" s="157"/>
      <c r="S167" s="166"/>
    </row>
    <row r="168" spans="2:19" x14ac:dyDescent="0.25">
      <c r="B168" s="175"/>
      <c r="C168" s="169"/>
      <c r="D168" s="18" t="s">
        <v>81</v>
      </c>
      <c r="E168" s="20">
        <v>4</v>
      </c>
      <c r="F168" s="20">
        <v>4</v>
      </c>
      <c r="G168" s="18" t="s">
        <v>66</v>
      </c>
      <c r="H168" s="157"/>
      <c r="I168" s="166"/>
      <c r="L168" s="175"/>
      <c r="M168" s="169"/>
      <c r="N168" s="18" t="s">
        <v>81</v>
      </c>
      <c r="O168" s="20">
        <v>4</v>
      </c>
      <c r="P168" s="20">
        <v>4</v>
      </c>
      <c r="Q168" s="18" t="s">
        <v>66</v>
      </c>
      <c r="R168" s="157"/>
      <c r="S168" s="166"/>
    </row>
    <row r="169" spans="2:19" x14ac:dyDescent="0.25">
      <c r="B169" s="175"/>
      <c r="C169" s="169"/>
      <c r="D169" s="18" t="s">
        <v>82</v>
      </c>
      <c r="E169" s="20">
        <v>5</v>
      </c>
      <c r="F169" s="20">
        <v>5</v>
      </c>
      <c r="G169" s="18" t="s">
        <v>66</v>
      </c>
      <c r="H169" s="157"/>
      <c r="I169" s="166"/>
      <c r="L169" s="175"/>
      <c r="M169" s="169"/>
      <c r="N169" s="18" t="s">
        <v>82</v>
      </c>
      <c r="O169" s="20">
        <v>5</v>
      </c>
      <c r="P169" s="20">
        <v>5</v>
      </c>
      <c r="Q169" s="18" t="s">
        <v>66</v>
      </c>
      <c r="R169" s="157"/>
      <c r="S169" s="166"/>
    </row>
    <row r="170" spans="2:19" ht="15.75" thickBot="1" x14ac:dyDescent="0.3">
      <c r="B170" s="175"/>
      <c r="C170" s="170"/>
      <c r="D170" s="18" t="s">
        <v>83</v>
      </c>
      <c r="E170" s="20">
        <v>6</v>
      </c>
      <c r="F170" s="20">
        <v>6</v>
      </c>
      <c r="G170" s="18" t="s">
        <v>66</v>
      </c>
      <c r="H170" s="158"/>
      <c r="I170" s="167"/>
      <c r="L170" s="175"/>
      <c r="M170" s="170"/>
      <c r="N170" s="18" t="s">
        <v>83</v>
      </c>
      <c r="O170" s="20">
        <v>6</v>
      </c>
      <c r="P170" s="20">
        <v>6</v>
      </c>
      <c r="Q170" s="18" t="s">
        <v>66</v>
      </c>
      <c r="R170" s="158"/>
      <c r="S170" s="167"/>
    </row>
    <row r="171" spans="2:19" x14ac:dyDescent="0.25">
      <c r="B171" s="175"/>
      <c r="C171" s="168" t="s">
        <v>84</v>
      </c>
      <c r="D171" s="18" t="s">
        <v>2</v>
      </c>
      <c r="E171" s="19">
        <v>1</v>
      </c>
      <c r="F171" s="19">
        <v>7</v>
      </c>
      <c r="G171" s="18" t="s">
        <v>66</v>
      </c>
      <c r="H171" s="32"/>
      <c r="I171" s="50"/>
      <c r="L171" s="175"/>
      <c r="M171" s="168" t="s">
        <v>84</v>
      </c>
      <c r="N171" s="18" t="s">
        <v>2</v>
      </c>
      <c r="O171" s="19">
        <v>1</v>
      </c>
      <c r="P171" s="19">
        <v>7</v>
      </c>
      <c r="Q171" s="18" t="s">
        <v>66</v>
      </c>
      <c r="R171" s="32"/>
      <c r="S171" s="50"/>
    </row>
    <row r="172" spans="2:19" x14ac:dyDescent="0.25">
      <c r="B172" s="175"/>
      <c r="C172" s="169"/>
      <c r="D172" s="18" t="s">
        <v>3</v>
      </c>
      <c r="E172" s="19">
        <v>2</v>
      </c>
      <c r="F172" s="19">
        <v>8</v>
      </c>
      <c r="G172" s="18" t="s">
        <v>66</v>
      </c>
      <c r="H172" s="32"/>
      <c r="I172" s="50"/>
      <c r="L172" s="175"/>
      <c r="M172" s="169"/>
      <c r="N172" s="18" t="s">
        <v>3</v>
      </c>
      <c r="O172" s="19">
        <v>2</v>
      </c>
      <c r="P172" s="19">
        <v>8</v>
      </c>
      <c r="Q172" s="18" t="s">
        <v>66</v>
      </c>
      <c r="R172" s="32"/>
      <c r="S172" s="50"/>
    </row>
    <row r="173" spans="2:19" x14ac:dyDescent="0.25">
      <c r="B173" s="175"/>
      <c r="C173" s="169"/>
      <c r="D173" s="18" t="s">
        <v>80</v>
      </c>
      <c r="E173" s="20">
        <v>3</v>
      </c>
      <c r="F173" s="20">
        <v>9</v>
      </c>
      <c r="G173" s="18" t="s">
        <v>66</v>
      </c>
      <c r="H173" s="32"/>
      <c r="I173" s="50"/>
      <c r="L173" s="175"/>
      <c r="M173" s="169"/>
      <c r="N173" s="18" t="s">
        <v>80</v>
      </c>
      <c r="O173" s="20">
        <v>3</v>
      </c>
      <c r="P173" s="20">
        <v>9</v>
      </c>
      <c r="Q173" s="18" t="s">
        <v>66</v>
      </c>
      <c r="R173" s="32"/>
      <c r="S173" s="50"/>
    </row>
    <row r="174" spans="2:19" x14ac:dyDescent="0.25">
      <c r="B174" s="175"/>
      <c r="C174" s="169"/>
      <c r="D174" s="18" t="s">
        <v>81</v>
      </c>
      <c r="E174" s="20">
        <v>4</v>
      </c>
      <c r="F174" s="20">
        <v>10</v>
      </c>
      <c r="G174" s="18" t="s">
        <v>66</v>
      </c>
      <c r="H174" s="32"/>
      <c r="I174" s="50"/>
      <c r="L174" s="175"/>
      <c r="M174" s="169"/>
      <c r="N174" s="18" t="s">
        <v>81</v>
      </c>
      <c r="O174" s="20">
        <v>4</v>
      </c>
      <c r="P174" s="20">
        <v>10</v>
      </c>
      <c r="Q174" s="18" t="s">
        <v>66</v>
      </c>
      <c r="R174" s="32"/>
      <c r="S174" s="50"/>
    </row>
    <row r="175" spans="2:19" x14ac:dyDescent="0.25">
      <c r="B175" s="175"/>
      <c r="C175" s="169"/>
      <c r="D175" s="18" t="s">
        <v>82</v>
      </c>
      <c r="E175" s="20">
        <v>5</v>
      </c>
      <c r="F175" s="20">
        <v>11</v>
      </c>
      <c r="G175" s="18" t="s">
        <v>66</v>
      </c>
      <c r="H175" s="32"/>
      <c r="I175" s="50"/>
      <c r="L175" s="175"/>
      <c r="M175" s="169"/>
      <c r="N175" s="18" t="s">
        <v>82</v>
      </c>
      <c r="O175" s="20">
        <v>5</v>
      </c>
      <c r="P175" s="20">
        <v>11</v>
      </c>
      <c r="Q175" s="18" t="s">
        <v>66</v>
      </c>
      <c r="R175" s="32"/>
      <c r="S175" s="50"/>
    </row>
    <row r="176" spans="2:19" ht="15.75" thickBot="1" x14ac:dyDescent="0.3">
      <c r="B176" s="176"/>
      <c r="C176" s="170"/>
      <c r="D176" s="18" t="s">
        <v>83</v>
      </c>
      <c r="E176" s="20">
        <v>6</v>
      </c>
      <c r="F176" s="20">
        <v>12</v>
      </c>
      <c r="G176" s="18" t="s">
        <v>66</v>
      </c>
      <c r="H176" s="32"/>
      <c r="I176" s="50"/>
      <c r="L176" s="176"/>
      <c r="M176" s="170"/>
      <c r="N176" s="18" t="s">
        <v>83</v>
      </c>
      <c r="O176" s="20">
        <v>6</v>
      </c>
      <c r="P176" s="20">
        <v>12</v>
      </c>
      <c r="Q176" s="18" t="s">
        <v>66</v>
      </c>
      <c r="R176" s="32"/>
      <c r="S176" s="50"/>
    </row>
    <row r="177" spans="2:19" x14ac:dyDescent="0.25">
      <c r="B177" s="180" t="s">
        <v>3</v>
      </c>
      <c r="C177" s="177" t="s">
        <v>77</v>
      </c>
      <c r="D177" s="21" t="s">
        <v>2</v>
      </c>
      <c r="E177" s="22">
        <v>1</v>
      </c>
      <c r="F177" s="22">
        <v>13</v>
      </c>
      <c r="G177" s="21" t="s">
        <v>66</v>
      </c>
      <c r="H177" s="21"/>
      <c r="I177" s="51"/>
      <c r="L177" s="180" t="s">
        <v>3</v>
      </c>
      <c r="M177" s="177" t="s">
        <v>77</v>
      </c>
      <c r="N177" s="21" t="s">
        <v>2</v>
      </c>
      <c r="O177" s="22">
        <v>1</v>
      </c>
      <c r="P177" s="22">
        <v>13</v>
      </c>
      <c r="Q177" s="21" t="s">
        <v>66</v>
      </c>
      <c r="R177" s="21"/>
      <c r="S177" s="51"/>
    </row>
    <row r="178" spans="2:19" x14ac:dyDescent="0.25">
      <c r="B178" s="181"/>
      <c r="C178" s="178"/>
      <c r="D178" s="23" t="s">
        <v>3</v>
      </c>
      <c r="E178" s="24">
        <v>2</v>
      </c>
      <c r="F178" s="24">
        <v>14</v>
      </c>
      <c r="G178" s="23" t="s">
        <v>66</v>
      </c>
      <c r="H178" s="23"/>
      <c r="I178" s="47"/>
      <c r="L178" s="181"/>
      <c r="M178" s="178"/>
      <c r="N178" s="23" t="s">
        <v>3</v>
      </c>
      <c r="O178" s="24">
        <v>2</v>
      </c>
      <c r="P178" s="24">
        <v>14</v>
      </c>
      <c r="Q178" s="23" t="s">
        <v>66</v>
      </c>
      <c r="R178" s="23"/>
      <c r="S178" s="47"/>
    </row>
    <row r="179" spans="2:19" x14ac:dyDescent="0.25">
      <c r="B179" s="181"/>
      <c r="C179" s="178"/>
      <c r="D179" s="23" t="s">
        <v>80</v>
      </c>
      <c r="E179" s="24">
        <v>3</v>
      </c>
      <c r="F179" s="24">
        <v>15</v>
      </c>
      <c r="G179" s="23" t="s">
        <v>66</v>
      </c>
      <c r="H179" s="23"/>
      <c r="I179" s="47"/>
      <c r="L179" s="181"/>
      <c r="M179" s="178"/>
      <c r="N179" s="23" t="s">
        <v>80</v>
      </c>
      <c r="O179" s="24">
        <v>3</v>
      </c>
      <c r="P179" s="24">
        <v>15</v>
      </c>
      <c r="Q179" s="23" t="s">
        <v>66</v>
      </c>
      <c r="R179" s="23"/>
      <c r="S179" s="47"/>
    </row>
    <row r="180" spans="2:19" x14ac:dyDescent="0.25">
      <c r="B180" s="181"/>
      <c r="C180" s="178"/>
      <c r="D180" s="23" t="s">
        <v>81</v>
      </c>
      <c r="E180" s="24">
        <v>4</v>
      </c>
      <c r="F180" s="24">
        <v>16</v>
      </c>
      <c r="G180" s="23" t="s">
        <v>66</v>
      </c>
      <c r="H180" s="23"/>
      <c r="I180" s="47"/>
      <c r="L180" s="181"/>
      <c r="M180" s="178"/>
      <c r="N180" s="23" t="s">
        <v>81</v>
      </c>
      <c r="O180" s="24">
        <v>4</v>
      </c>
      <c r="P180" s="24">
        <v>16</v>
      </c>
      <c r="Q180" s="23" t="s">
        <v>66</v>
      </c>
      <c r="R180" s="23"/>
      <c r="S180" s="47"/>
    </row>
    <row r="181" spans="2:19" x14ac:dyDescent="0.25">
      <c r="B181" s="181"/>
      <c r="C181" s="178"/>
      <c r="D181" s="23" t="s">
        <v>82</v>
      </c>
      <c r="E181" s="24">
        <v>5</v>
      </c>
      <c r="F181" s="24">
        <v>17</v>
      </c>
      <c r="G181" s="23" t="s">
        <v>66</v>
      </c>
      <c r="H181" s="23"/>
      <c r="I181" s="47"/>
      <c r="L181" s="181"/>
      <c r="M181" s="178"/>
      <c r="N181" s="23" t="s">
        <v>82</v>
      </c>
      <c r="O181" s="24">
        <v>5</v>
      </c>
      <c r="P181" s="24">
        <v>17</v>
      </c>
      <c r="Q181" s="23" t="s">
        <v>66</v>
      </c>
      <c r="R181" s="23"/>
      <c r="S181" s="47"/>
    </row>
    <row r="182" spans="2:19" ht="15.75" thickBot="1" x14ac:dyDescent="0.3">
      <c r="B182" s="181"/>
      <c r="C182" s="179"/>
      <c r="D182" s="23" t="s">
        <v>83</v>
      </c>
      <c r="E182" s="24">
        <v>6</v>
      </c>
      <c r="F182" s="24">
        <v>18</v>
      </c>
      <c r="G182" s="23" t="s">
        <v>66</v>
      </c>
      <c r="H182" s="23"/>
      <c r="I182" s="47"/>
      <c r="L182" s="181"/>
      <c r="M182" s="179"/>
      <c r="N182" s="23" t="s">
        <v>83</v>
      </c>
      <c r="O182" s="24">
        <v>6</v>
      </c>
      <c r="P182" s="24">
        <v>18</v>
      </c>
      <c r="Q182" s="23" t="s">
        <v>66</v>
      </c>
      <c r="R182" s="23"/>
      <c r="S182" s="47"/>
    </row>
    <row r="183" spans="2:19" x14ac:dyDescent="0.25">
      <c r="B183" s="181"/>
      <c r="C183" s="177" t="s">
        <v>84</v>
      </c>
      <c r="D183" s="23" t="s">
        <v>2</v>
      </c>
      <c r="E183" s="24">
        <v>1</v>
      </c>
      <c r="F183" s="24">
        <v>19</v>
      </c>
      <c r="G183" s="23" t="s">
        <v>66</v>
      </c>
      <c r="H183" s="23"/>
      <c r="I183" s="47"/>
      <c r="L183" s="181"/>
      <c r="M183" s="177" t="s">
        <v>84</v>
      </c>
      <c r="N183" s="23" t="s">
        <v>2</v>
      </c>
      <c r="O183" s="24">
        <v>1</v>
      </c>
      <c r="P183" s="24">
        <v>19</v>
      </c>
      <c r="Q183" s="23" t="s">
        <v>66</v>
      </c>
      <c r="R183" s="23"/>
      <c r="S183" s="47"/>
    </row>
    <row r="184" spans="2:19" x14ac:dyDescent="0.25">
      <c r="B184" s="181"/>
      <c r="C184" s="178"/>
      <c r="D184" s="23" t="s">
        <v>3</v>
      </c>
      <c r="E184" s="24">
        <v>2</v>
      </c>
      <c r="F184" s="24">
        <v>20</v>
      </c>
      <c r="G184" s="23" t="s">
        <v>66</v>
      </c>
      <c r="H184" s="23"/>
      <c r="I184" s="47"/>
      <c r="L184" s="181"/>
      <c r="M184" s="178"/>
      <c r="N184" s="23" t="s">
        <v>3</v>
      </c>
      <c r="O184" s="24">
        <v>2</v>
      </c>
      <c r="P184" s="24">
        <v>20</v>
      </c>
      <c r="Q184" s="23" t="s">
        <v>66</v>
      </c>
      <c r="R184" s="23"/>
      <c r="S184" s="47"/>
    </row>
    <row r="185" spans="2:19" x14ac:dyDescent="0.25">
      <c r="B185" s="181"/>
      <c r="C185" s="178"/>
      <c r="D185" s="23" t="s">
        <v>80</v>
      </c>
      <c r="E185" s="26">
        <v>3</v>
      </c>
      <c r="F185" s="24">
        <v>21</v>
      </c>
      <c r="G185" s="23" t="s">
        <v>66</v>
      </c>
      <c r="H185" s="23"/>
      <c r="I185" s="47"/>
      <c r="L185" s="181"/>
      <c r="M185" s="178"/>
      <c r="N185" s="23" t="s">
        <v>80</v>
      </c>
      <c r="O185" s="26">
        <v>3</v>
      </c>
      <c r="P185" s="24">
        <v>21</v>
      </c>
      <c r="Q185" s="23" t="s">
        <v>66</v>
      </c>
      <c r="R185" s="23"/>
      <c r="S185" s="47"/>
    </row>
    <row r="186" spans="2:19" x14ac:dyDescent="0.25">
      <c r="B186" s="181"/>
      <c r="C186" s="178"/>
      <c r="D186" s="23" t="s">
        <v>81</v>
      </c>
      <c r="E186" s="24">
        <v>4</v>
      </c>
      <c r="F186" s="24">
        <v>22</v>
      </c>
      <c r="G186" s="23" t="s">
        <v>66</v>
      </c>
      <c r="H186" s="23"/>
      <c r="I186" s="47"/>
      <c r="L186" s="181"/>
      <c r="M186" s="178"/>
      <c r="N186" s="23" t="s">
        <v>81</v>
      </c>
      <c r="O186" s="24">
        <v>4</v>
      </c>
      <c r="P186" s="24">
        <v>22</v>
      </c>
      <c r="Q186" s="23" t="s">
        <v>66</v>
      </c>
      <c r="R186" s="23"/>
      <c r="S186" s="47"/>
    </row>
    <row r="187" spans="2:19" x14ac:dyDescent="0.25">
      <c r="B187" s="181"/>
      <c r="C187" s="178"/>
      <c r="D187" s="23" t="s">
        <v>82</v>
      </c>
      <c r="E187" s="24">
        <v>5</v>
      </c>
      <c r="F187" s="24">
        <v>23</v>
      </c>
      <c r="G187" s="23" t="s">
        <v>66</v>
      </c>
      <c r="H187" s="23"/>
      <c r="I187" s="47"/>
      <c r="L187" s="181"/>
      <c r="M187" s="178"/>
      <c r="N187" s="23" t="s">
        <v>82</v>
      </c>
      <c r="O187" s="24">
        <v>5</v>
      </c>
      <c r="P187" s="24">
        <v>23</v>
      </c>
      <c r="Q187" s="23" t="s">
        <v>66</v>
      </c>
      <c r="R187" s="23"/>
      <c r="S187" s="47"/>
    </row>
    <row r="188" spans="2:19" ht="15.75" thickBot="1" x14ac:dyDescent="0.3">
      <c r="B188" s="182"/>
      <c r="C188" s="179"/>
      <c r="D188" s="23" t="s">
        <v>83</v>
      </c>
      <c r="E188" s="24">
        <v>6</v>
      </c>
      <c r="F188" s="24">
        <v>24</v>
      </c>
      <c r="G188" s="23" t="s">
        <v>66</v>
      </c>
      <c r="H188" s="23"/>
      <c r="I188" s="47"/>
      <c r="L188" s="182"/>
      <c r="M188" s="179"/>
      <c r="N188" s="23" t="s">
        <v>83</v>
      </c>
      <c r="O188" s="24">
        <v>6</v>
      </c>
      <c r="P188" s="24">
        <v>24</v>
      </c>
      <c r="Q188" s="23" t="s">
        <v>66</v>
      </c>
      <c r="R188" s="23"/>
      <c r="S188" s="47"/>
    </row>
    <row r="189" spans="2:19" x14ac:dyDescent="0.25">
      <c r="B189" s="189" t="s">
        <v>80</v>
      </c>
      <c r="C189" s="192" t="s">
        <v>77</v>
      </c>
      <c r="D189" s="27" t="s">
        <v>2</v>
      </c>
      <c r="E189" s="28">
        <v>1</v>
      </c>
      <c r="F189" s="28">
        <v>25</v>
      </c>
      <c r="G189" s="27" t="s">
        <v>66</v>
      </c>
      <c r="H189" s="27"/>
      <c r="I189" s="48"/>
      <c r="L189" s="189" t="s">
        <v>80</v>
      </c>
      <c r="M189" s="192" t="s">
        <v>77</v>
      </c>
      <c r="N189" s="27" t="s">
        <v>2</v>
      </c>
      <c r="O189" s="28">
        <v>1</v>
      </c>
      <c r="P189" s="28">
        <v>25</v>
      </c>
      <c r="Q189" s="27" t="s">
        <v>66</v>
      </c>
      <c r="R189" s="27"/>
      <c r="S189" s="48"/>
    </row>
    <row r="190" spans="2:19" x14ac:dyDescent="0.25">
      <c r="B190" s="190"/>
      <c r="C190" s="193"/>
      <c r="D190" s="27" t="s">
        <v>3</v>
      </c>
      <c r="E190" s="28">
        <v>2</v>
      </c>
      <c r="F190" s="28">
        <v>26</v>
      </c>
      <c r="G190" s="27" t="s">
        <v>66</v>
      </c>
      <c r="H190" s="27"/>
      <c r="I190" s="48"/>
      <c r="L190" s="190"/>
      <c r="M190" s="193"/>
      <c r="N190" s="27" t="s">
        <v>3</v>
      </c>
      <c r="O190" s="28">
        <v>2</v>
      </c>
      <c r="P190" s="28">
        <v>26</v>
      </c>
      <c r="Q190" s="27" t="s">
        <v>66</v>
      </c>
      <c r="R190" s="27"/>
      <c r="S190" s="48"/>
    </row>
    <row r="191" spans="2:19" x14ac:dyDescent="0.25">
      <c r="B191" s="190"/>
      <c r="C191" s="193"/>
      <c r="D191" s="27" t="s">
        <v>80</v>
      </c>
      <c r="E191" s="28">
        <v>3</v>
      </c>
      <c r="F191" s="28">
        <v>27</v>
      </c>
      <c r="G191" s="27" t="s">
        <v>66</v>
      </c>
      <c r="H191" s="27"/>
      <c r="I191" s="48"/>
      <c r="L191" s="190"/>
      <c r="M191" s="193"/>
      <c r="N191" s="27" t="s">
        <v>80</v>
      </c>
      <c r="O191" s="28">
        <v>3</v>
      </c>
      <c r="P191" s="28">
        <v>27</v>
      </c>
      <c r="Q191" s="27" t="s">
        <v>66</v>
      </c>
      <c r="R191" s="27"/>
      <c r="S191" s="48"/>
    </row>
    <row r="192" spans="2:19" x14ac:dyDescent="0.25">
      <c r="B192" s="190"/>
      <c r="C192" s="193"/>
      <c r="D192" s="27" t="s">
        <v>81</v>
      </c>
      <c r="E192" s="28">
        <v>4</v>
      </c>
      <c r="F192" s="28">
        <v>28</v>
      </c>
      <c r="G192" s="27" t="s">
        <v>66</v>
      </c>
      <c r="H192" s="27"/>
      <c r="I192" s="48"/>
      <c r="L192" s="190"/>
      <c r="M192" s="193"/>
      <c r="N192" s="27" t="s">
        <v>81</v>
      </c>
      <c r="O192" s="28">
        <v>4</v>
      </c>
      <c r="P192" s="28">
        <v>28</v>
      </c>
      <c r="Q192" s="27" t="s">
        <v>66</v>
      </c>
      <c r="R192" s="27"/>
      <c r="S192" s="48"/>
    </row>
    <row r="193" spans="2:19" x14ac:dyDescent="0.25">
      <c r="B193" s="190"/>
      <c r="C193" s="193"/>
      <c r="D193" s="27" t="s">
        <v>82</v>
      </c>
      <c r="E193" s="28">
        <v>5</v>
      </c>
      <c r="F193" s="28">
        <v>29</v>
      </c>
      <c r="G193" s="27" t="s">
        <v>66</v>
      </c>
      <c r="H193" s="27"/>
      <c r="I193" s="48"/>
      <c r="L193" s="190"/>
      <c r="M193" s="193"/>
      <c r="N193" s="27" t="s">
        <v>82</v>
      </c>
      <c r="O193" s="28">
        <v>5</v>
      </c>
      <c r="P193" s="28">
        <v>29</v>
      </c>
      <c r="Q193" s="27" t="s">
        <v>66</v>
      </c>
      <c r="R193" s="27"/>
      <c r="S193" s="48"/>
    </row>
    <row r="194" spans="2:19" ht="15.75" thickBot="1" x14ac:dyDescent="0.3">
      <c r="B194" s="190"/>
      <c r="C194" s="194"/>
      <c r="D194" s="27" t="s">
        <v>83</v>
      </c>
      <c r="E194" s="28">
        <v>6</v>
      </c>
      <c r="F194" s="28">
        <v>30</v>
      </c>
      <c r="G194" s="27" t="s">
        <v>66</v>
      </c>
      <c r="H194" s="27"/>
      <c r="I194" s="48"/>
      <c r="L194" s="190"/>
      <c r="M194" s="194"/>
      <c r="N194" s="27" t="s">
        <v>83</v>
      </c>
      <c r="O194" s="28">
        <v>6</v>
      </c>
      <c r="P194" s="28">
        <v>30</v>
      </c>
      <c r="Q194" s="27" t="s">
        <v>66</v>
      </c>
      <c r="R194" s="27"/>
      <c r="S194" s="48"/>
    </row>
    <row r="195" spans="2:19" x14ac:dyDescent="0.25">
      <c r="B195" s="190"/>
      <c r="C195" s="192" t="s">
        <v>84</v>
      </c>
      <c r="D195" s="27" t="s">
        <v>2</v>
      </c>
      <c r="E195" s="28">
        <v>1</v>
      </c>
      <c r="F195" s="28">
        <v>31</v>
      </c>
      <c r="G195" s="27" t="s">
        <v>66</v>
      </c>
      <c r="H195" s="27"/>
      <c r="I195" s="48"/>
      <c r="L195" s="190"/>
      <c r="M195" s="192" t="s">
        <v>84</v>
      </c>
      <c r="N195" s="27" t="s">
        <v>2</v>
      </c>
      <c r="O195" s="28">
        <v>1</v>
      </c>
      <c r="P195" s="28">
        <v>31</v>
      </c>
      <c r="Q195" s="27" t="s">
        <v>66</v>
      </c>
      <c r="R195" s="27"/>
      <c r="S195" s="48"/>
    </row>
    <row r="196" spans="2:19" x14ac:dyDescent="0.25">
      <c r="B196" s="190"/>
      <c r="C196" s="193"/>
      <c r="D196" s="27" t="s">
        <v>3</v>
      </c>
      <c r="E196" s="28">
        <v>2</v>
      </c>
      <c r="F196" s="28">
        <v>32</v>
      </c>
      <c r="G196" s="27" t="s">
        <v>66</v>
      </c>
      <c r="H196" s="27"/>
      <c r="I196" s="48"/>
      <c r="L196" s="190"/>
      <c r="M196" s="193"/>
      <c r="N196" s="27" t="s">
        <v>3</v>
      </c>
      <c r="O196" s="28">
        <v>2</v>
      </c>
      <c r="P196" s="28">
        <v>32</v>
      </c>
      <c r="Q196" s="27" t="s">
        <v>66</v>
      </c>
      <c r="R196" s="27"/>
      <c r="S196" s="48"/>
    </row>
    <row r="197" spans="2:19" x14ac:dyDescent="0.25">
      <c r="B197" s="190"/>
      <c r="C197" s="193"/>
      <c r="D197" s="27" t="s">
        <v>80</v>
      </c>
      <c r="E197" s="28">
        <v>3</v>
      </c>
      <c r="F197" s="28">
        <v>33</v>
      </c>
      <c r="G197" s="27" t="s">
        <v>66</v>
      </c>
      <c r="H197" s="27"/>
      <c r="I197" s="48"/>
      <c r="L197" s="190"/>
      <c r="M197" s="193"/>
      <c r="N197" s="27" t="s">
        <v>80</v>
      </c>
      <c r="O197" s="28">
        <v>3</v>
      </c>
      <c r="P197" s="28">
        <v>33</v>
      </c>
      <c r="Q197" s="27" t="s">
        <v>66</v>
      </c>
      <c r="R197" s="27"/>
      <c r="S197" s="48"/>
    </row>
    <row r="198" spans="2:19" x14ac:dyDescent="0.25">
      <c r="B198" s="190"/>
      <c r="C198" s="193"/>
      <c r="D198" s="27" t="s">
        <v>81</v>
      </c>
      <c r="E198" s="28">
        <v>4</v>
      </c>
      <c r="F198" s="28">
        <v>34</v>
      </c>
      <c r="G198" s="27" t="s">
        <v>66</v>
      </c>
      <c r="H198" s="27"/>
      <c r="I198" s="48"/>
      <c r="L198" s="190"/>
      <c r="M198" s="193"/>
      <c r="N198" s="27" t="s">
        <v>81</v>
      </c>
      <c r="O198" s="28">
        <v>4</v>
      </c>
      <c r="P198" s="28">
        <v>34</v>
      </c>
      <c r="Q198" s="27" t="s">
        <v>66</v>
      </c>
      <c r="R198" s="27"/>
      <c r="S198" s="48"/>
    </row>
    <row r="199" spans="2:19" x14ac:dyDescent="0.25">
      <c r="B199" s="190"/>
      <c r="C199" s="193"/>
      <c r="D199" s="27" t="s">
        <v>82</v>
      </c>
      <c r="E199" s="28">
        <v>5</v>
      </c>
      <c r="F199" s="28">
        <v>35</v>
      </c>
      <c r="G199" s="27" t="s">
        <v>66</v>
      </c>
      <c r="H199" s="27"/>
      <c r="I199" s="48"/>
      <c r="L199" s="190"/>
      <c r="M199" s="193"/>
      <c r="N199" s="27" t="s">
        <v>82</v>
      </c>
      <c r="O199" s="28">
        <v>5</v>
      </c>
      <c r="P199" s="28">
        <v>35</v>
      </c>
      <c r="Q199" s="27" t="s">
        <v>66</v>
      </c>
      <c r="R199" s="27"/>
      <c r="S199" s="48"/>
    </row>
    <row r="200" spans="2:19" ht="15.75" thickBot="1" x14ac:dyDescent="0.3">
      <c r="B200" s="191"/>
      <c r="C200" s="194"/>
      <c r="D200" s="27" t="s">
        <v>83</v>
      </c>
      <c r="E200" s="28">
        <v>6</v>
      </c>
      <c r="F200" s="28">
        <v>36</v>
      </c>
      <c r="G200" s="27" t="s">
        <v>66</v>
      </c>
      <c r="H200" s="27"/>
      <c r="I200" s="48"/>
      <c r="L200" s="191"/>
      <c r="M200" s="194"/>
      <c r="N200" s="27" t="s">
        <v>83</v>
      </c>
      <c r="O200" s="28">
        <v>6</v>
      </c>
      <c r="P200" s="28">
        <v>36</v>
      </c>
      <c r="Q200" s="27" t="s">
        <v>66</v>
      </c>
      <c r="R200" s="27"/>
      <c r="S200" s="48"/>
    </row>
    <row r="201" spans="2:19" x14ac:dyDescent="0.25">
      <c r="B201" s="183" t="s">
        <v>81</v>
      </c>
      <c r="C201" s="186" t="s">
        <v>77</v>
      </c>
      <c r="D201" s="29" t="s">
        <v>2</v>
      </c>
      <c r="E201" s="30">
        <v>1</v>
      </c>
      <c r="F201" s="30">
        <v>37</v>
      </c>
      <c r="G201" s="29" t="s">
        <v>66</v>
      </c>
      <c r="H201" s="29"/>
      <c r="I201" s="49"/>
      <c r="L201" s="183" t="s">
        <v>81</v>
      </c>
      <c r="M201" s="186" t="s">
        <v>77</v>
      </c>
      <c r="N201" s="29" t="s">
        <v>2</v>
      </c>
      <c r="O201" s="30">
        <v>1</v>
      </c>
      <c r="P201" s="30">
        <v>37</v>
      </c>
      <c r="Q201" s="29" t="s">
        <v>66</v>
      </c>
      <c r="R201" s="29"/>
      <c r="S201" s="49"/>
    </row>
    <row r="202" spans="2:19" x14ac:dyDescent="0.25">
      <c r="B202" s="184"/>
      <c r="C202" s="187"/>
      <c r="D202" s="29" t="s">
        <v>3</v>
      </c>
      <c r="E202" s="30">
        <v>2</v>
      </c>
      <c r="F202" s="30">
        <v>38</v>
      </c>
      <c r="G202" s="29" t="s">
        <v>66</v>
      </c>
      <c r="H202" s="29"/>
      <c r="I202" s="49"/>
      <c r="L202" s="184"/>
      <c r="M202" s="187"/>
      <c r="N202" s="29" t="s">
        <v>3</v>
      </c>
      <c r="O202" s="30">
        <v>2</v>
      </c>
      <c r="P202" s="30">
        <v>38</v>
      </c>
      <c r="Q202" s="29" t="s">
        <v>66</v>
      </c>
      <c r="R202" s="29"/>
      <c r="S202" s="49"/>
    </row>
    <row r="203" spans="2:19" x14ac:dyDescent="0.25">
      <c r="B203" s="184"/>
      <c r="C203" s="187"/>
      <c r="D203" s="29" t="s">
        <v>80</v>
      </c>
      <c r="E203" s="30">
        <v>3</v>
      </c>
      <c r="F203" s="30">
        <v>39</v>
      </c>
      <c r="G203" s="29" t="s">
        <v>66</v>
      </c>
      <c r="H203" s="29"/>
      <c r="I203" s="49"/>
      <c r="L203" s="184"/>
      <c r="M203" s="187"/>
      <c r="N203" s="29" t="s">
        <v>80</v>
      </c>
      <c r="O203" s="30">
        <v>3</v>
      </c>
      <c r="P203" s="30">
        <v>39</v>
      </c>
      <c r="Q203" s="29" t="s">
        <v>66</v>
      </c>
      <c r="R203" s="29"/>
      <c r="S203" s="49"/>
    </row>
    <row r="204" spans="2:19" x14ac:dyDescent="0.25">
      <c r="B204" s="184"/>
      <c r="C204" s="187"/>
      <c r="D204" s="29" t="s">
        <v>81</v>
      </c>
      <c r="E204" s="30">
        <v>4</v>
      </c>
      <c r="F204" s="30">
        <v>40</v>
      </c>
      <c r="G204" s="29" t="s">
        <v>66</v>
      </c>
      <c r="H204" s="29"/>
      <c r="I204" s="49"/>
      <c r="L204" s="184"/>
      <c r="M204" s="187"/>
      <c r="N204" s="29" t="s">
        <v>81</v>
      </c>
      <c r="O204" s="30">
        <v>4</v>
      </c>
      <c r="P204" s="30">
        <v>40</v>
      </c>
      <c r="Q204" s="29" t="s">
        <v>66</v>
      </c>
      <c r="R204" s="29"/>
      <c r="S204" s="49"/>
    </row>
    <row r="205" spans="2:19" x14ac:dyDescent="0.25">
      <c r="B205" s="184"/>
      <c r="C205" s="187"/>
      <c r="D205" s="29" t="s">
        <v>82</v>
      </c>
      <c r="E205" s="30">
        <v>5</v>
      </c>
      <c r="F205" s="30">
        <v>41</v>
      </c>
      <c r="G205" s="29" t="s">
        <v>66</v>
      </c>
      <c r="H205" s="29"/>
      <c r="I205" s="49"/>
      <c r="L205" s="184"/>
      <c r="M205" s="187"/>
      <c r="N205" s="29" t="s">
        <v>82</v>
      </c>
      <c r="O205" s="30">
        <v>5</v>
      </c>
      <c r="P205" s="30">
        <v>41</v>
      </c>
      <c r="Q205" s="29" t="s">
        <v>66</v>
      </c>
      <c r="R205" s="29"/>
      <c r="S205" s="49"/>
    </row>
    <row r="206" spans="2:19" ht="15.75" thickBot="1" x14ac:dyDescent="0.3">
      <c r="B206" s="184"/>
      <c r="C206" s="188"/>
      <c r="D206" s="29" t="s">
        <v>83</v>
      </c>
      <c r="E206" s="30">
        <v>6</v>
      </c>
      <c r="F206" s="30">
        <v>42</v>
      </c>
      <c r="G206" s="29" t="s">
        <v>66</v>
      </c>
      <c r="H206" s="29"/>
      <c r="I206" s="49"/>
      <c r="L206" s="184"/>
      <c r="M206" s="188"/>
      <c r="N206" s="29" t="s">
        <v>83</v>
      </c>
      <c r="O206" s="30">
        <v>6</v>
      </c>
      <c r="P206" s="30">
        <v>42</v>
      </c>
      <c r="Q206" s="29" t="s">
        <v>66</v>
      </c>
      <c r="R206" s="29"/>
      <c r="S206" s="49"/>
    </row>
    <row r="207" spans="2:19" x14ac:dyDescent="0.25">
      <c r="B207" s="184"/>
      <c r="C207" s="186" t="s">
        <v>84</v>
      </c>
      <c r="D207" s="29" t="s">
        <v>2</v>
      </c>
      <c r="E207" s="30">
        <v>1</v>
      </c>
      <c r="F207" s="30">
        <v>43</v>
      </c>
      <c r="G207" s="29" t="s">
        <v>66</v>
      </c>
      <c r="H207" s="29"/>
      <c r="I207" s="49"/>
      <c r="L207" s="184"/>
      <c r="M207" s="186" t="s">
        <v>84</v>
      </c>
      <c r="N207" s="29" t="s">
        <v>2</v>
      </c>
      <c r="O207" s="30">
        <v>1</v>
      </c>
      <c r="P207" s="30">
        <v>43</v>
      </c>
      <c r="Q207" s="29" t="s">
        <v>66</v>
      </c>
      <c r="R207" s="29"/>
      <c r="S207" s="49"/>
    </row>
    <row r="208" spans="2:19" x14ac:dyDescent="0.25">
      <c r="B208" s="184"/>
      <c r="C208" s="187"/>
      <c r="D208" s="29" t="s">
        <v>3</v>
      </c>
      <c r="E208" s="30">
        <v>2</v>
      </c>
      <c r="F208" s="30">
        <v>44</v>
      </c>
      <c r="G208" s="29" t="s">
        <v>66</v>
      </c>
      <c r="H208" s="29"/>
      <c r="I208" s="49"/>
      <c r="L208" s="184"/>
      <c r="M208" s="187"/>
      <c r="N208" s="29" t="s">
        <v>3</v>
      </c>
      <c r="O208" s="30">
        <v>2</v>
      </c>
      <c r="P208" s="30">
        <v>44</v>
      </c>
      <c r="Q208" s="29" t="s">
        <v>66</v>
      </c>
      <c r="R208" s="29"/>
      <c r="S208" s="49"/>
    </row>
    <row r="209" spans="2:19" x14ac:dyDescent="0.25">
      <c r="B209" s="184"/>
      <c r="C209" s="187"/>
      <c r="D209" s="29" t="s">
        <v>80</v>
      </c>
      <c r="E209" s="30">
        <v>3</v>
      </c>
      <c r="F209" s="30">
        <v>45</v>
      </c>
      <c r="G209" s="29" t="s">
        <v>66</v>
      </c>
      <c r="H209" s="29"/>
      <c r="I209" s="49"/>
      <c r="L209" s="184"/>
      <c r="M209" s="187"/>
      <c r="N209" s="29" t="s">
        <v>80</v>
      </c>
      <c r="O209" s="30">
        <v>3</v>
      </c>
      <c r="P209" s="30">
        <v>45</v>
      </c>
      <c r="Q209" s="29" t="s">
        <v>66</v>
      </c>
      <c r="R209" s="29"/>
      <c r="S209" s="49"/>
    </row>
    <row r="210" spans="2:19" x14ac:dyDescent="0.25">
      <c r="B210" s="184"/>
      <c r="C210" s="187"/>
      <c r="D210" s="29" t="s">
        <v>81</v>
      </c>
      <c r="E210" s="30">
        <v>4</v>
      </c>
      <c r="F210" s="30">
        <v>46</v>
      </c>
      <c r="G210" s="29" t="s">
        <v>66</v>
      </c>
      <c r="H210" s="29"/>
      <c r="I210" s="49"/>
      <c r="L210" s="184"/>
      <c r="M210" s="187"/>
      <c r="N210" s="29" t="s">
        <v>81</v>
      </c>
      <c r="O210" s="30">
        <v>4</v>
      </c>
      <c r="P210" s="30">
        <v>46</v>
      </c>
      <c r="Q210" s="29" t="s">
        <v>66</v>
      </c>
      <c r="R210" s="29"/>
      <c r="S210" s="49"/>
    </row>
    <row r="211" spans="2:19" x14ac:dyDescent="0.25">
      <c r="B211" s="184"/>
      <c r="C211" s="187"/>
      <c r="D211" s="29" t="s">
        <v>82</v>
      </c>
      <c r="E211" s="30">
        <v>5</v>
      </c>
      <c r="F211" s="30">
        <v>47</v>
      </c>
      <c r="G211" s="29" t="s">
        <v>66</v>
      </c>
      <c r="H211" s="29"/>
      <c r="I211" s="49"/>
      <c r="L211" s="184"/>
      <c r="M211" s="187"/>
      <c r="N211" s="29" t="s">
        <v>82</v>
      </c>
      <c r="O211" s="30">
        <v>5</v>
      </c>
      <c r="P211" s="30">
        <v>47</v>
      </c>
      <c r="Q211" s="29" t="s">
        <v>66</v>
      </c>
      <c r="R211" s="29"/>
      <c r="S211" s="49"/>
    </row>
    <row r="212" spans="2:19" ht="15.75" thickBot="1" x14ac:dyDescent="0.3">
      <c r="B212" s="185"/>
      <c r="C212" s="188"/>
      <c r="D212" s="29" t="s">
        <v>83</v>
      </c>
      <c r="E212" s="30">
        <v>6</v>
      </c>
      <c r="F212" s="30">
        <v>48</v>
      </c>
      <c r="G212" s="29" t="s">
        <v>66</v>
      </c>
      <c r="H212" s="29"/>
      <c r="I212" s="49"/>
      <c r="L212" s="185"/>
      <c r="M212" s="188"/>
      <c r="N212" s="29" t="s">
        <v>83</v>
      </c>
      <c r="O212" s="30">
        <v>6</v>
      </c>
      <c r="P212" s="30">
        <v>48</v>
      </c>
      <c r="Q212" s="29" t="s">
        <v>66</v>
      </c>
      <c r="R212" s="29"/>
      <c r="S212" s="49"/>
    </row>
    <row r="218" spans="2:19" ht="15.75" thickBot="1" x14ac:dyDescent="0.3"/>
    <row r="219" spans="2:19" ht="15.75" thickBot="1" x14ac:dyDescent="0.3">
      <c r="B219" s="171" t="s">
        <v>260</v>
      </c>
      <c r="C219" s="172"/>
      <c r="D219" s="172"/>
      <c r="E219" s="172"/>
      <c r="F219" s="172"/>
      <c r="G219" s="172"/>
      <c r="H219" s="172"/>
      <c r="I219" s="173"/>
      <c r="L219" s="171" t="s">
        <v>261</v>
      </c>
      <c r="M219" s="172"/>
      <c r="N219" s="172"/>
      <c r="O219" s="172"/>
      <c r="P219" s="172"/>
      <c r="Q219" s="172"/>
      <c r="R219" s="172"/>
      <c r="S219" s="173"/>
    </row>
    <row r="221" spans="2:19" ht="26.25" thickBot="1" x14ac:dyDescent="0.3">
      <c r="B221" s="15" t="s">
        <v>70</v>
      </c>
      <c r="C221" s="16" t="s">
        <v>71</v>
      </c>
      <c r="D221" s="15" t="s">
        <v>72</v>
      </c>
      <c r="E221" s="17" t="s">
        <v>73</v>
      </c>
      <c r="F221" s="17" t="s">
        <v>74</v>
      </c>
      <c r="G221" s="15" t="s">
        <v>75</v>
      </c>
      <c r="H221" s="15" t="s">
        <v>55</v>
      </c>
      <c r="I221" s="15" t="s">
        <v>76</v>
      </c>
      <c r="L221" s="15" t="s">
        <v>70</v>
      </c>
      <c r="M221" s="16" t="s">
        <v>71</v>
      </c>
      <c r="N221" s="15" t="s">
        <v>72</v>
      </c>
      <c r="O221" s="17" t="s">
        <v>73</v>
      </c>
      <c r="P221" s="17" t="s">
        <v>74</v>
      </c>
      <c r="Q221" s="15" t="s">
        <v>75</v>
      </c>
      <c r="R221" s="15" t="s">
        <v>55</v>
      </c>
      <c r="S221" s="15" t="s">
        <v>76</v>
      </c>
    </row>
    <row r="222" spans="2:19" x14ac:dyDescent="0.25">
      <c r="B222" s="174" t="s">
        <v>2</v>
      </c>
      <c r="C222" s="168" t="s">
        <v>77</v>
      </c>
      <c r="D222" s="18" t="s">
        <v>2</v>
      </c>
      <c r="E222" s="19">
        <v>1</v>
      </c>
      <c r="F222" s="19">
        <v>1</v>
      </c>
      <c r="G222" s="18" t="s">
        <v>78</v>
      </c>
      <c r="H222" s="156" t="s">
        <v>79</v>
      </c>
      <c r="I222" s="165" t="s">
        <v>159</v>
      </c>
      <c r="L222" s="174" t="s">
        <v>2</v>
      </c>
      <c r="M222" s="168" t="s">
        <v>77</v>
      </c>
      <c r="N222" s="18" t="s">
        <v>2</v>
      </c>
      <c r="O222" s="19">
        <v>1</v>
      </c>
      <c r="P222" s="19">
        <v>1</v>
      </c>
      <c r="Q222" s="18" t="s">
        <v>78</v>
      </c>
      <c r="R222" s="156" t="s">
        <v>79</v>
      </c>
      <c r="S222" s="165" t="s">
        <v>161</v>
      </c>
    </row>
    <row r="223" spans="2:19" x14ac:dyDescent="0.25">
      <c r="B223" s="175"/>
      <c r="C223" s="169"/>
      <c r="D223" s="18" t="s">
        <v>3</v>
      </c>
      <c r="E223" s="19">
        <v>2</v>
      </c>
      <c r="F223" s="19">
        <v>2</v>
      </c>
      <c r="G223" s="18" t="s">
        <v>78</v>
      </c>
      <c r="H223" s="157"/>
      <c r="I223" s="166"/>
      <c r="L223" s="175"/>
      <c r="M223" s="169"/>
      <c r="N223" s="18" t="s">
        <v>3</v>
      </c>
      <c r="O223" s="19">
        <v>2</v>
      </c>
      <c r="P223" s="19">
        <v>2</v>
      </c>
      <c r="Q223" s="18" t="s">
        <v>78</v>
      </c>
      <c r="R223" s="157"/>
      <c r="S223" s="166"/>
    </row>
    <row r="224" spans="2:19" x14ac:dyDescent="0.25">
      <c r="B224" s="175"/>
      <c r="C224" s="169"/>
      <c r="D224" s="18" t="s">
        <v>80</v>
      </c>
      <c r="E224" s="20">
        <v>3</v>
      </c>
      <c r="F224" s="20">
        <v>3</v>
      </c>
      <c r="G224" s="18" t="s">
        <v>66</v>
      </c>
      <c r="H224" s="157"/>
      <c r="I224" s="166"/>
      <c r="L224" s="175"/>
      <c r="M224" s="169"/>
      <c r="N224" s="18" t="s">
        <v>80</v>
      </c>
      <c r="O224" s="20">
        <v>3</v>
      </c>
      <c r="P224" s="20">
        <v>3</v>
      </c>
      <c r="Q224" s="18" t="s">
        <v>66</v>
      </c>
      <c r="R224" s="157"/>
      <c r="S224" s="166"/>
    </row>
    <row r="225" spans="2:19" x14ac:dyDescent="0.25">
      <c r="B225" s="175"/>
      <c r="C225" s="169"/>
      <c r="D225" s="18" t="s">
        <v>81</v>
      </c>
      <c r="E225" s="20">
        <v>4</v>
      </c>
      <c r="F225" s="20">
        <v>4</v>
      </c>
      <c r="G225" s="18" t="s">
        <v>66</v>
      </c>
      <c r="H225" s="157"/>
      <c r="I225" s="166"/>
      <c r="L225" s="175"/>
      <c r="M225" s="169"/>
      <c r="N225" s="18" t="s">
        <v>81</v>
      </c>
      <c r="O225" s="20">
        <v>4</v>
      </c>
      <c r="P225" s="20">
        <v>4</v>
      </c>
      <c r="Q225" s="18" t="s">
        <v>66</v>
      </c>
      <c r="R225" s="157"/>
      <c r="S225" s="166"/>
    </row>
    <row r="226" spans="2:19" x14ac:dyDescent="0.25">
      <c r="B226" s="175"/>
      <c r="C226" s="169"/>
      <c r="D226" s="18" t="s">
        <v>82</v>
      </c>
      <c r="E226" s="20">
        <v>5</v>
      </c>
      <c r="F226" s="20">
        <v>5</v>
      </c>
      <c r="G226" s="18" t="s">
        <v>66</v>
      </c>
      <c r="H226" s="157"/>
      <c r="I226" s="166"/>
      <c r="L226" s="175"/>
      <c r="M226" s="169"/>
      <c r="N226" s="18" t="s">
        <v>82</v>
      </c>
      <c r="O226" s="20">
        <v>5</v>
      </c>
      <c r="P226" s="20">
        <v>5</v>
      </c>
      <c r="Q226" s="18" t="s">
        <v>66</v>
      </c>
      <c r="R226" s="157"/>
      <c r="S226" s="166"/>
    </row>
    <row r="227" spans="2:19" ht="15.75" thickBot="1" x14ac:dyDescent="0.3">
      <c r="B227" s="175"/>
      <c r="C227" s="170"/>
      <c r="D227" s="18" t="s">
        <v>83</v>
      </c>
      <c r="E227" s="20">
        <v>6</v>
      </c>
      <c r="F227" s="20">
        <v>6</v>
      </c>
      <c r="G227" s="18" t="s">
        <v>66</v>
      </c>
      <c r="H227" s="158"/>
      <c r="I227" s="167"/>
      <c r="L227" s="175"/>
      <c r="M227" s="170"/>
      <c r="N227" s="18" t="s">
        <v>83</v>
      </c>
      <c r="O227" s="20">
        <v>6</v>
      </c>
      <c r="P227" s="20">
        <v>6</v>
      </c>
      <c r="Q227" s="18" t="s">
        <v>66</v>
      </c>
      <c r="R227" s="158"/>
      <c r="S227" s="167"/>
    </row>
    <row r="228" spans="2:19" x14ac:dyDescent="0.25">
      <c r="B228" s="175"/>
      <c r="C228" s="168" t="s">
        <v>84</v>
      </c>
      <c r="D228" s="18" t="s">
        <v>2</v>
      </c>
      <c r="E228" s="19">
        <v>1</v>
      </c>
      <c r="F228" s="19">
        <v>7</v>
      </c>
      <c r="G228" s="18" t="s">
        <v>66</v>
      </c>
      <c r="H228" s="32"/>
      <c r="I228" s="50"/>
      <c r="L228" s="175"/>
      <c r="M228" s="168" t="s">
        <v>84</v>
      </c>
      <c r="N228" s="18" t="s">
        <v>2</v>
      </c>
      <c r="O228" s="19">
        <v>1</v>
      </c>
      <c r="P228" s="19">
        <v>7</v>
      </c>
      <c r="Q228" s="18" t="s">
        <v>66</v>
      </c>
      <c r="R228" s="32"/>
      <c r="S228" s="50"/>
    </row>
    <row r="229" spans="2:19" x14ac:dyDescent="0.25">
      <c r="B229" s="175"/>
      <c r="C229" s="169"/>
      <c r="D229" s="18" t="s">
        <v>3</v>
      </c>
      <c r="E229" s="19">
        <v>2</v>
      </c>
      <c r="F229" s="19">
        <v>8</v>
      </c>
      <c r="G229" s="18" t="s">
        <v>66</v>
      </c>
      <c r="H229" s="32"/>
      <c r="I229" s="50"/>
      <c r="L229" s="175"/>
      <c r="M229" s="169"/>
      <c r="N229" s="18" t="s">
        <v>3</v>
      </c>
      <c r="O229" s="19">
        <v>2</v>
      </c>
      <c r="P229" s="19">
        <v>8</v>
      </c>
      <c r="Q229" s="18" t="s">
        <v>66</v>
      </c>
      <c r="R229" s="32"/>
      <c r="S229" s="50"/>
    </row>
    <row r="230" spans="2:19" x14ac:dyDescent="0.25">
      <c r="B230" s="175"/>
      <c r="C230" s="169"/>
      <c r="D230" s="18" t="s">
        <v>80</v>
      </c>
      <c r="E230" s="20">
        <v>3</v>
      </c>
      <c r="F230" s="20">
        <v>9</v>
      </c>
      <c r="G230" s="18" t="s">
        <v>66</v>
      </c>
      <c r="H230" s="32"/>
      <c r="I230" s="50"/>
      <c r="L230" s="175"/>
      <c r="M230" s="169"/>
      <c r="N230" s="18" t="s">
        <v>80</v>
      </c>
      <c r="O230" s="20">
        <v>3</v>
      </c>
      <c r="P230" s="20">
        <v>9</v>
      </c>
      <c r="Q230" s="18" t="s">
        <v>66</v>
      </c>
      <c r="R230" s="32"/>
      <c r="S230" s="50"/>
    </row>
    <row r="231" spans="2:19" x14ac:dyDescent="0.25">
      <c r="B231" s="175"/>
      <c r="C231" s="169"/>
      <c r="D231" s="18" t="s">
        <v>81</v>
      </c>
      <c r="E231" s="20">
        <v>4</v>
      </c>
      <c r="F231" s="20">
        <v>10</v>
      </c>
      <c r="G231" s="18" t="s">
        <v>66</v>
      </c>
      <c r="H231" s="32"/>
      <c r="I231" s="50"/>
      <c r="L231" s="175"/>
      <c r="M231" s="169"/>
      <c r="N231" s="18" t="s">
        <v>81</v>
      </c>
      <c r="O231" s="20">
        <v>4</v>
      </c>
      <c r="P231" s="20">
        <v>10</v>
      </c>
      <c r="Q231" s="18" t="s">
        <v>66</v>
      </c>
      <c r="R231" s="32"/>
      <c r="S231" s="50"/>
    </row>
    <row r="232" spans="2:19" x14ac:dyDescent="0.25">
      <c r="B232" s="175"/>
      <c r="C232" s="169"/>
      <c r="D232" s="18" t="s">
        <v>82</v>
      </c>
      <c r="E232" s="20">
        <v>5</v>
      </c>
      <c r="F232" s="20">
        <v>11</v>
      </c>
      <c r="G232" s="18" t="s">
        <v>66</v>
      </c>
      <c r="H232" s="32"/>
      <c r="I232" s="50"/>
      <c r="L232" s="175"/>
      <c r="M232" s="169"/>
      <c r="N232" s="18" t="s">
        <v>82</v>
      </c>
      <c r="O232" s="20">
        <v>5</v>
      </c>
      <c r="P232" s="20">
        <v>11</v>
      </c>
      <c r="Q232" s="18" t="s">
        <v>66</v>
      </c>
      <c r="R232" s="32"/>
      <c r="S232" s="50"/>
    </row>
    <row r="233" spans="2:19" ht="15.75" thickBot="1" x14ac:dyDescent="0.3">
      <c r="B233" s="176"/>
      <c r="C233" s="170"/>
      <c r="D233" s="18" t="s">
        <v>83</v>
      </c>
      <c r="E233" s="20">
        <v>6</v>
      </c>
      <c r="F233" s="20">
        <v>12</v>
      </c>
      <c r="G233" s="18" t="s">
        <v>66</v>
      </c>
      <c r="H233" s="32"/>
      <c r="I233" s="50"/>
      <c r="L233" s="176"/>
      <c r="M233" s="170"/>
      <c r="N233" s="18" t="s">
        <v>83</v>
      </c>
      <c r="O233" s="20">
        <v>6</v>
      </c>
      <c r="P233" s="20">
        <v>12</v>
      </c>
      <c r="Q233" s="18" t="s">
        <v>66</v>
      </c>
      <c r="R233" s="32"/>
      <c r="S233" s="50"/>
    </row>
    <row r="234" spans="2:19" x14ac:dyDescent="0.25">
      <c r="B234" s="180" t="s">
        <v>3</v>
      </c>
      <c r="C234" s="177" t="s">
        <v>77</v>
      </c>
      <c r="D234" s="21" t="s">
        <v>2</v>
      </c>
      <c r="E234" s="22">
        <v>1</v>
      </c>
      <c r="F234" s="22">
        <v>13</v>
      </c>
      <c r="G234" s="21" t="s">
        <v>66</v>
      </c>
      <c r="H234" s="21"/>
      <c r="I234" s="51"/>
      <c r="L234" s="180" t="s">
        <v>3</v>
      </c>
      <c r="M234" s="177" t="s">
        <v>77</v>
      </c>
      <c r="N234" s="21" t="s">
        <v>2</v>
      </c>
      <c r="O234" s="22">
        <v>1</v>
      </c>
      <c r="P234" s="22">
        <v>13</v>
      </c>
      <c r="Q234" s="21" t="s">
        <v>66</v>
      </c>
      <c r="R234" s="21"/>
      <c r="S234" s="51"/>
    </row>
    <row r="235" spans="2:19" x14ac:dyDescent="0.25">
      <c r="B235" s="181"/>
      <c r="C235" s="178"/>
      <c r="D235" s="23" t="s">
        <v>3</v>
      </c>
      <c r="E235" s="24">
        <v>2</v>
      </c>
      <c r="F235" s="24">
        <v>14</v>
      </c>
      <c r="G235" s="23" t="s">
        <v>66</v>
      </c>
      <c r="H235" s="23"/>
      <c r="I235" s="47"/>
      <c r="L235" s="181"/>
      <c r="M235" s="178"/>
      <c r="N235" s="23" t="s">
        <v>3</v>
      </c>
      <c r="O235" s="24">
        <v>2</v>
      </c>
      <c r="P235" s="24">
        <v>14</v>
      </c>
      <c r="Q235" s="23" t="s">
        <v>66</v>
      </c>
      <c r="R235" s="23"/>
      <c r="S235" s="47"/>
    </row>
    <row r="236" spans="2:19" x14ac:dyDescent="0.25">
      <c r="B236" s="181"/>
      <c r="C236" s="178"/>
      <c r="D236" s="23" t="s">
        <v>80</v>
      </c>
      <c r="E236" s="24">
        <v>3</v>
      </c>
      <c r="F236" s="24">
        <v>15</v>
      </c>
      <c r="G236" s="23" t="s">
        <v>66</v>
      </c>
      <c r="H236" s="23"/>
      <c r="I236" s="47"/>
      <c r="L236" s="181"/>
      <c r="M236" s="178"/>
      <c r="N236" s="23" t="s">
        <v>80</v>
      </c>
      <c r="O236" s="24">
        <v>3</v>
      </c>
      <c r="P236" s="24">
        <v>15</v>
      </c>
      <c r="Q236" s="23" t="s">
        <v>66</v>
      </c>
      <c r="R236" s="23"/>
      <c r="S236" s="47"/>
    </row>
    <row r="237" spans="2:19" x14ac:dyDescent="0.25">
      <c r="B237" s="181"/>
      <c r="C237" s="178"/>
      <c r="D237" s="23" t="s">
        <v>81</v>
      </c>
      <c r="E237" s="24">
        <v>4</v>
      </c>
      <c r="F237" s="24">
        <v>16</v>
      </c>
      <c r="G237" s="23" t="s">
        <v>66</v>
      </c>
      <c r="H237" s="23"/>
      <c r="I237" s="47"/>
      <c r="L237" s="181"/>
      <c r="M237" s="178"/>
      <c r="N237" s="23" t="s">
        <v>81</v>
      </c>
      <c r="O237" s="24">
        <v>4</v>
      </c>
      <c r="P237" s="24">
        <v>16</v>
      </c>
      <c r="Q237" s="23" t="s">
        <v>66</v>
      </c>
      <c r="R237" s="23"/>
      <c r="S237" s="47"/>
    </row>
    <row r="238" spans="2:19" x14ac:dyDescent="0.25">
      <c r="B238" s="181"/>
      <c r="C238" s="178"/>
      <c r="D238" s="23" t="s">
        <v>82</v>
      </c>
      <c r="E238" s="24">
        <v>5</v>
      </c>
      <c r="F238" s="24">
        <v>17</v>
      </c>
      <c r="G238" s="23" t="s">
        <v>66</v>
      </c>
      <c r="H238" s="23"/>
      <c r="I238" s="47"/>
      <c r="L238" s="181"/>
      <c r="M238" s="178"/>
      <c r="N238" s="23" t="s">
        <v>82</v>
      </c>
      <c r="O238" s="24">
        <v>5</v>
      </c>
      <c r="P238" s="24">
        <v>17</v>
      </c>
      <c r="Q238" s="23" t="s">
        <v>66</v>
      </c>
      <c r="R238" s="23"/>
      <c r="S238" s="47"/>
    </row>
    <row r="239" spans="2:19" ht="15.75" thickBot="1" x14ac:dyDescent="0.3">
      <c r="B239" s="181"/>
      <c r="C239" s="179"/>
      <c r="D239" s="23" t="s">
        <v>83</v>
      </c>
      <c r="E239" s="24">
        <v>6</v>
      </c>
      <c r="F239" s="24">
        <v>18</v>
      </c>
      <c r="G239" s="23" t="s">
        <v>66</v>
      </c>
      <c r="H239" s="23"/>
      <c r="I239" s="47"/>
      <c r="L239" s="181"/>
      <c r="M239" s="179"/>
      <c r="N239" s="23" t="s">
        <v>83</v>
      </c>
      <c r="O239" s="24">
        <v>6</v>
      </c>
      <c r="P239" s="24">
        <v>18</v>
      </c>
      <c r="Q239" s="23" t="s">
        <v>66</v>
      </c>
      <c r="R239" s="23"/>
      <c r="S239" s="47"/>
    </row>
    <row r="240" spans="2:19" x14ac:dyDescent="0.25">
      <c r="B240" s="181"/>
      <c r="C240" s="177" t="s">
        <v>84</v>
      </c>
      <c r="D240" s="23" t="s">
        <v>2</v>
      </c>
      <c r="E240" s="24">
        <v>1</v>
      </c>
      <c r="F240" s="24">
        <v>19</v>
      </c>
      <c r="G240" s="23" t="s">
        <v>66</v>
      </c>
      <c r="H240" s="23"/>
      <c r="I240" s="47"/>
      <c r="L240" s="181"/>
      <c r="M240" s="177" t="s">
        <v>84</v>
      </c>
      <c r="N240" s="23" t="s">
        <v>2</v>
      </c>
      <c r="O240" s="24">
        <v>1</v>
      </c>
      <c r="P240" s="24">
        <v>19</v>
      </c>
      <c r="Q240" s="23" t="s">
        <v>66</v>
      </c>
      <c r="R240" s="23"/>
      <c r="S240" s="47"/>
    </row>
    <row r="241" spans="2:19" x14ac:dyDescent="0.25">
      <c r="B241" s="181"/>
      <c r="C241" s="178"/>
      <c r="D241" s="23" t="s">
        <v>3</v>
      </c>
      <c r="E241" s="24">
        <v>2</v>
      </c>
      <c r="F241" s="24">
        <v>20</v>
      </c>
      <c r="G241" s="23" t="s">
        <v>66</v>
      </c>
      <c r="H241" s="23"/>
      <c r="I241" s="47"/>
      <c r="L241" s="181"/>
      <c r="M241" s="178"/>
      <c r="N241" s="23" t="s">
        <v>3</v>
      </c>
      <c r="O241" s="24">
        <v>2</v>
      </c>
      <c r="P241" s="24">
        <v>20</v>
      </c>
      <c r="Q241" s="23" t="s">
        <v>66</v>
      </c>
      <c r="R241" s="23"/>
      <c r="S241" s="47"/>
    </row>
    <row r="242" spans="2:19" x14ac:dyDescent="0.25">
      <c r="B242" s="181"/>
      <c r="C242" s="178"/>
      <c r="D242" s="23" t="s">
        <v>80</v>
      </c>
      <c r="E242" s="26">
        <v>3</v>
      </c>
      <c r="F242" s="24">
        <v>21</v>
      </c>
      <c r="G242" s="23" t="s">
        <v>66</v>
      </c>
      <c r="H242" s="23"/>
      <c r="I242" s="47"/>
      <c r="L242" s="181"/>
      <c r="M242" s="178"/>
      <c r="N242" s="23" t="s">
        <v>80</v>
      </c>
      <c r="O242" s="26">
        <v>3</v>
      </c>
      <c r="P242" s="24">
        <v>21</v>
      </c>
      <c r="Q242" s="23" t="s">
        <v>66</v>
      </c>
      <c r="R242" s="23"/>
      <c r="S242" s="47"/>
    </row>
    <row r="243" spans="2:19" x14ac:dyDescent="0.25">
      <c r="B243" s="181"/>
      <c r="C243" s="178"/>
      <c r="D243" s="23" t="s">
        <v>81</v>
      </c>
      <c r="E243" s="24">
        <v>4</v>
      </c>
      <c r="F243" s="24">
        <v>22</v>
      </c>
      <c r="G243" s="23" t="s">
        <v>66</v>
      </c>
      <c r="H243" s="23"/>
      <c r="I243" s="47"/>
      <c r="L243" s="181"/>
      <c r="M243" s="178"/>
      <c r="N243" s="23" t="s">
        <v>81</v>
      </c>
      <c r="O243" s="24">
        <v>4</v>
      </c>
      <c r="P243" s="24">
        <v>22</v>
      </c>
      <c r="Q243" s="23" t="s">
        <v>66</v>
      </c>
      <c r="R243" s="23"/>
      <c r="S243" s="47"/>
    </row>
    <row r="244" spans="2:19" x14ac:dyDescent="0.25">
      <c r="B244" s="181"/>
      <c r="C244" s="178"/>
      <c r="D244" s="23" t="s">
        <v>82</v>
      </c>
      <c r="E244" s="24">
        <v>5</v>
      </c>
      <c r="F244" s="24">
        <v>23</v>
      </c>
      <c r="G244" s="23" t="s">
        <v>66</v>
      </c>
      <c r="H244" s="23"/>
      <c r="I244" s="47"/>
      <c r="L244" s="181"/>
      <c r="M244" s="178"/>
      <c r="N244" s="23" t="s">
        <v>82</v>
      </c>
      <c r="O244" s="24">
        <v>5</v>
      </c>
      <c r="P244" s="24">
        <v>23</v>
      </c>
      <c r="Q244" s="23" t="s">
        <v>66</v>
      </c>
      <c r="R244" s="23"/>
      <c r="S244" s="47"/>
    </row>
    <row r="245" spans="2:19" ht="15.75" thickBot="1" x14ac:dyDescent="0.3">
      <c r="B245" s="182"/>
      <c r="C245" s="179"/>
      <c r="D245" s="23" t="s">
        <v>83</v>
      </c>
      <c r="E245" s="24">
        <v>6</v>
      </c>
      <c r="F245" s="24">
        <v>24</v>
      </c>
      <c r="G245" s="23" t="s">
        <v>66</v>
      </c>
      <c r="H245" s="23"/>
      <c r="I245" s="47"/>
      <c r="L245" s="182"/>
      <c r="M245" s="179"/>
      <c r="N245" s="23" t="s">
        <v>83</v>
      </c>
      <c r="O245" s="24">
        <v>6</v>
      </c>
      <c r="P245" s="24">
        <v>24</v>
      </c>
      <c r="Q245" s="23" t="s">
        <v>66</v>
      </c>
      <c r="R245" s="23"/>
      <c r="S245" s="47"/>
    </row>
    <row r="246" spans="2:19" x14ac:dyDescent="0.25">
      <c r="B246" s="189" t="s">
        <v>80</v>
      </c>
      <c r="C246" s="192" t="s">
        <v>77</v>
      </c>
      <c r="D246" s="27" t="s">
        <v>2</v>
      </c>
      <c r="E246" s="28">
        <v>1</v>
      </c>
      <c r="F246" s="28">
        <v>25</v>
      </c>
      <c r="G246" s="27" t="s">
        <v>66</v>
      </c>
      <c r="H246" s="27"/>
      <c r="I246" s="48"/>
      <c r="L246" s="189" t="s">
        <v>80</v>
      </c>
      <c r="M246" s="192" t="s">
        <v>77</v>
      </c>
      <c r="N246" s="27" t="s">
        <v>2</v>
      </c>
      <c r="O246" s="28">
        <v>1</v>
      </c>
      <c r="P246" s="28">
        <v>25</v>
      </c>
      <c r="Q246" s="27" t="s">
        <v>66</v>
      </c>
      <c r="R246" s="27"/>
      <c r="S246" s="48"/>
    </row>
    <row r="247" spans="2:19" x14ac:dyDescent="0.25">
      <c r="B247" s="190"/>
      <c r="C247" s="193"/>
      <c r="D247" s="27" t="s">
        <v>3</v>
      </c>
      <c r="E247" s="28">
        <v>2</v>
      </c>
      <c r="F247" s="28">
        <v>26</v>
      </c>
      <c r="G247" s="27" t="s">
        <v>66</v>
      </c>
      <c r="H247" s="27"/>
      <c r="I247" s="48"/>
      <c r="L247" s="190"/>
      <c r="M247" s="193"/>
      <c r="N247" s="27" t="s">
        <v>3</v>
      </c>
      <c r="O247" s="28">
        <v>2</v>
      </c>
      <c r="P247" s="28">
        <v>26</v>
      </c>
      <c r="Q247" s="27" t="s">
        <v>66</v>
      </c>
      <c r="R247" s="27"/>
      <c r="S247" s="48"/>
    </row>
    <row r="248" spans="2:19" x14ac:dyDescent="0.25">
      <c r="B248" s="190"/>
      <c r="C248" s="193"/>
      <c r="D248" s="27" t="s">
        <v>80</v>
      </c>
      <c r="E248" s="28">
        <v>3</v>
      </c>
      <c r="F248" s="28">
        <v>27</v>
      </c>
      <c r="G248" s="27" t="s">
        <v>66</v>
      </c>
      <c r="H248" s="27"/>
      <c r="I248" s="48"/>
      <c r="L248" s="190"/>
      <c r="M248" s="193"/>
      <c r="N248" s="27" t="s">
        <v>80</v>
      </c>
      <c r="O248" s="28">
        <v>3</v>
      </c>
      <c r="P248" s="28">
        <v>27</v>
      </c>
      <c r="Q248" s="27" t="s">
        <v>66</v>
      </c>
      <c r="R248" s="27"/>
      <c r="S248" s="48"/>
    </row>
    <row r="249" spans="2:19" x14ac:dyDescent="0.25">
      <c r="B249" s="190"/>
      <c r="C249" s="193"/>
      <c r="D249" s="27" t="s">
        <v>81</v>
      </c>
      <c r="E249" s="28">
        <v>4</v>
      </c>
      <c r="F249" s="28">
        <v>28</v>
      </c>
      <c r="G249" s="27" t="s">
        <v>66</v>
      </c>
      <c r="H249" s="27"/>
      <c r="I249" s="48"/>
      <c r="L249" s="190"/>
      <c r="M249" s="193"/>
      <c r="N249" s="27" t="s">
        <v>81</v>
      </c>
      <c r="O249" s="28">
        <v>4</v>
      </c>
      <c r="P249" s="28">
        <v>28</v>
      </c>
      <c r="Q249" s="27" t="s">
        <v>66</v>
      </c>
      <c r="R249" s="27"/>
      <c r="S249" s="48"/>
    </row>
    <row r="250" spans="2:19" x14ac:dyDescent="0.25">
      <c r="B250" s="190"/>
      <c r="C250" s="193"/>
      <c r="D250" s="27" t="s">
        <v>82</v>
      </c>
      <c r="E250" s="28">
        <v>5</v>
      </c>
      <c r="F250" s="28">
        <v>29</v>
      </c>
      <c r="G250" s="27" t="s">
        <v>66</v>
      </c>
      <c r="H250" s="27"/>
      <c r="I250" s="48"/>
      <c r="L250" s="190"/>
      <c r="M250" s="193"/>
      <c r="N250" s="27" t="s">
        <v>82</v>
      </c>
      <c r="O250" s="28">
        <v>5</v>
      </c>
      <c r="P250" s="28">
        <v>29</v>
      </c>
      <c r="Q250" s="27" t="s">
        <v>66</v>
      </c>
      <c r="R250" s="27"/>
      <c r="S250" s="48"/>
    </row>
    <row r="251" spans="2:19" ht="15.75" thickBot="1" x14ac:dyDescent="0.3">
      <c r="B251" s="190"/>
      <c r="C251" s="194"/>
      <c r="D251" s="27" t="s">
        <v>83</v>
      </c>
      <c r="E251" s="28">
        <v>6</v>
      </c>
      <c r="F251" s="28">
        <v>30</v>
      </c>
      <c r="G251" s="27" t="s">
        <v>66</v>
      </c>
      <c r="H251" s="27"/>
      <c r="I251" s="48"/>
      <c r="L251" s="190"/>
      <c r="M251" s="194"/>
      <c r="N251" s="27" t="s">
        <v>83</v>
      </c>
      <c r="O251" s="28">
        <v>6</v>
      </c>
      <c r="P251" s="28">
        <v>30</v>
      </c>
      <c r="Q251" s="27" t="s">
        <v>66</v>
      </c>
      <c r="R251" s="27"/>
      <c r="S251" s="48"/>
    </row>
    <row r="252" spans="2:19" x14ac:dyDescent="0.25">
      <c r="B252" s="190"/>
      <c r="C252" s="192" t="s">
        <v>84</v>
      </c>
      <c r="D252" s="27" t="s">
        <v>2</v>
      </c>
      <c r="E252" s="28">
        <v>1</v>
      </c>
      <c r="F252" s="28">
        <v>31</v>
      </c>
      <c r="G252" s="27" t="s">
        <v>66</v>
      </c>
      <c r="H252" s="27"/>
      <c r="I252" s="48"/>
      <c r="L252" s="190"/>
      <c r="M252" s="192" t="s">
        <v>84</v>
      </c>
      <c r="N252" s="27" t="s">
        <v>2</v>
      </c>
      <c r="O252" s="28">
        <v>1</v>
      </c>
      <c r="P252" s="28">
        <v>31</v>
      </c>
      <c r="Q252" s="27" t="s">
        <v>66</v>
      </c>
      <c r="R252" s="27"/>
      <c r="S252" s="48"/>
    </row>
    <row r="253" spans="2:19" x14ac:dyDescent="0.25">
      <c r="B253" s="190"/>
      <c r="C253" s="193"/>
      <c r="D253" s="27" t="s">
        <v>3</v>
      </c>
      <c r="E253" s="28">
        <v>2</v>
      </c>
      <c r="F253" s="28">
        <v>32</v>
      </c>
      <c r="G253" s="27" t="s">
        <v>66</v>
      </c>
      <c r="H253" s="27"/>
      <c r="I253" s="48"/>
      <c r="L253" s="190"/>
      <c r="M253" s="193"/>
      <c r="N253" s="27" t="s">
        <v>3</v>
      </c>
      <c r="O253" s="28">
        <v>2</v>
      </c>
      <c r="P253" s="28">
        <v>32</v>
      </c>
      <c r="Q253" s="27" t="s">
        <v>66</v>
      </c>
      <c r="R253" s="27"/>
      <c r="S253" s="48"/>
    </row>
    <row r="254" spans="2:19" x14ac:dyDescent="0.25">
      <c r="B254" s="190"/>
      <c r="C254" s="193"/>
      <c r="D254" s="27" t="s">
        <v>80</v>
      </c>
      <c r="E254" s="28">
        <v>3</v>
      </c>
      <c r="F254" s="28">
        <v>33</v>
      </c>
      <c r="G254" s="27" t="s">
        <v>66</v>
      </c>
      <c r="H254" s="27"/>
      <c r="I254" s="48"/>
      <c r="L254" s="190"/>
      <c r="M254" s="193"/>
      <c r="N254" s="27" t="s">
        <v>80</v>
      </c>
      <c r="O254" s="28">
        <v>3</v>
      </c>
      <c r="P254" s="28">
        <v>33</v>
      </c>
      <c r="Q254" s="27" t="s">
        <v>66</v>
      </c>
      <c r="R254" s="27"/>
      <c r="S254" s="48"/>
    </row>
    <row r="255" spans="2:19" x14ac:dyDescent="0.25">
      <c r="B255" s="190"/>
      <c r="C255" s="193"/>
      <c r="D255" s="27" t="s">
        <v>81</v>
      </c>
      <c r="E255" s="28">
        <v>4</v>
      </c>
      <c r="F255" s="28">
        <v>34</v>
      </c>
      <c r="G255" s="27" t="s">
        <v>66</v>
      </c>
      <c r="H255" s="27"/>
      <c r="I255" s="48"/>
      <c r="L255" s="190"/>
      <c r="M255" s="193"/>
      <c r="N255" s="27" t="s">
        <v>81</v>
      </c>
      <c r="O255" s="28">
        <v>4</v>
      </c>
      <c r="P255" s="28">
        <v>34</v>
      </c>
      <c r="Q255" s="27" t="s">
        <v>66</v>
      </c>
      <c r="R255" s="27"/>
      <c r="S255" s="48"/>
    </row>
    <row r="256" spans="2:19" x14ac:dyDescent="0.25">
      <c r="B256" s="190"/>
      <c r="C256" s="193"/>
      <c r="D256" s="27" t="s">
        <v>82</v>
      </c>
      <c r="E256" s="28">
        <v>5</v>
      </c>
      <c r="F256" s="28">
        <v>35</v>
      </c>
      <c r="G256" s="27" t="s">
        <v>66</v>
      </c>
      <c r="H256" s="27"/>
      <c r="I256" s="48"/>
      <c r="L256" s="190"/>
      <c r="M256" s="193"/>
      <c r="N256" s="27" t="s">
        <v>82</v>
      </c>
      <c r="O256" s="28">
        <v>5</v>
      </c>
      <c r="P256" s="28">
        <v>35</v>
      </c>
      <c r="Q256" s="27" t="s">
        <v>66</v>
      </c>
      <c r="R256" s="27"/>
      <c r="S256" s="48"/>
    </row>
    <row r="257" spans="2:19" ht="15.75" thickBot="1" x14ac:dyDescent="0.3">
      <c r="B257" s="191"/>
      <c r="C257" s="194"/>
      <c r="D257" s="27" t="s">
        <v>83</v>
      </c>
      <c r="E257" s="28">
        <v>6</v>
      </c>
      <c r="F257" s="28">
        <v>36</v>
      </c>
      <c r="G257" s="27" t="s">
        <v>66</v>
      </c>
      <c r="H257" s="27"/>
      <c r="I257" s="48"/>
      <c r="L257" s="191"/>
      <c r="M257" s="194"/>
      <c r="N257" s="27" t="s">
        <v>83</v>
      </c>
      <c r="O257" s="28">
        <v>6</v>
      </c>
      <c r="P257" s="28">
        <v>36</v>
      </c>
      <c r="Q257" s="27" t="s">
        <v>66</v>
      </c>
      <c r="R257" s="27"/>
      <c r="S257" s="48"/>
    </row>
    <row r="258" spans="2:19" x14ac:dyDescent="0.25">
      <c r="B258" s="183" t="s">
        <v>81</v>
      </c>
      <c r="C258" s="186" t="s">
        <v>77</v>
      </c>
      <c r="D258" s="29" t="s">
        <v>2</v>
      </c>
      <c r="E258" s="30">
        <v>1</v>
      </c>
      <c r="F258" s="30">
        <v>37</v>
      </c>
      <c r="G258" s="29" t="s">
        <v>66</v>
      </c>
      <c r="H258" s="29"/>
      <c r="I258" s="49"/>
      <c r="L258" s="183" t="s">
        <v>81</v>
      </c>
      <c r="M258" s="186" t="s">
        <v>77</v>
      </c>
      <c r="N258" s="29" t="s">
        <v>2</v>
      </c>
      <c r="O258" s="30">
        <v>1</v>
      </c>
      <c r="P258" s="30">
        <v>37</v>
      </c>
      <c r="Q258" s="29" t="s">
        <v>66</v>
      </c>
      <c r="R258" s="29"/>
      <c r="S258" s="49"/>
    </row>
    <row r="259" spans="2:19" x14ac:dyDescent="0.25">
      <c r="B259" s="184"/>
      <c r="C259" s="187"/>
      <c r="D259" s="29" t="s">
        <v>3</v>
      </c>
      <c r="E259" s="30">
        <v>2</v>
      </c>
      <c r="F259" s="30">
        <v>38</v>
      </c>
      <c r="G259" s="29" t="s">
        <v>66</v>
      </c>
      <c r="H259" s="29"/>
      <c r="I259" s="49"/>
      <c r="L259" s="184"/>
      <c r="M259" s="187"/>
      <c r="N259" s="29" t="s">
        <v>3</v>
      </c>
      <c r="O259" s="30">
        <v>2</v>
      </c>
      <c r="P259" s="30">
        <v>38</v>
      </c>
      <c r="Q259" s="29" t="s">
        <v>66</v>
      </c>
      <c r="R259" s="29"/>
      <c r="S259" s="49"/>
    </row>
    <row r="260" spans="2:19" x14ac:dyDescent="0.25">
      <c r="B260" s="184"/>
      <c r="C260" s="187"/>
      <c r="D260" s="29" t="s">
        <v>80</v>
      </c>
      <c r="E260" s="30">
        <v>3</v>
      </c>
      <c r="F260" s="30">
        <v>39</v>
      </c>
      <c r="G260" s="29" t="s">
        <v>66</v>
      </c>
      <c r="H260" s="29"/>
      <c r="I260" s="49"/>
      <c r="L260" s="184"/>
      <c r="M260" s="187"/>
      <c r="N260" s="29" t="s">
        <v>80</v>
      </c>
      <c r="O260" s="30">
        <v>3</v>
      </c>
      <c r="P260" s="30">
        <v>39</v>
      </c>
      <c r="Q260" s="29" t="s">
        <v>66</v>
      </c>
      <c r="R260" s="29"/>
      <c r="S260" s="49"/>
    </row>
    <row r="261" spans="2:19" x14ac:dyDescent="0.25">
      <c r="B261" s="184"/>
      <c r="C261" s="187"/>
      <c r="D261" s="29" t="s">
        <v>81</v>
      </c>
      <c r="E261" s="30">
        <v>4</v>
      </c>
      <c r="F261" s="30">
        <v>40</v>
      </c>
      <c r="G261" s="29" t="s">
        <v>66</v>
      </c>
      <c r="H261" s="29"/>
      <c r="I261" s="49"/>
      <c r="L261" s="184"/>
      <c r="M261" s="187"/>
      <c r="N261" s="29" t="s">
        <v>81</v>
      </c>
      <c r="O261" s="30">
        <v>4</v>
      </c>
      <c r="P261" s="30">
        <v>40</v>
      </c>
      <c r="Q261" s="29" t="s">
        <v>66</v>
      </c>
      <c r="R261" s="29"/>
      <c r="S261" s="49"/>
    </row>
    <row r="262" spans="2:19" x14ac:dyDescent="0.25">
      <c r="B262" s="184"/>
      <c r="C262" s="187"/>
      <c r="D262" s="29" t="s">
        <v>82</v>
      </c>
      <c r="E262" s="30">
        <v>5</v>
      </c>
      <c r="F262" s="30">
        <v>41</v>
      </c>
      <c r="G262" s="29" t="s">
        <v>66</v>
      </c>
      <c r="H262" s="29"/>
      <c r="I262" s="49"/>
      <c r="L262" s="184"/>
      <c r="M262" s="187"/>
      <c r="N262" s="29" t="s">
        <v>82</v>
      </c>
      <c r="O262" s="30">
        <v>5</v>
      </c>
      <c r="P262" s="30">
        <v>41</v>
      </c>
      <c r="Q262" s="29" t="s">
        <v>66</v>
      </c>
      <c r="R262" s="29"/>
      <c r="S262" s="49"/>
    </row>
    <row r="263" spans="2:19" ht="15.75" thickBot="1" x14ac:dyDescent="0.3">
      <c r="B263" s="184"/>
      <c r="C263" s="188"/>
      <c r="D263" s="29" t="s">
        <v>83</v>
      </c>
      <c r="E263" s="30">
        <v>6</v>
      </c>
      <c r="F263" s="30">
        <v>42</v>
      </c>
      <c r="G263" s="29" t="s">
        <v>66</v>
      </c>
      <c r="H263" s="29"/>
      <c r="I263" s="49"/>
      <c r="L263" s="184"/>
      <c r="M263" s="188"/>
      <c r="N263" s="29" t="s">
        <v>83</v>
      </c>
      <c r="O263" s="30">
        <v>6</v>
      </c>
      <c r="P263" s="30">
        <v>42</v>
      </c>
      <c r="Q263" s="29" t="s">
        <v>66</v>
      </c>
      <c r="R263" s="29"/>
      <c r="S263" s="49"/>
    </row>
    <row r="264" spans="2:19" x14ac:dyDescent="0.25">
      <c r="B264" s="184"/>
      <c r="C264" s="186" t="s">
        <v>84</v>
      </c>
      <c r="D264" s="29" t="s">
        <v>2</v>
      </c>
      <c r="E264" s="30">
        <v>1</v>
      </c>
      <c r="F264" s="30">
        <v>43</v>
      </c>
      <c r="G264" s="29" t="s">
        <v>66</v>
      </c>
      <c r="H264" s="29"/>
      <c r="I264" s="49"/>
      <c r="L264" s="184"/>
      <c r="M264" s="186" t="s">
        <v>84</v>
      </c>
      <c r="N264" s="29" t="s">
        <v>2</v>
      </c>
      <c r="O264" s="30">
        <v>1</v>
      </c>
      <c r="P264" s="30">
        <v>43</v>
      </c>
      <c r="Q264" s="29" t="s">
        <v>66</v>
      </c>
      <c r="R264" s="29"/>
      <c r="S264" s="49"/>
    </row>
    <row r="265" spans="2:19" x14ac:dyDescent="0.25">
      <c r="B265" s="184"/>
      <c r="C265" s="187"/>
      <c r="D265" s="29" t="s">
        <v>3</v>
      </c>
      <c r="E265" s="30">
        <v>2</v>
      </c>
      <c r="F265" s="30">
        <v>44</v>
      </c>
      <c r="G265" s="29" t="s">
        <v>66</v>
      </c>
      <c r="H265" s="29"/>
      <c r="I265" s="49"/>
      <c r="L265" s="184"/>
      <c r="M265" s="187"/>
      <c r="N265" s="29" t="s">
        <v>3</v>
      </c>
      <c r="O265" s="30">
        <v>2</v>
      </c>
      <c r="P265" s="30">
        <v>44</v>
      </c>
      <c r="Q265" s="29" t="s">
        <v>66</v>
      </c>
      <c r="R265" s="29"/>
      <c r="S265" s="49"/>
    </row>
    <row r="266" spans="2:19" x14ac:dyDescent="0.25">
      <c r="B266" s="184"/>
      <c r="C266" s="187"/>
      <c r="D266" s="29" t="s">
        <v>80</v>
      </c>
      <c r="E266" s="30">
        <v>3</v>
      </c>
      <c r="F266" s="30">
        <v>45</v>
      </c>
      <c r="G266" s="29" t="s">
        <v>66</v>
      </c>
      <c r="H266" s="29"/>
      <c r="I266" s="49"/>
      <c r="L266" s="184"/>
      <c r="M266" s="187"/>
      <c r="N266" s="29" t="s">
        <v>80</v>
      </c>
      <c r="O266" s="30">
        <v>3</v>
      </c>
      <c r="P266" s="30">
        <v>45</v>
      </c>
      <c r="Q266" s="29" t="s">
        <v>66</v>
      </c>
      <c r="R266" s="29"/>
      <c r="S266" s="49"/>
    </row>
    <row r="267" spans="2:19" x14ac:dyDescent="0.25">
      <c r="B267" s="184"/>
      <c r="C267" s="187"/>
      <c r="D267" s="29" t="s">
        <v>81</v>
      </c>
      <c r="E267" s="30">
        <v>4</v>
      </c>
      <c r="F267" s="30">
        <v>46</v>
      </c>
      <c r="G267" s="29" t="s">
        <v>66</v>
      </c>
      <c r="H267" s="29"/>
      <c r="I267" s="49"/>
      <c r="L267" s="184"/>
      <c r="M267" s="187"/>
      <c r="N267" s="29" t="s">
        <v>81</v>
      </c>
      <c r="O267" s="30">
        <v>4</v>
      </c>
      <c r="P267" s="30">
        <v>46</v>
      </c>
      <c r="Q267" s="29" t="s">
        <v>66</v>
      </c>
      <c r="R267" s="29"/>
      <c r="S267" s="49"/>
    </row>
    <row r="268" spans="2:19" x14ac:dyDescent="0.25">
      <c r="B268" s="184"/>
      <c r="C268" s="187"/>
      <c r="D268" s="29" t="s">
        <v>82</v>
      </c>
      <c r="E268" s="30">
        <v>5</v>
      </c>
      <c r="F268" s="30">
        <v>47</v>
      </c>
      <c r="G268" s="29" t="s">
        <v>66</v>
      </c>
      <c r="H268" s="29"/>
      <c r="I268" s="49"/>
      <c r="L268" s="184"/>
      <c r="M268" s="187"/>
      <c r="N268" s="29" t="s">
        <v>82</v>
      </c>
      <c r="O268" s="30">
        <v>5</v>
      </c>
      <c r="P268" s="30">
        <v>47</v>
      </c>
      <c r="Q268" s="29" t="s">
        <v>66</v>
      </c>
      <c r="R268" s="29"/>
      <c r="S268" s="49"/>
    </row>
    <row r="269" spans="2:19" ht="15.75" thickBot="1" x14ac:dyDescent="0.3">
      <c r="B269" s="185"/>
      <c r="C269" s="188"/>
      <c r="D269" s="29" t="s">
        <v>83</v>
      </c>
      <c r="E269" s="30">
        <v>6</v>
      </c>
      <c r="F269" s="30">
        <v>48</v>
      </c>
      <c r="G269" s="29" t="s">
        <v>66</v>
      </c>
      <c r="H269" s="29"/>
      <c r="I269" s="49"/>
      <c r="L269" s="185"/>
      <c r="M269" s="188"/>
      <c r="N269" s="29" t="s">
        <v>83</v>
      </c>
      <c r="O269" s="30">
        <v>6</v>
      </c>
      <c r="P269" s="30">
        <v>48</v>
      </c>
      <c r="Q269" s="29" t="s">
        <v>66</v>
      </c>
      <c r="R269" s="29"/>
      <c r="S269" s="49"/>
    </row>
    <row r="270" spans="2:19" ht="15.75" thickBot="1" x14ac:dyDescent="0.3"/>
    <row r="271" spans="2:19" ht="15.75" thickBot="1" x14ac:dyDescent="0.3">
      <c r="B271" s="171" t="s">
        <v>262</v>
      </c>
      <c r="C271" s="172"/>
      <c r="D271" s="172"/>
      <c r="E271" s="172"/>
      <c r="F271" s="172"/>
      <c r="G271" s="172"/>
      <c r="H271" s="172"/>
      <c r="I271" s="173"/>
      <c r="L271" s="171" t="s">
        <v>263</v>
      </c>
      <c r="M271" s="172"/>
      <c r="N271" s="172"/>
      <c r="O271" s="172"/>
      <c r="P271" s="172"/>
      <c r="Q271" s="172"/>
      <c r="R271" s="172"/>
      <c r="S271" s="173"/>
    </row>
    <row r="273" spans="2:19" ht="26.25" thickBot="1" x14ac:dyDescent="0.3">
      <c r="B273" s="15" t="s">
        <v>70</v>
      </c>
      <c r="C273" s="16" t="s">
        <v>71</v>
      </c>
      <c r="D273" s="15" t="s">
        <v>72</v>
      </c>
      <c r="E273" s="17" t="s">
        <v>73</v>
      </c>
      <c r="F273" s="17" t="s">
        <v>74</v>
      </c>
      <c r="G273" s="15" t="s">
        <v>75</v>
      </c>
      <c r="H273" s="15" t="s">
        <v>55</v>
      </c>
      <c r="I273" s="15" t="s">
        <v>76</v>
      </c>
      <c r="L273" s="15" t="s">
        <v>70</v>
      </c>
      <c r="M273" s="16" t="s">
        <v>71</v>
      </c>
      <c r="N273" s="15" t="s">
        <v>72</v>
      </c>
      <c r="O273" s="17" t="s">
        <v>73</v>
      </c>
      <c r="P273" s="17" t="s">
        <v>74</v>
      </c>
      <c r="Q273" s="15" t="s">
        <v>75</v>
      </c>
      <c r="R273" s="15" t="s">
        <v>55</v>
      </c>
      <c r="S273" s="15" t="s">
        <v>76</v>
      </c>
    </row>
    <row r="274" spans="2:19" x14ac:dyDescent="0.25">
      <c r="B274" s="174" t="s">
        <v>2</v>
      </c>
      <c r="C274" s="168" t="s">
        <v>77</v>
      </c>
      <c r="D274" s="18" t="s">
        <v>2</v>
      </c>
      <c r="E274" s="19">
        <v>1</v>
      </c>
      <c r="F274" s="19">
        <v>1</v>
      </c>
      <c r="G274" s="18" t="s">
        <v>78</v>
      </c>
      <c r="H274" s="156" t="s">
        <v>79</v>
      </c>
      <c r="I274" s="165" t="s">
        <v>160</v>
      </c>
      <c r="L274" s="174" t="s">
        <v>2</v>
      </c>
      <c r="M274" s="168" t="s">
        <v>77</v>
      </c>
      <c r="N274" s="18" t="s">
        <v>2</v>
      </c>
      <c r="O274" s="19">
        <v>1</v>
      </c>
      <c r="P274" s="19">
        <v>1</v>
      </c>
      <c r="Q274" s="18" t="s">
        <v>78</v>
      </c>
      <c r="R274" s="156" t="s">
        <v>79</v>
      </c>
      <c r="S274" s="165" t="s">
        <v>162</v>
      </c>
    </row>
    <row r="275" spans="2:19" x14ac:dyDescent="0.25">
      <c r="B275" s="175"/>
      <c r="C275" s="169"/>
      <c r="D275" s="18" t="s">
        <v>3</v>
      </c>
      <c r="E275" s="19">
        <v>2</v>
      </c>
      <c r="F275" s="19">
        <v>2</v>
      </c>
      <c r="G275" s="18" t="s">
        <v>78</v>
      </c>
      <c r="H275" s="157"/>
      <c r="I275" s="166"/>
      <c r="L275" s="175"/>
      <c r="M275" s="169"/>
      <c r="N275" s="18" t="s">
        <v>3</v>
      </c>
      <c r="O275" s="19">
        <v>2</v>
      </c>
      <c r="P275" s="19">
        <v>2</v>
      </c>
      <c r="Q275" s="18" t="s">
        <v>78</v>
      </c>
      <c r="R275" s="157"/>
      <c r="S275" s="166"/>
    </row>
    <row r="276" spans="2:19" x14ac:dyDescent="0.25">
      <c r="B276" s="175"/>
      <c r="C276" s="169"/>
      <c r="D276" s="18" t="s">
        <v>80</v>
      </c>
      <c r="E276" s="20">
        <v>3</v>
      </c>
      <c r="F276" s="20">
        <v>3</v>
      </c>
      <c r="G276" s="18" t="s">
        <v>66</v>
      </c>
      <c r="H276" s="157"/>
      <c r="I276" s="166"/>
      <c r="L276" s="175"/>
      <c r="M276" s="169"/>
      <c r="N276" s="18" t="s">
        <v>80</v>
      </c>
      <c r="O276" s="20">
        <v>3</v>
      </c>
      <c r="P276" s="20">
        <v>3</v>
      </c>
      <c r="Q276" s="18" t="s">
        <v>66</v>
      </c>
      <c r="R276" s="157"/>
      <c r="S276" s="166"/>
    </row>
    <row r="277" spans="2:19" x14ac:dyDescent="0.25">
      <c r="B277" s="175"/>
      <c r="C277" s="169"/>
      <c r="D277" s="18" t="s">
        <v>81</v>
      </c>
      <c r="E277" s="20">
        <v>4</v>
      </c>
      <c r="F277" s="20">
        <v>4</v>
      </c>
      <c r="G277" s="18" t="s">
        <v>66</v>
      </c>
      <c r="H277" s="157"/>
      <c r="I277" s="166"/>
      <c r="L277" s="175"/>
      <c r="M277" s="169"/>
      <c r="N277" s="18" t="s">
        <v>81</v>
      </c>
      <c r="O277" s="20">
        <v>4</v>
      </c>
      <c r="P277" s="20">
        <v>4</v>
      </c>
      <c r="Q277" s="18" t="s">
        <v>66</v>
      </c>
      <c r="R277" s="157"/>
      <c r="S277" s="166"/>
    </row>
    <row r="278" spans="2:19" x14ac:dyDescent="0.25">
      <c r="B278" s="175"/>
      <c r="C278" s="169"/>
      <c r="D278" s="18" t="s">
        <v>82</v>
      </c>
      <c r="E278" s="20">
        <v>5</v>
      </c>
      <c r="F278" s="20">
        <v>5</v>
      </c>
      <c r="G278" s="18" t="s">
        <v>66</v>
      </c>
      <c r="H278" s="157"/>
      <c r="I278" s="166"/>
      <c r="L278" s="175"/>
      <c r="M278" s="169"/>
      <c r="N278" s="18" t="s">
        <v>82</v>
      </c>
      <c r="O278" s="20">
        <v>5</v>
      </c>
      <c r="P278" s="20">
        <v>5</v>
      </c>
      <c r="Q278" s="18" t="s">
        <v>66</v>
      </c>
      <c r="R278" s="157"/>
      <c r="S278" s="166"/>
    </row>
    <row r="279" spans="2:19" ht="15.75" thickBot="1" x14ac:dyDescent="0.3">
      <c r="B279" s="175"/>
      <c r="C279" s="170"/>
      <c r="D279" s="18" t="s">
        <v>83</v>
      </c>
      <c r="E279" s="20">
        <v>6</v>
      </c>
      <c r="F279" s="20">
        <v>6</v>
      </c>
      <c r="G279" s="18" t="s">
        <v>66</v>
      </c>
      <c r="H279" s="158"/>
      <c r="I279" s="167"/>
      <c r="L279" s="175"/>
      <c r="M279" s="170"/>
      <c r="N279" s="18" t="s">
        <v>83</v>
      </c>
      <c r="O279" s="20">
        <v>6</v>
      </c>
      <c r="P279" s="20">
        <v>6</v>
      </c>
      <c r="Q279" s="18" t="s">
        <v>66</v>
      </c>
      <c r="R279" s="158"/>
      <c r="S279" s="167"/>
    </row>
    <row r="280" spans="2:19" x14ac:dyDescent="0.25">
      <c r="B280" s="175"/>
      <c r="C280" s="168" t="s">
        <v>84</v>
      </c>
      <c r="D280" s="18" t="s">
        <v>2</v>
      </c>
      <c r="E280" s="19">
        <v>1</v>
      </c>
      <c r="F280" s="19">
        <v>7</v>
      </c>
      <c r="G280" s="18" t="s">
        <v>66</v>
      </c>
      <c r="H280" s="32"/>
      <c r="I280" s="50"/>
      <c r="L280" s="175"/>
      <c r="M280" s="168" t="s">
        <v>84</v>
      </c>
      <c r="N280" s="18" t="s">
        <v>2</v>
      </c>
      <c r="O280" s="19">
        <v>1</v>
      </c>
      <c r="P280" s="19">
        <v>7</v>
      </c>
      <c r="Q280" s="18" t="s">
        <v>66</v>
      </c>
      <c r="R280" s="32"/>
      <c r="S280" s="50"/>
    </row>
    <row r="281" spans="2:19" x14ac:dyDescent="0.25">
      <c r="B281" s="175"/>
      <c r="C281" s="169"/>
      <c r="D281" s="18" t="s">
        <v>3</v>
      </c>
      <c r="E281" s="19">
        <v>2</v>
      </c>
      <c r="F281" s="19">
        <v>8</v>
      </c>
      <c r="G281" s="18" t="s">
        <v>66</v>
      </c>
      <c r="H281" s="32"/>
      <c r="I281" s="50"/>
      <c r="L281" s="175"/>
      <c r="M281" s="169"/>
      <c r="N281" s="18" t="s">
        <v>3</v>
      </c>
      <c r="O281" s="19">
        <v>2</v>
      </c>
      <c r="P281" s="19">
        <v>8</v>
      </c>
      <c r="Q281" s="18" t="s">
        <v>66</v>
      </c>
      <c r="R281" s="32"/>
      <c r="S281" s="50"/>
    </row>
    <row r="282" spans="2:19" x14ac:dyDescent="0.25">
      <c r="B282" s="175"/>
      <c r="C282" s="169"/>
      <c r="D282" s="18" t="s">
        <v>80</v>
      </c>
      <c r="E282" s="20">
        <v>3</v>
      </c>
      <c r="F282" s="20">
        <v>9</v>
      </c>
      <c r="G282" s="18" t="s">
        <v>66</v>
      </c>
      <c r="H282" s="32"/>
      <c r="I282" s="50"/>
      <c r="L282" s="175"/>
      <c r="M282" s="169"/>
      <c r="N282" s="18" t="s">
        <v>80</v>
      </c>
      <c r="O282" s="20">
        <v>3</v>
      </c>
      <c r="P282" s="20">
        <v>9</v>
      </c>
      <c r="Q282" s="18" t="s">
        <v>66</v>
      </c>
      <c r="R282" s="32"/>
      <c r="S282" s="50"/>
    </row>
    <row r="283" spans="2:19" x14ac:dyDescent="0.25">
      <c r="B283" s="175"/>
      <c r="C283" s="169"/>
      <c r="D283" s="18" t="s">
        <v>81</v>
      </c>
      <c r="E283" s="20">
        <v>4</v>
      </c>
      <c r="F283" s="20">
        <v>10</v>
      </c>
      <c r="G283" s="18" t="s">
        <v>66</v>
      </c>
      <c r="H283" s="32"/>
      <c r="I283" s="50"/>
      <c r="L283" s="175"/>
      <c r="M283" s="169"/>
      <c r="N283" s="18" t="s">
        <v>81</v>
      </c>
      <c r="O283" s="20">
        <v>4</v>
      </c>
      <c r="P283" s="20">
        <v>10</v>
      </c>
      <c r="Q283" s="18" t="s">
        <v>66</v>
      </c>
      <c r="R283" s="32"/>
      <c r="S283" s="50"/>
    </row>
    <row r="284" spans="2:19" x14ac:dyDescent="0.25">
      <c r="B284" s="175"/>
      <c r="C284" s="169"/>
      <c r="D284" s="18" t="s">
        <v>82</v>
      </c>
      <c r="E284" s="20">
        <v>5</v>
      </c>
      <c r="F284" s="20">
        <v>11</v>
      </c>
      <c r="G284" s="18" t="s">
        <v>66</v>
      </c>
      <c r="H284" s="32"/>
      <c r="I284" s="50"/>
      <c r="L284" s="175"/>
      <c r="M284" s="169"/>
      <c r="N284" s="18" t="s">
        <v>82</v>
      </c>
      <c r="O284" s="20">
        <v>5</v>
      </c>
      <c r="P284" s="20">
        <v>11</v>
      </c>
      <c r="Q284" s="18" t="s">
        <v>66</v>
      </c>
      <c r="R284" s="32"/>
      <c r="S284" s="50"/>
    </row>
    <row r="285" spans="2:19" ht="15.75" thickBot="1" x14ac:dyDescent="0.3">
      <c r="B285" s="176"/>
      <c r="C285" s="170"/>
      <c r="D285" s="18" t="s">
        <v>83</v>
      </c>
      <c r="E285" s="20">
        <v>6</v>
      </c>
      <c r="F285" s="20">
        <v>12</v>
      </c>
      <c r="G285" s="18" t="s">
        <v>66</v>
      </c>
      <c r="H285" s="32"/>
      <c r="I285" s="50"/>
      <c r="L285" s="176"/>
      <c r="M285" s="170"/>
      <c r="N285" s="18" t="s">
        <v>83</v>
      </c>
      <c r="O285" s="20">
        <v>6</v>
      </c>
      <c r="P285" s="20">
        <v>12</v>
      </c>
      <c r="Q285" s="18" t="s">
        <v>66</v>
      </c>
      <c r="R285" s="32"/>
      <c r="S285" s="50"/>
    </row>
    <row r="286" spans="2:19" x14ac:dyDescent="0.25">
      <c r="B286" s="180" t="s">
        <v>3</v>
      </c>
      <c r="C286" s="177" t="s">
        <v>77</v>
      </c>
      <c r="D286" s="21" t="s">
        <v>2</v>
      </c>
      <c r="E286" s="22">
        <v>1</v>
      </c>
      <c r="F286" s="22">
        <v>13</v>
      </c>
      <c r="G286" s="21" t="s">
        <v>66</v>
      </c>
      <c r="H286" s="21"/>
      <c r="I286" s="51"/>
      <c r="L286" s="180" t="s">
        <v>3</v>
      </c>
      <c r="M286" s="177" t="s">
        <v>77</v>
      </c>
      <c r="N286" s="21" t="s">
        <v>2</v>
      </c>
      <c r="O286" s="22">
        <v>1</v>
      </c>
      <c r="P286" s="22">
        <v>13</v>
      </c>
      <c r="Q286" s="21" t="s">
        <v>66</v>
      </c>
      <c r="R286" s="21"/>
      <c r="S286" s="51"/>
    </row>
    <row r="287" spans="2:19" x14ac:dyDescent="0.25">
      <c r="B287" s="181"/>
      <c r="C287" s="178"/>
      <c r="D287" s="23" t="s">
        <v>3</v>
      </c>
      <c r="E287" s="24">
        <v>2</v>
      </c>
      <c r="F287" s="24">
        <v>14</v>
      </c>
      <c r="G287" s="23" t="s">
        <v>66</v>
      </c>
      <c r="H287" s="23"/>
      <c r="I287" s="47"/>
      <c r="L287" s="181"/>
      <c r="M287" s="178"/>
      <c r="N287" s="23" t="s">
        <v>3</v>
      </c>
      <c r="O287" s="24">
        <v>2</v>
      </c>
      <c r="P287" s="24">
        <v>14</v>
      </c>
      <c r="Q287" s="23" t="s">
        <v>66</v>
      </c>
      <c r="R287" s="23"/>
      <c r="S287" s="47"/>
    </row>
    <row r="288" spans="2:19" x14ac:dyDescent="0.25">
      <c r="B288" s="181"/>
      <c r="C288" s="178"/>
      <c r="D288" s="23" t="s">
        <v>80</v>
      </c>
      <c r="E288" s="24">
        <v>3</v>
      </c>
      <c r="F288" s="24">
        <v>15</v>
      </c>
      <c r="G288" s="23" t="s">
        <v>66</v>
      </c>
      <c r="H288" s="23"/>
      <c r="I288" s="47"/>
      <c r="L288" s="181"/>
      <c r="M288" s="178"/>
      <c r="N288" s="23" t="s">
        <v>80</v>
      </c>
      <c r="O288" s="24">
        <v>3</v>
      </c>
      <c r="P288" s="24">
        <v>15</v>
      </c>
      <c r="Q288" s="23" t="s">
        <v>66</v>
      </c>
      <c r="R288" s="23"/>
      <c r="S288" s="47"/>
    </row>
    <row r="289" spans="2:19" x14ac:dyDescent="0.25">
      <c r="B289" s="181"/>
      <c r="C289" s="178"/>
      <c r="D289" s="23" t="s">
        <v>81</v>
      </c>
      <c r="E289" s="24">
        <v>4</v>
      </c>
      <c r="F289" s="24">
        <v>16</v>
      </c>
      <c r="G289" s="23" t="s">
        <v>66</v>
      </c>
      <c r="H289" s="23"/>
      <c r="I289" s="47"/>
      <c r="L289" s="181"/>
      <c r="M289" s="178"/>
      <c r="N289" s="23" t="s">
        <v>81</v>
      </c>
      <c r="O289" s="24">
        <v>4</v>
      </c>
      <c r="P289" s="24">
        <v>16</v>
      </c>
      <c r="Q289" s="23" t="s">
        <v>66</v>
      </c>
      <c r="R289" s="23"/>
      <c r="S289" s="47"/>
    </row>
    <row r="290" spans="2:19" x14ac:dyDescent="0.25">
      <c r="B290" s="181"/>
      <c r="C290" s="178"/>
      <c r="D290" s="23" t="s">
        <v>82</v>
      </c>
      <c r="E290" s="24">
        <v>5</v>
      </c>
      <c r="F290" s="24">
        <v>17</v>
      </c>
      <c r="G290" s="23" t="s">
        <v>66</v>
      </c>
      <c r="H290" s="23"/>
      <c r="I290" s="47"/>
      <c r="L290" s="181"/>
      <c r="M290" s="178"/>
      <c r="N290" s="23" t="s">
        <v>82</v>
      </c>
      <c r="O290" s="24">
        <v>5</v>
      </c>
      <c r="P290" s="24">
        <v>17</v>
      </c>
      <c r="Q290" s="23" t="s">
        <v>66</v>
      </c>
      <c r="R290" s="23"/>
      <c r="S290" s="47"/>
    </row>
    <row r="291" spans="2:19" ht="15.75" thickBot="1" x14ac:dyDescent="0.3">
      <c r="B291" s="181"/>
      <c r="C291" s="179"/>
      <c r="D291" s="23" t="s">
        <v>83</v>
      </c>
      <c r="E291" s="24">
        <v>6</v>
      </c>
      <c r="F291" s="24">
        <v>18</v>
      </c>
      <c r="G291" s="23" t="s">
        <v>66</v>
      </c>
      <c r="H291" s="23"/>
      <c r="I291" s="47"/>
      <c r="L291" s="181"/>
      <c r="M291" s="179"/>
      <c r="N291" s="23" t="s">
        <v>83</v>
      </c>
      <c r="O291" s="24">
        <v>6</v>
      </c>
      <c r="P291" s="24">
        <v>18</v>
      </c>
      <c r="Q291" s="23" t="s">
        <v>66</v>
      </c>
      <c r="R291" s="23"/>
      <c r="S291" s="47"/>
    </row>
    <row r="292" spans="2:19" x14ac:dyDescent="0.25">
      <c r="B292" s="181"/>
      <c r="C292" s="177" t="s">
        <v>84</v>
      </c>
      <c r="D292" s="23" t="s">
        <v>2</v>
      </c>
      <c r="E292" s="24">
        <v>1</v>
      </c>
      <c r="F292" s="24">
        <v>19</v>
      </c>
      <c r="G292" s="23" t="s">
        <v>66</v>
      </c>
      <c r="H292" s="23"/>
      <c r="I292" s="47"/>
      <c r="L292" s="181"/>
      <c r="M292" s="177" t="s">
        <v>84</v>
      </c>
      <c r="N292" s="23" t="s">
        <v>2</v>
      </c>
      <c r="O292" s="24">
        <v>1</v>
      </c>
      <c r="P292" s="24">
        <v>19</v>
      </c>
      <c r="Q292" s="23" t="s">
        <v>66</v>
      </c>
      <c r="R292" s="23"/>
      <c r="S292" s="47"/>
    </row>
    <row r="293" spans="2:19" x14ac:dyDescent="0.25">
      <c r="B293" s="181"/>
      <c r="C293" s="178"/>
      <c r="D293" s="23" t="s">
        <v>3</v>
      </c>
      <c r="E293" s="24">
        <v>2</v>
      </c>
      <c r="F293" s="24">
        <v>20</v>
      </c>
      <c r="G293" s="23" t="s">
        <v>66</v>
      </c>
      <c r="H293" s="23"/>
      <c r="I293" s="47"/>
      <c r="L293" s="181"/>
      <c r="M293" s="178"/>
      <c r="N293" s="23" t="s">
        <v>3</v>
      </c>
      <c r="O293" s="24">
        <v>2</v>
      </c>
      <c r="P293" s="24">
        <v>20</v>
      </c>
      <c r="Q293" s="23" t="s">
        <v>66</v>
      </c>
      <c r="R293" s="23"/>
      <c r="S293" s="47"/>
    </row>
    <row r="294" spans="2:19" x14ac:dyDescent="0.25">
      <c r="B294" s="181"/>
      <c r="C294" s="178"/>
      <c r="D294" s="23" t="s">
        <v>80</v>
      </c>
      <c r="E294" s="26">
        <v>3</v>
      </c>
      <c r="F294" s="24">
        <v>21</v>
      </c>
      <c r="G294" s="23" t="s">
        <v>66</v>
      </c>
      <c r="H294" s="23"/>
      <c r="I294" s="47"/>
      <c r="L294" s="181"/>
      <c r="M294" s="178"/>
      <c r="N294" s="23" t="s">
        <v>80</v>
      </c>
      <c r="O294" s="26">
        <v>3</v>
      </c>
      <c r="P294" s="24">
        <v>21</v>
      </c>
      <c r="Q294" s="23" t="s">
        <v>66</v>
      </c>
      <c r="R294" s="23"/>
      <c r="S294" s="47"/>
    </row>
    <row r="295" spans="2:19" x14ac:dyDescent="0.25">
      <c r="B295" s="181"/>
      <c r="C295" s="178"/>
      <c r="D295" s="23" t="s">
        <v>81</v>
      </c>
      <c r="E295" s="24">
        <v>4</v>
      </c>
      <c r="F295" s="24">
        <v>22</v>
      </c>
      <c r="G295" s="23" t="s">
        <v>66</v>
      </c>
      <c r="H295" s="23"/>
      <c r="I295" s="47"/>
      <c r="L295" s="181"/>
      <c r="M295" s="178"/>
      <c r="N295" s="23" t="s">
        <v>81</v>
      </c>
      <c r="O295" s="24">
        <v>4</v>
      </c>
      <c r="P295" s="24">
        <v>22</v>
      </c>
      <c r="Q295" s="23" t="s">
        <v>66</v>
      </c>
      <c r="R295" s="23"/>
      <c r="S295" s="47"/>
    </row>
    <row r="296" spans="2:19" x14ac:dyDescent="0.25">
      <c r="B296" s="181"/>
      <c r="C296" s="178"/>
      <c r="D296" s="23" t="s">
        <v>82</v>
      </c>
      <c r="E296" s="24">
        <v>5</v>
      </c>
      <c r="F296" s="24">
        <v>23</v>
      </c>
      <c r="G296" s="23" t="s">
        <v>66</v>
      </c>
      <c r="H296" s="23"/>
      <c r="I296" s="47"/>
      <c r="L296" s="181"/>
      <c r="M296" s="178"/>
      <c r="N296" s="23" t="s">
        <v>82</v>
      </c>
      <c r="O296" s="24">
        <v>5</v>
      </c>
      <c r="P296" s="24">
        <v>23</v>
      </c>
      <c r="Q296" s="23" t="s">
        <v>66</v>
      </c>
      <c r="R296" s="23"/>
      <c r="S296" s="47"/>
    </row>
    <row r="297" spans="2:19" ht="15.75" thickBot="1" x14ac:dyDescent="0.3">
      <c r="B297" s="182"/>
      <c r="C297" s="179"/>
      <c r="D297" s="23" t="s">
        <v>83</v>
      </c>
      <c r="E297" s="24">
        <v>6</v>
      </c>
      <c r="F297" s="24">
        <v>24</v>
      </c>
      <c r="G297" s="23" t="s">
        <v>66</v>
      </c>
      <c r="H297" s="23"/>
      <c r="I297" s="47"/>
      <c r="L297" s="182"/>
      <c r="M297" s="179"/>
      <c r="N297" s="23" t="s">
        <v>83</v>
      </c>
      <c r="O297" s="24">
        <v>6</v>
      </c>
      <c r="P297" s="24">
        <v>24</v>
      </c>
      <c r="Q297" s="23" t="s">
        <v>66</v>
      </c>
      <c r="R297" s="23"/>
      <c r="S297" s="47"/>
    </row>
    <row r="298" spans="2:19" x14ac:dyDescent="0.25">
      <c r="B298" s="189" t="s">
        <v>80</v>
      </c>
      <c r="C298" s="192" t="s">
        <v>77</v>
      </c>
      <c r="D298" s="27" t="s">
        <v>2</v>
      </c>
      <c r="E298" s="28">
        <v>1</v>
      </c>
      <c r="F298" s="28">
        <v>25</v>
      </c>
      <c r="G298" s="27" t="s">
        <v>66</v>
      </c>
      <c r="H298" s="27"/>
      <c r="I298" s="48"/>
      <c r="L298" s="189" t="s">
        <v>80</v>
      </c>
      <c r="M298" s="192" t="s">
        <v>77</v>
      </c>
      <c r="N298" s="27" t="s">
        <v>2</v>
      </c>
      <c r="O298" s="28">
        <v>1</v>
      </c>
      <c r="P298" s="28">
        <v>25</v>
      </c>
      <c r="Q298" s="27" t="s">
        <v>66</v>
      </c>
      <c r="R298" s="27"/>
      <c r="S298" s="48"/>
    </row>
    <row r="299" spans="2:19" x14ac:dyDescent="0.25">
      <c r="B299" s="190"/>
      <c r="C299" s="193"/>
      <c r="D299" s="27" t="s">
        <v>3</v>
      </c>
      <c r="E299" s="28">
        <v>2</v>
      </c>
      <c r="F299" s="28">
        <v>26</v>
      </c>
      <c r="G299" s="27" t="s">
        <v>66</v>
      </c>
      <c r="H299" s="27"/>
      <c r="I299" s="48"/>
      <c r="L299" s="190"/>
      <c r="M299" s="193"/>
      <c r="N299" s="27" t="s">
        <v>3</v>
      </c>
      <c r="O299" s="28">
        <v>2</v>
      </c>
      <c r="P299" s="28">
        <v>26</v>
      </c>
      <c r="Q299" s="27" t="s">
        <v>66</v>
      </c>
      <c r="R299" s="27"/>
      <c r="S299" s="48"/>
    </row>
    <row r="300" spans="2:19" x14ac:dyDescent="0.25">
      <c r="B300" s="190"/>
      <c r="C300" s="193"/>
      <c r="D300" s="27" t="s">
        <v>80</v>
      </c>
      <c r="E300" s="28">
        <v>3</v>
      </c>
      <c r="F300" s="28">
        <v>27</v>
      </c>
      <c r="G300" s="27" t="s">
        <v>66</v>
      </c>
      <c r="H300" s="27"/>
      <c r="I300" s="48"/>
      <c r="L300" s="190"/>
      <c r="M300" s="193"/>
      <c r="N300" s="27" t="s">
        <v>80</v>
      </c>
      <c r="O300" s="28">
        <v>3</v>
      </c>
      <c r="P300" s="28">
        <v>27</v>
      </c>
      <c r="Q300" s="27" t="s">
        <v>66</v>
      </c>
      <c r="R300" s="27"/>
      <c r="S300" s="48"/>
    </row>
    <row r="301" spans="2:19" x14ac:dyDescent="0.25">
      <c r="B301" s="190"/>
      <c r="C301" s="193"/>
      <c r="D301" s="27" t="s">
        <v>81</v>
      </c>
      <c r="E301" s="28">
        <v>4</v>
      </c>
      <c r="F301" s="28">
        <v>28</v>
      </c>
      <c r="G301" s="27" t="s">
        <v>66</v>
      </c>
      <c r="H301" s="27"/>
      <c r="I301" s="48"/>
      <c r="L301" s="190"/>
      <c r="M301" s="193"/>
      <c r="N301" s="27" t="s">
        <v>81</v>
      </c>
      <c r="O301" s="28">
        <v>4</v>
      </c>
      <c r="P301" s="28">
        <v>28</v>
      </c>
      <c r="Q301" s="27" t="s">
        <v>66</v>
      </c>
      <c r="R301" s="27"/>
      <c r="S301" s="48"/>
    </row>
    <row r="302" spans="2:19" x14ac:dyDescent="0.25">
      <c r="B302" s="190"/>
      <c r="C302" s="193"/>
      <c r="D302" s="27" t="s">
        <v>82</v>
      </c>
      <c r="E302" s="28">
        <v>5</v>
      </c>
      <c r="F302" s="28">
        <v>29</v>
      </c>
      <c r="G302" s="27" t="s">
        <v>66</v>
      </c>
      <c r="H302" s="27"/>
      <c r="I302" s="48"/>
      <c r="L302" s="190"/>
      <c r="M302" s="193"/>
      <c r="N302" s="27" t="s">
        <v>82</v>
      </c>
      <c r="O302" s="28">
        <v>5</v>
      </c>
      <c r="P302" s="28">
        <v>29</v>
      </c>
      <c r="Q302" s="27" t="s">
        <v>66</v>
      </c>
      <c r="R302" s="27"/>
      <c r="S302" s="48"/>
    </row>
    <row r="303" spans="2:19" ht="15.75" thickBot="1" x14ac:dyDescent="0.3">
      <c r="B303" s="190"/>
      <c r="C303" s="194"/>
      <c r="D303" s="27" t="s">
        <v>83</v>
      </c>
      <c r="E303" s="28">
        <v>6</v>
      </c>
      <c r="F303" s="28">
        <v>30</v>
      </c>
      <c r="G303" s="27" t="s">
        <v>66</v>
      </c>
      <c r="H303" s="27"/>
      <c r="I303" s="48"/>
      <c r="L303" s="190"/>
      <c r="M303" s="194"/>
      <c r="N303" s="27" t="s">
        <v>83</v>
      </c>
      <c r="O303" s="28">
        <v>6</v>
      </c>
      <c r="P303" s="28">
        <v>30</v>
      </c>
      <c r="Q303" s="27" t="s">
        <v>66</v>
      </c>
      <c r="R303" s="27"/>
      <c r="S303" s="48"/>
    </row>
    <row r="304" spans="2:19" x14ac:dyDescent="0.25">
      <c r="B304" s="190"/>
      <c r="C304" s="192" t="s">
        <v>84</v>
      </c>
      <c r="D304" s="27" t="s">
        <v>2</v>
      </c>
      <c r="E304" s="28">
        <v>1</v>
      </c>
      <c r="F304" s="28">
        <v>31</v>
      </c>
      <c r="G304" s="27" t="s">
        <v>66</v>
      </c>
      <c r="H304" s="27"/>
      <c r="I304" s="48"/>
      <c r="L304" s="190"/>
      <c r="M304" s="192" t="s">
        <v>84</v>
      </c>
      <c r="N304" s="27" t="s">
        <v>2</v>
      </c>
      <c r="O304" s="28">
        <v>1</v>
      </c>
      <c r="P304" s="28">
        <v>31</v>
      </c>
      <c r="Q304" s="27" t="s">
        <v>66</v>
      </c>
      <c r="R304" s="27"/>
      <c r="S304" s="48"/>
    </row>
    <row r="305" spans="2:19" x14ac:dyDescent="0.25">
      <c r="B305" s="190"/>
      <c r="C305" s="193"/>
      <c r="D305" s="27" t="s">
        <v>3</v>
      </c>
      <c r="E305" s="28">
        <v>2</v>
      </c>
      <c r="F305" s="28">
        <v>32</v>
      </c>
      <c r="G305" s="27" t="s">
        <v>66</v>
      </c>
      <c r="H305" s="27"/>
      <c r="I305" s="48"/>
      <c r="L305" s="190"/>
      <c r="M305" s="193"/>
      <c r="N305" s="27" t="s">
        <v>3</v>
      </c>
      <c r="O305" s="28">
        <v>2</v>
      </c>
      <c r="P305" s="28">
        <v>32</v>
      </c>
      <c r="Q305" s="27" t="s">
        <v>66</v>
      </c>
      <c r="R305" s="27"/>
      <c r="S305" s="48"/>
    </row>
    <row r="306" spans="2:19" x14ac:dyDescent="0.25">
      <c r="B306" s="190"/>
      <c r="C306" s="193"/>
      <c r="D306" s="27" t="s">
        <v>80</v>
      </c>
      <c r="E306" s="28">
        <v>3</v>
      </c>
      <c r="F306" s="28">
        <v>33</v>
      </c>
      <c r="G306" s="27" t="s">
        <v>66</v>
      </c>
      <c r="H306" s="27"/>
      <c r="I306" s="48"/>
      <c r="L306" s="190"/>
      <c r="M306" s="193"/>
      <c r="N306" s="27" t="s">
        <v>80</v>
      </c>
      <c r="O306" s="28">
        <v>3</v>
      </c>
      <c r="P306" s="28">
        <v>33</v>
      </c>
      <c r="Q306" s="27" t="s">
        <v>66</v>
      </c>
      <c r="R306" s="27"/>
      <c r="S306" s="48"/>
    </row>
    <row r="307" spans="2:19" x14ac:dyDescent="0.25">
      <c r="B307" s="190"/>
      <c r="C307" s="193"/>
      <c r="D307" s="27" t="s">
        <v>81</v>
      </c>
      <c r="E307" s="28">
        <v>4</v>
      </c>
      <c r="F307" s="28">
        <v>34</v>
      </c>
      <c r="G307" s="27" t="s">
        <v>66</v>
      </c>
      <c r="H307" s="27"/>
      <c r="I307" s="48"/>
      <c r="L307" s="190"/>
      <c r="M307" s="193"/>
      <c r="N307" s="27" t="s">
        <v>81</v>
      </c>
      <c r="O307" s="28">
        <v>4</v>
      </c>
      <c r="P307" s="28">
        <v>34</v>
      </c>
      <c r="Q307" s="27" t="s">
        <v>66</v>
      </c>
      <c r="R307" s="27"/>
      <c r="S307" s="48"/>
    </row>
    <row r="308" spans="2:19" x14ac:dyDescent="0.25">
      <c r="B308" s="190"/>
      <c r="C308" s="193"/>
      <c r="D308" s="27" t="s">
        <v>82</v>
      </c>
      <c r="E308" s="28">
        <v>5</v>
      </c>
      <c r="F308" s="28">
        <v>35</v>
      </c>
      <c r="G308" s="27" t="s">
        <v>66</v>
      </c>
      <c r="H308" s="27"/>
      <c r="I308" s="48"/>
      <c r="L308" s="190"/>
      <c r="M308" s="193"/>
      <c r="N308" s="27" t="s">
        <v>82</v>
      </c>
      <c r="O308" s="28">
        <v>5</v>
      </c>
      <c r="P308" s="28">
        <v>35</v>
      </c>
      <c r="Q308" s="27" t="s">
        <v>66</v>
      </c>
      <c r="R308" s="27"/>
      <c r="S308" s="48"/>
    </row>
    <row r="309" spans="2:19" ht="15.75" thickBot="1" x14ac:dyDescent="0.3">
      <c r="B309" s="191"/>
      <c r="C309" s="194"/>
      <c r="D309" s="27" t="s">
        <v>83</v>
      </c>
      <c r="E309" s="28">
        <v>6</v>
      </c>
      <c r="F309" s="28">
        <v>36</v>
      </c>
      <c r="G309" s="27" t="s">
        <v>66</v>
      </c>
      <c r="H309" s="27"/>
      <c r="I309" s="48"/>
      <c r="L309" s="191"/>
      <c r="M309" s="194"/>
      <c r="N309" s="27" t="s">
        <v>83</v>
      </c>
      <c r="O309" s="28">
        <v>6</v>
      </c>
      <c r="P309" s="28">
        <v>36</v>
      </c>
      <c r="Q309" s="27" t="s">
        <v>66</v>
      </c>
      <c r="R309" s="27"/>
      <c r="S309" s="48"/>
    </row>
    <row r="310" spans="2:19" ht="15" customHeight="1" x14ac:dyDescent="0.25">
      <c r="B310" s="183" t="s">
        <v>81</v>
      </c>
      <c r="C310" s="186" t="s">
        <v>77</v>
      </c>
      <c r="D310" s="29" t="s">
        <v>2</v>
      </c>
      <c r="E310" s="30">
        <v>1</v>
      </c>
      <c r="F310" s="30">
        <v>37</v>
      </c>
      <c r="G310" s="29" t="s">
        <v>66</v>
      </c>
      <c r="H310" s="31"/>
      <c r="I310" s="60"/>
      <c r="L310" s="183" t="s">
        <v>81</v>
      </c>
      <c r="M310" s="186" t="s">
        <v>77</v>
      </c>
      <c r="N310" s="29" t="s">
        <v>2</v>
      </c>
      <c r="O310" s="30">
        <v>1</v>
      </c>
      <c r="P310" s="30">
        <v>37</v>
      </c>
      <c r="Q310" s="29" t="s">
        <v>66</v>
      </c>
      <c r="R310" s="31"/>
      <c r="S310" s="60"/>
    </row>
    <row r="311" spans="2:19" x14ac:dyDescent="0.25">
      <c r="B311" s="184"/>
      <c r="C311" s="187"/>
      <c r="D311" s="29" t="s">
        <v>3</v>
      </c>
      <c r="E311" s="30">
        <v>2</v>
      </c>
      <c r="F311" s="30">
        <v>38</v>
      </c>
      <c r="G311" s="29" t="s">
        <v>66</v>
      </c>
      <c r="H311" s="31"/>
      <c r="I311" s="60"/>
      <c r="L311" s="184"/>
      <c r="M311" s="187"/>
      <c r="N311" s="29" t="s">
        <v>3</v>
      </c>
      <c r="O311" s="30">
        <v>2</v>
      </c>
      <c r="P311" s="30">
        <v>38</v>
      </c>
      <c r="Q311" s="29" t="s">
        <v>66</v>
      </c>
      <c r="R311" s="31"/>
      <c r="S311" s="60"/>
    </row>
    <row r="312" spans="2:19" x14ac:dyDescent="0.25">
      <c r="B312" s="184"/>
      <c r="C312" s="187"/>
      <c r="D312" s="29" t="s">
        <v>80</v>
      </c>
      <c r="E312" s="30">
        <v>3</v>
      </c>
      <c r="F312" s="30">
        <v>39</v>
      </c>
      <c r="G312" s="29" t="s">
        <v>66</v>
      </c>
      <c r="H312" s="31"/>
      <c r="I312" s="60"/>
      <c r="L312" s="184"/>
      <c r="M312" s="187"/>
      <c r="N312" s="29" t="s">
        <v>80</v>
      </c>
      <c r="O312" s="30">
        <v>3</v>
      </c>
      <c r="P312" s="30">
        <v>39</v>
      </c>
      <c r="Q312" s="29" t="s">
        <v>66</v>
      </c>
      <c r="R312" s="31"/>
      <c r="S312" s="60"/>
    </row>
    <row r="313" spans="2:19" x14ac:dyDescent="0.25">
      <c r="B313" s="184"/>
      <c r="C313" s="187"/>
      <c r="D313" s="29" t="s">
        <v>81</v>
      </c>
      <c r="E313" s="30">
        <v>4</v>
      </c>
      <c r="F313" s="30">
        <v>40</v>
      </c>
      <c r="G313" s="29" t="s">
        <v>66</v>
      </c>
      <c r="H313" s="31"/>
      <c r="I313" s="60"/>
      <c r="L313" s="184"/>
      <c r="M313" s="187"/>
      <c r="N313" s="29" t="s">
        <v>81</v>
      </c>
      <c r="O313" s="30">
        <v>4</v>
      </c>
      <c r="P313" s="30">
        <v>40</v>
      </c>
      <c r="Q313" s="29" t="s">
        <v>66</v>
      </c>
      <c r="R313" s="31"/>
      <c r="S313" s="60"/>
    </row>
    <row r="314" spans="2:19" x14ac:dyDescent="0.25">
      <c r="B314" s="184"/>
      <c r="C314" s="187"/>
      <c r="D314" s="29" t="s">
        <v>82</v>
      </c>
      <c r="E314" s="30">
        <v>5</v>
      </c>
      <c r="F314" s="30">
        <v>41</v>
      </c>
      <c r="G314" s="29" t="s">
        <v>66</v>
      </c>
      <c r="H314" s="31"/>
      <c r="I314" s="60"/>
      <c r="L314" s="184"/>
      <c r="M314" s="187"/>
      <c r="N314" s="29" t="s">
        <v>82</v>
      </c>
      <c r="O314" s="30">
        <v>5</v>
      </c>
      <c r="P314" s="30">
        <v>41</v>
      </c>
      <c r="Q314" s="29" t="s">
        <v>66</v>
      </c>
      <c r="R314" s="31"/>
      <c r="S314" s="60"/>
    </row>
    <row r="315" spans="2:19" ht="15.75" thickBot="1" x14ac:dyDescent="0.3">
      <c r="B315" s="184"/>
      <c r="C315" s="188"/>
      <c r="D315" s="29" t="s">
        <v>83</v>
      </c>
      <c r="E315" s="30">
        <v>6</v>
      </c>
      <c r="F315" s="30">
        <v>42</v>
      </c>
      <c r="G315" s="29" t="s">
        <v>66</v>
      </c>
      <c r="H315" s="31"/>
      <c r="I315" s="60"/>
      <c r="L315" s="184"/>
      <c r="M315" s="188"/>
      <c r="N315" s="29" t="s">
        <v>83</v>
      </c>
      <c r="O315" s="30">
        <v>6</v>
      </c>
      <c r="P315" s="30">
        <v>42</v>
      </c>
      <c r="Q315" s="29" t="s">
        <v>66</v>
      </c>
      <c r="R315" s="31"/>
      <c r="S315" s="60"/>
    </row>
    <row r="316" spans="2:19" x14ac:dyDescent="0.25">
      <c r="B316" s="184"/>
      <c r="C316" s="186" t="s">
        <v>84</v>
      </c>
      <c r="D316" s="29" t="s">
        <v>2</v>
      </c>
      <c r="E316" s="30">
        <v>1</v>
      </c>
      <c r="F316" s="30">
        <v>43</v>
      </c>
      <c r="G316" s="29" t="s">
        <v>66</v>
      </c>
      <c r="H316" s="29"/>
      <c r="I316" s="49"/>
      <c r="L316" s="184"/>
      <c r="M316" s="186" t="s">
        <v>84</v>
      </c>
      <c r="N316" s="29" t="s">
        <v>2</v>
      </c>
      <c r="O316" s="30">
        <v>1</v>
      </c>
      <c r="P316" s="30">
        <v>43</v>
      </c>
      <c r="Q316" s="29" t="s">
        <v>66</v>
      </c>
      <c r="R316" s="29"/>
      <c r="S316" s="49"/>
    </row>
    <row r="317" spans="2:19" x14ac:dyDescent="0.25">
      <c r="B317" s="184"/>
      <c r="C317" s="187"/>
      <c r="D317" s="29" t="s">
        <v>3</v>
      </c>
      <c r="E317" s="30">
        <v>2</v>
      </c>
      <c r="F317" s="30">
        <v>44</v>
      </c>
      <c r="G317" s="29" t="s">
        <v>66</v>
      </c>
      <c r="H317" s="29"/>
      <c r="I317" s="49"/>
      <c r="L317" s="184"/>
      <c r="M317" s="187"/>
      <c r="N317" s="29" t="s">
        <v>3</v>
      </c>
      <c r="O317" s="30">
        <v>2</v>
      </c>
      <c r="P317" s="30">
        <v>44</v>
      </c>
      <c r="Q317" s="29" t="s">
        <v>66</v>
      </c>
      <c r="R317" s="29"/>
      <c r="S317" s="49"/>
    </row>
    <row r="318" spans="2:19" x14ac:dyDescent="0.25">
      <c r="B318" s="184"/>
      <c r="C318" s="187"/>
      <c r="D318" s="29" t="s">
        <v>80</v>
      </c>
      <c r="E318" s="30">
        <v>3</v>
      </c>
      <c r="F318" s="30">
        <v>45</v>
      </c>
      <c r="G318" s="29" t="s">
        <v>66</v>
      </c>
      <c r="H318" s="29"/>
      <c r="I318" s="49"/>
      <c r="L318" s="184"/>
      <c r="M318" s="187"/>
      <c r="N318" s="29" t="s">
        <v>80</v>
      </c>
      <c r="O318" s="30">
        <v>3</v>
      </c>
      <c r="P318" s="30">
        <v>45</v>
      </c>
      <c r="Q318" s="29" t="s">
        <v>66</v>
      </c>
      <c r="R318" s="29"/>
      <c r="S318" s="49"/>
    </row>
    <row r="319" spans="2:19" x14ac:dyDescent="0.25">
      <c r="B319" s="184"/>
      <c r="C319" s="187"/>
      <c r="D319" s="29" t="s">
        <v>81</v>
      </c>
      <c r="E319" s="30">
        <v>4</v>
      </c>
      <c r="F319" s="30">
        <v>46</v>
      </c>
      <c r="G319" s="29" t="s">
        <v>66</v>
      </c>
      <c r="H319" s="29"/>
      <c r="I319" s="49"/>
      <c r="L319" s="184"/>
      <c r="M319" s="187"/>
      <c r="N319" s="29" t="s">
        <v>81</v>
      </c>
      <c r="O319" s="30">
        <v>4</v>
      </c>
      <c r="P319" s="30">
        <v>46</v>
      </c>
      <c r="Q319" s="29" t="s">
        <v>66</v>
      </c>
      <c r="R319" s="29"/>
      <c r="S319" s="49"/>
    </row>
    <row r="320" spans="2:19" x14ac:dyDescent="0.25">
      <c r="B320" s="184"/>
      <c r="C320" s="187"/>
      <c r="D320" s="29" t="s">
        <v>82</v>
      </c>
      <c r="E320" s="30">
        <v>5</v>
      </c>
      <c r="F320" s="30">
        <v>47</v>
      </c>
      <c r="G320" s="29" t="s">
        <v>66</v>
      </c>
      <c r="H320" s="29"/>
      <c r="I320" s="49"/>
      <c r="L320" s="184"/>
      <c r="M320" s="187"/>
      <c r="N320" s="29" t="s">
        <v>82</v>
      </c>
      <c r="O320" s="30">
        <v>5</v>
      </c>
      <c r="P320" s="30">
        <v>47</v>
      </c>
      <c r="Q320" s="29" t="s">
        <v>66</v>
      </c>
      <c r="R320" s="29"/>
      <c r="S320" s="49"/>
    </row>
    <row r="321" spans="2:19" ht="15.75" thickBot="1" x14ac:dyDescent="0.3">
      <c r="B321" s="185"/>
      <c r="C321" s="188"/>
      <c r="D321" s="29" t="s">
        <v>83</v>
      </c>
      <c r="E321" s="30">
        <v>6</v>
      </c>
      <c r="F321" s="30">
        <v>48</v>
      </c>
      <c r="G321" s="29" t="s">
        <v>66</v>
      </c>
      <c r="H321" s="29"/>
      <c r="I321" s="49"/>
      <c r="L321" s="185"/>
      <c r="M321" s="188"/>
      <c r="N321" s="29" t="s">
        <v>83</v>
      </c>
      <c r="O321" s="30">
        <v>6</v>
      </c>
      <c r="P321" s="30">
        <v>48</v>
      </c>
      <c r="Q321" s="29" t="s">
        <v>66</v>
      </c>
      <c r="R321" s="29"/>
      <c r="S321" s="49"/>
    </row>
    <row r="322" spans="2:19" ht="15.75" thickBot="1" x14ac:dyDescent="0.3"/>
    <row r="323" spans="2:19" ht="15.75" thickBot="1" x14ac:dyDescent="0.3">
      <c r="B323" s="171" t="s">
        <v>264</v>
      </c>
      <c r="C323" s="172"/>
      <c r="D323" s="172"/>
      <c r="E323" s="172"/>
      <c r="F323" s="172"/>
      <c r="G323" s="172"/>
      <c r="H323" s="172"/>
      <c r="I323" s="173"/>
      <c r="L323" s="171" t="s">
        <v>265</v>
      </c>
      <c r="M323" s="172"/>
      <c r="N323" s="172"/>
      <c r="O323" s="172"/>
      <c r="P323" s="172"/>
      <c r="Q323" s="172"/>
      <c r="R323" s="172"/>
      <c r="S323" s="173"/>
    </row>
    <row r="325" spans="2:19" ht="26.25" thickBot="1" x14ac:dyDescent="0.3">
      <c r="B325" s="15" t="s">
        <v>70</v>
      </c>
      <c r="C325" s="16" t="s">
        <v>71</v>
      </c>
      <c r="D325" s="15" t="s">
        <v>72</v>
      </c>
      <c r="E325" s="17" t="s">
        <v>73</v>
      </c>
      <c r="F325" s="17" t="s">
        <v>74</v>
      </c>
      <c r="G325" s="15" t="s">
        <v>75</v>
      </c>
      <c r="H325" s="15" t="s">
        <v>55</v>
      </c>
      <c r="I325" s="15" t="s">
        <v>76</v>
      </c>
      <c r="L325" s="15" t="s">
        <v>70</v>
      </c>
      <c r="M325" s="16" t="s">
        <v>71</v>
      </c>
      <c r="N325" s="15" t="s">
        <v>72</v>
      </c>
      <c r="O325" s="17" t="s">
        <v>73</v>
      </c>
      <c r="P325" s="17" t="s">
        <v>74</v>
      </c>
      <c r="Q325" s="15" t="s">
        <v>75</v>
      </c>
      <c r="R325" s="15" t="s">
        <v>55</v>
      </c>
      <c r="S325" s="15" t="s">
        <v>76</v>
      </c>
    </row>
    <row r="326" spans="2:19" ht="15" customHeight="1" x14ac:dyDescent="0.25">
      <c r="B326" s="174" t="s">
        <v>2</v>
      </c>
      <c r="C326" s="168" t="s">
        <v>77</v>
      </c>
      <c r="D326" s="18" t="s">
        <v>2</v>
      </c>
      <c r="E326" s="19">
        <v>1</v>
      </c>
      <c r="F326" s="19">
        <v>1</v>
      </c>
      <c r="G326" s="18" t="s">
        <v>78</v>
      </c>
      <c r="H326" s="156" t="s">
        <v>79</v>
      </c>
      <c r="I326" s="165" t="s">
        <v>161</v>
      </c>
      <c r="L326" s="174" t="s">
        <v>2</v>
      </c>
      <c r="M326" s="168" t="s">
        <v>77</v>
      </c>
      <c r="N326" s="18" t="s">
        <v>2</v>
      </c>
      <c r="O326" s="19">
        <v>1</v>
      </c>
      <c r="P326" s="19">
        <v>1</v>
      </c>
      <c r="Q326" s="18" t="s">
        <v>78</v>
      </c>
      <c r="R326" s="156" t="s">
        <v>79</v>
      </c>
      <c r="S326" s="165" t="s">
        <v>163</v>
      </c>
    </row>
    <row r="327" spans="2:19" x14ac:dyDescent="0.25">
      <c r="B327" s="175"/>
      <c r="C327" s="169"/>
      <c r="D327" s="18" t="s">
        <v>3</v>
      </c>
      <c r="E327" s="19">
        <v>2</v>
      </c>
      <c r="F327" s="19">
        <v>2</v>
      </c>
      <c r="G327" s="18" t="s">
        <v>78</v>
      </c>
      <c r="H327" s="157"/>
      <c r="I327" s="166"/>
      <c r="L327" s="175"/>
      <c r="M327" s="169"/>
      <c r="N327" s="18" t="s">
        <v>3</v>
      </c>
      <c r="O327" s="19">
        <v>2</v>
      </c>
      <c r="P327" s="19">
        <v>2</v>
      </c>
      <c r="Q327" s="18" t="s">
        <v>78</v>
      </c>
      <c r="R327" s="157"/>
      <c r="S327" s="166"/>
    </row>
    <row r="328" spans="2:19" x14ac:dyDescent="0.25">
      <c r="B328" s="175"/>
      <c r="C328" s="169"/>
      <c r="D328" s="18" t="s">
        <v>80</v>
      </c>
      <c r="E328" s="20">
        <v>3</v>
      </c>
      <c r="F328" s="20">
        <v>3</v>
      </c>
      <c r="G328" s="18" t="s">
        <v>66</v>
      </c>
      <c r="H328" s="157"/>
      <c r="I328" s="166"/>
      <c r="L328" s="175"/>
      <c r="M328" s="169"/>
      <c r="N328" s="18" t="s">
        <v>80</v>
      </c>
      <c r="O328" s="20">
        <v>3</v>
      </c>
      <c r="P328" s="20">
        <v>3</v>
      </c>
      <c r="Q328" s="18" t="s">
        <v>66</v>
      </c>
      <c r="R328" s="157"/>
      <c r="S328" s="166"/>
    </row>
    <row r="329" spans="2:19" x14ac:dyDescent="0.25">
      <c r="B329" s="175"/>
      <c r="C329" s="169"/>
      <c r="D329" s="18" t="s">
        <v>81</v>
      </c>
      <c r="E329" s="20">
        <v>4</v>
      </c>
      <c r="F329" s="20">
        <v>4</v>
      </c>
      <c r="G329" s="18" t="s">
        <v>66</v>
      </c>
      <c r="H329" s="157"/>
      <c r="I329" s="166"/>
      <c r="L329" s="175"/>
      <c r="M329" s="169"/>
      <c r="N329" s="18" t="s">
        <v>81</v>
      </c>
      <c r="O329" s="20">
        <v>4</v>
      </c>
      <c r="P329" s="20">
        <v>4</v>
      </c>
      <c r="Q329" s="18" t="s">
        <v>66</v>
      </c>
      <c r="R329" s="157"/>
      <c r="S329" s="166"/>
    </row>
    <row r="330" spans="2:19" x14ac:dyDescent="0.25">
      <c r="B330" s="175"/>
      <c r="C330" s="169"/>
      <c r="D330" s="18" t="s">
        <v>82</v>
      </c>
      <c r="E330" s="20">
        <v>5</v>
      </c>
      <c r="F330" s="20">
        <v>5</v>
      </c>
      <c r="G330" s="18" t="s">
        <v>66</v>
      </c>
      <c r="H330" s="157"/>
      <c r="I330" s="166"/>
      <c r="L330" s="175"/>
      <c r="M330" s="169"/>
      <c r="N330" s="18" t="s">
        <v>82</v>
      </c>
      <c r="O330" s="20">
        <v>5</v>
      </c>
      <c r="P330" s="20">
        <v>5</v>
      </c>
      <c r="Q330" s="18" t="s">
        <v>66</v>
      </c>
      <c r="R330" s="157"/>
      <c r="S330" s="166"/>
    </row>
    <row r="331" spans="2:19" ht="15.75" thickBot="1" x14ac:dyDescent="0.3">
      <c r="B331" s="175"/>
      <c r="C331" s="170"/>
      <c r="D331" s="18" t="s">
        <v>83</v>
      </c>
      <c r="E331" s="20">
        <v>6</v>
      </c>
      <c r="F331" s="20">
        <v>6</v>
      </c>
      <c r="G331" s="18" t="s">
        <v>66</v>
      </c>
      <c r="H331" s="158"/>
      <c r="I331" s="167"/>
      <c r="L331" s="175"/>
      <c r="M331" s="170"/>
      <c r="N331" s="18" t="s">
        <v>83</v>
      </c>
      <c r="O331" s="20">
        <v>6</v>
      </c>
      <c r="P331" s="20">
        <v>6</v>
      </c>
      <c r="Q331" s="18" t="s">
        <v>66</v>
      </c>
      <c r="R331" s="158"/>
      <c r="S331" s="167"/>
    </row>
    <row r="332" spans="2:19" x14ac:dyDescent="0.25">
      <c r="B332" s="175"/>
      <c r="C332" s="168" t="s">
        <v>84</v>
      </c>
      <c r="D332" s="18" t="s">
        <v>2</v>
      </c>
      <c r="E332" s="19">
        <v>1</v>
      </c>
      <c r="F332" s="19">
        <v>7</v>
      </c>
      <c r="G332" s="18" t="s">
        <v>66</v>
      </c>
      <c r="H332" s="32"/>
      <c r="I332" s="50"/>
      <c r="L332" s="175"/>
      <c r="M332" s="168" t="s">
        <v>84</v>
      </c>
      <c r="N332" s="18" t="s">
        <v>2</v>
      </c>
      <c r="O332" s="19">
        <v>1</v>
      </c>
      <c r="P332" s="19">
        <v>7</v>
      </c>
      <c r="Q332" s="18" t="s">
        <v>66</v>
      </c>
      <c r="R332" s="32"/>
      <c r="S332" s="50"/>
    </row>
    <row r="333" spans="2:19" x14ac:dyDescent="0.25">
      <c r="B333" s="175"/>
      <c r="C333" s="169"/>
      <c r="D333" s="18" t="s">
        <v>3</v>
      </c>
      <c r="E333" s="19">
        <v>2</v>
      </c>
      <c r="F333" s="19">
        <v>8</v>
      </c>
      <c r="G333" s="18" t="s">
        <v>66</v>
      </c>
      <c r="H333" s="32"/>
      <c r="I333" s="50"/>
      <c r="L333" s="175"/>
      <c r="M333" s="169"/>
      <c r="N333" s="18" t="s">
        <v>3</v>
      </c>
      <c r="O333" s="19">
        <v>2</v>
      </c>
      <c r="P333" s="19">
        <v>8</v>
      </c>
      <c r="Q333" s="18" t="s">
        <v>66</v>
      </c>
      <c r="R333" s="32"/>
      <c r="S333" s="50"/>
    </row>
    <row r="334" spans="2:19" x14ac:dyDescent="0.25">
      <c r="B334" s="175"/>
      <c r="C334" s="169"/>
      <c r="D334" s="18" t="s">
        <v>80</v>
      </c>
      <c r="E334" s="20">
        <v>3</v>
      </c>
      <c r="F334" s="20">
        <v>9</v>
      </c>
      <c r="G334" s="18" t="s">
        <v>66</v>
      </c>
      <c r="H334" s="32"/>
      <c r="I334" s="50"/>
      <c r="L334" s="175"/>
      <c r="M334" s="169"/>
      <c r="N334" s="18" t="s">
        <v>80</v>
      </c>
      <c r="O334" s="20">
        <v>3</v>
      </c>
      <c r="P334" s="20">
        <v>9</v>
      </c>
      <c r="Q334" s="18" t="s">
        <v>66</v>
      </c>
      <c r="R334" s="32"/>
      <c r="S334" s="50"/>
    </row>
    <row r="335" spans="2:19" x14ac:dyDescent="0.25">
      <c r="B335" s="175"/>
      <c r="C335" s="169"/>
      <c r="D335" s="18" t="s">
        <v>81</v>
      </c>
      <c r="E335" s="20">
        <v>4</v>
      </c>
      <c r="F335" s="20">
        <v>10</v>
      </c>
      <c r="G335" s="18" t="s">
        <v>66</v>
      </c>
      <c r="H335" s="32"/>
      <c r="I335" s="50"/>
      <c r="L335" s="175"/>
      <c r="M335" s="169"/>
      <c r="N335" s="18" t="s">
        <v>81</v>
      </c>
      <c r="O335" s="20">
        <v>4</v>
      </c>
      <c r="P335" s="20">
        <v>10</v>
      </c>
      <c r="Q335" s="18" t="s">
        <v>66</v>
      </c>
      <c r="R335" s="32"/>
      <c r="S335" s="50"/>
    </row>
    <row r="336" spans="2:19" x14ac:dyDescent="0.25">
      <c r="B336" s="175"/>
      <c r="C336" s="169"/>
      <c r="D336" s="18" t="s">
        <v>82</v>
      </c>
      <c r="E336" s="20">
        <v>5</v>
      </c>
      <c r="F336" s="20">
        <v>11</v>
      </c>
      <c r="G336" s="18" t="s">
        <v>66</v>
      </c>
      <c r="H336" s="32"/>
      <c r="I336" s="50"/>
      <c r="L336" s="175"/>
      <c r="M336" s="169"/>
      <c r="N336" s="18" t="s">
        <v>82</v>
      </c>
      <c r="O336" s="20">
        <v>5</v>
      </c>
      <c r="P336" s="20">
        <v>11</v>
      </c>
      <c r="Q336" s="18" t="s">
        <v>66</v>
      </c>
      <c r="R336" s="32"/>
      <c r="S336" s="50"/>
    </row>
    <row r="337" spans="2:19" ht="15.75" thickBot="1" x14ac:dyDescent="0.3">
      <c r="B337" s="176"/>
      <c r="C337" s="170"/>
      <c r="D337" s="18" t="s">
        <v>83</v>
      </c>
      <c r="E337" s="20">
        <v>6</v>
      </c>
      <c r="F337" s="20">
        <v>12</v>
      </c>
      <c r="G337" s="18" t="s">
        <v>66</v>
      </c>
      <c r="H337" s="32"/>
      <c r="I337" s="50"/>
      <c r="L337" s="176"/>
      <c r="M337" s="170"/>
      <c r="N337" s="18" t="s">
        <v>83</v>
      </c>
      <c r="O337" s="20">
        <v>6</v>
      </c>
      <c r="P337" s="20">
        <v>12</v>
      </c>
      <c r="Q337" s="18" t="s">
        <v>66</v>
      </c>
      <c r="R337" s="32"/>
      <c r="S337" s="50"/>
    </row>
    <row r="338" spans="2:19" x14ac:dyDescent="0.25">
      <c r="B338" s="180" t="s">
        <v>3</v>
      </c>
      <c r="C338" s="177" t="s">
        <v>77</v>
      </c>
      <c r="D338" s="21" t="s">
        <v>2</v>
      </c>
      <c r="E338" s="22">
        <v>1</v>
      </c>
      <c r="F338" s="22">
        <v>13</v>
      </c>
      <c r="G338" s="21" t="s">
        <v>66</v>
      </c>
      <c r="H338" s="21"/>
      <c r="I338" s="51"/>
      <c r="L338" s="180" t="s">
        <v>3</v>
      </c>
      <c r="M338" s="177" t="s">
        <v>77</v>
      </c>
      <c r="N338" s="21" t="s">
        <v>2</v>
      </c>
      <c r="O338" s="22">
        <v>1</v>
      </c>
      <c r="P338" s="22">
        <v>13</v>
      </c>
      <c r="Q338" s="21" t="s">
        <v>66</v>
      </c>
      <c r="R338" s="21"/>
      <c r="S338" s="51"/>
    </row>
    <row r="339" spans="2:19" x14ac:dyDescent="0.25">
      <c r="B339" s="181"/>
      <c r="C339" s="178"/>
      <c r="D339" s="23" t="s">
        <v>3</v>
      </c>
      <c r="E339" s="24">
        <v>2</v>
      </c>
      <c r="F339" s="24">
        <v>14</v>
      </c>
      <c r="G339" s="23" t="s">
        <v>66</v>
      </c>
      <c r="H339" s="23"/>
      <c r="I339" s="47"/>
      <c r="L339" s="181"/>
      <c r="M339" s="178"/>
      <c r="N339" s="23" t="s">
        <v>3</v>
      </c>
      <c r="O339" s="24">
        <v>2</v>
      </c>
      <c r="P339" s="24">
        <v>14</v>
      </c>
      <c r="Q339" s="23" t="s">
        <v>66</v>
      </c>
      <c r="R339" s="23"/>
      <c r="S339" s="47"/>
    </row>
    <row r="340" spans="2:19" x14ac:dyDescent="0.25">
      <c r="B340" s="181"/>
      <c r="C340" s="178"/>
      <c r="D340" s="23" t="s">
        <v>80</v>
      </c>
      <c r="E340" s="24">
        <v>3</v>
      </c>
      <c r="F340" s="24">
        <v>15</v>
      </c>
      <c r="G340" s="23" t="s">
        <v>66</v>
      </c>
      <c r="H340" s="23"/>
      <c r="I340" s="47"/>
      <c r="L340" s="181"/>
      <c r="M340" s="178"/>
      <c r="N340" s="23" t="s">
        <v>80</v>
      </c>
      <c r="O340" s="24">
        <v>3</v>
      </c>
      <c r="P340" s="24">
        <v>15</v>
      </c>
      <c r="Q340" s="23" t="s">
        <v>66</v>
      </c>
      <c r="R340" s="23"/>
      <c r="S340" s="47"/>
    </row>
    <row r="341" spans="2:19" x14ac:dyDescent="0.25">
      <c r="B341" s="181"/>
      <c r="C341" s="178"/>
      <c r="D341" s="23" t="s">
        <v>81</v>
      </c>
      <c r="E341" s="24">
        <v>4</v>
      </c>
      <c r="F341" s="24">
        <v>16</v>
      </c>
      <c r="G341" s="23" t="s">
        <v>66</v>
      </c>
      <c r="H341" s="23"/>
      <c r="I341" s="47"/>
      <c r="L341" s="181"/>
      <c r="M341" s="178"/>
      <c r="N341" s="23" t="s">
        <v>81</v>
      </c>
      <c r="O341" s="24">
        <v>4</v>
      </c>
      <c r="P341" s="24">
        <v>16</v>
      </c>
      <c r="Q341" s="23" t="s">
        <v>66</v>
      </c>
      <c r="R341" s="23"/>
      <c r="S341" s="47"/>
    </row>
    <row r="342" spans="2:19" x14ac:dyDescent="0.25">
      <c r="B342" s="181"/>
      <c r="C342" s="178"/>
      <c r="D342" s="23" t="s">
        <v>82</v>
      </c>
      <c r="E342" s="24">
        <v>5</v>
      </c>
      <c r="F342" s="24">
        <v>17</v>
      </c>
      <c r="G342" s="23" t="s">
        <v>66</v>
      </c>
      <c r="H342" s="23"/>
      <c r="I342" s="47"/>
      <c r="L342" s="181"/>
      <c r="M342" s="178"/>
      <c r="N342" s="23" t="s">
        <v>82</v>
      </c>
      <c r="O342" s="24">
        <v>5</v>
      </c>
      <c r="P342" s="24">
        <v>17</v>
      </c>
      <c r="Q342" s="23" t="s">
        <v>66</v>
      </c>
      <c r="R342" s="23"/>
      <c r="S342" s="47"/>
    </row>
    <row r="343" spans="2:19" ht="15.75" thickBot="1" x14ac:dyDescent="0.3">
      <c r="B343" s="181"/>
      <c r="C343" s="179"/>
      <c r="D343" s="23" t="s">
        <v>83</v>
      </c>
      <c r="E343" s="24">
        <v>6</v>
      </c>
      <c r="F343" s="24">
        <v>18</v>
      </c>
      <c r="G343" s="23" t="s">
        <v>66</v>
      </c>
      <c r="H343" s="23"/>
      <c r="I343" s="47"/>
      <c r="L343" s="181"/>
      <c r="M343" s="179"/>
      <c r="N343" s="23" t="s">
        <v>83</v>
      </c>
      <c r="O343" s="24">
        <v>6</v>
      </c>
      <c r="P343" s="24">
        <v>18</v>
      </c>
      <c r="Q343" s="23" t="s">
        <v>66</v>
      </c>
      <c r="R343" s="23"/>
      <c r="S343" s="47"/>
    </row>
    <row r="344" spans="2:19" x14ac:dyDescent="0.25">
      <c r="B344" s="181"/>
      <c r="C344" s="177" t="s">
        <v>84</v>
      </c>
      <c r="D344" s="23" t="s">
        <v>2</v>
      </c>
      <c r="E344" s="24">
        <v>1</v>
      </c>
      <c r="F344" s="24">
        <v>19</v>
      </c>
      <c r="G344" s="23" t="s">
        <v>66</v>
      </c>
      <c r="H344" s="23"/>
      <c r="I344" s="47"/>
      <c r="L344" s="181"/>
      <c r="M344" s="177" t="s">
        <v>84</v>
      </c>
      <c r="N344" s="23" t="s">
        <v>2</v>
      </c>
      <c r="O344" s="24">
        <v>1</v>
      </c>
      <c r="P344" s="24">
        <v>19</v>
      </c>
      <c r="Q344" s="23" t="s">
        <v>66</v>
      </c>
      <c r="R344" s="23"/>
      <c r="S344" s="47"/>
    </row>
    <row r="345" spans="2:19" x14ac:dyDescent="0.25">
      <c r="B345" s="181"/>
      <c r="C345" s="178"/>
      <c r="D345" s="23" t="s">
        <v>3</v>
      </c>
      <c r="E345" s="24">
        <v>2</v>
      </c>
      <c r="F345" s="24">
        <v>20</v>
      </c>
      <c r="G345" s="23" t="s">
        <v>66</v>
      </c>
      <c r="H345" s="23"/>
      <c r="I345" s="47"/>
      <c r="L345" s="181"/>
      <c r="M345" s="178"/>
      <c r="N345" s="23" t="s">
        <v>3</v>
      </c>
      <c r="O345" s="24">
        <v>2</v>
      </c>
      <c r="P345" s="24">
        <v>20</v>
      </c>
      <c r="Q345" s="23" t="s">
        <v>66</v>
      </c>
      <c r="R345" s="23"/>
      <c r="S345" s="47"/>
    </row>
    <row r="346" spans="2:19" x14ac:dyDescent="0.25">
      <c r="B346" s="181"/>
      <c r="C346" s="178"/>
      <c r="D346" s="23" t="s">
        <v>80</v>
      </c>
      <c r="E346" s="26">
        <v>3</v>
      </c>
      <c r="F346" s="24">
        <v>21</v>
      </c>
      <c r="G346" s="23" t="s">
        <v>66</v>
      </c>
      <c r="H346" s="23"/>
      <c r="I346" s="47"/>
      <c r="L346" s="181"/>
      <c r="M346" s="178"/>
      <c r="N346" s="23" t="s">
        <v>80</v>
      </c>
      <c r="O346" s="26">
        <v>3</v>
      </c>
      <c r="P346" s="24">
        <v>21</v>
      </c>
      <c r="Q346" s="23" t="s">
        <v>66</v>
      </c>
      <c r="R346" s="23"/>
      <c r="S346" s="47"/>
    </row>
    <row r="347" spans="2:19" x14ac:dyDescent="0.25">
      <c r="B347" s="181"/>
      <c r="C347" s="178"/>
      <c r="D347" s="23" t="s">
        <v>81</v>
      </c>
      <c r="E347" s="24">
        <v>4</v>
      </c>
      <c r="F347" s="24">
        <v>22</v>
      </c>
      <c r="G347" s="23" t="s">
        <v>66</v>
      </c>
      <c r="H347" s="23"/>
      <c r="I347" s="47"/>
      <c r="L347" s="181"/>
      <c r="M347" s="178"/>
      <c r="N347" s="23" t="s">
        <v>81</v>
      </c>
      <c r="O347" s="24">
        <v>4</v>
      </c>
      <c r="P347" s="24">
        <v>22</v>
      </c>
      <c r="Q347" s="23" t="s">
        <v>66</v>
      </c>
      <c r="R347" s="23"/>
      <c r="S347" s="47"/>
    </row>
    <row r="348" spans="2:19" x14ac:dyDescent="0.25">
      <c r="B348" s="181"/>
      <c r="C348" s="178"/>
      <c r="D348" s="23" t="s">
        <v>82</v>
      </c>
      <c r="E348" s="24">
        <v>5</v>
      </c>
      <c r="F348" s="24">
        <v>23</v>
      </c>
      <c r="G348" s="23" t="s">
        <v>66</v>
      </c>
      <c r="H348" s="23"/>
      <c r="I348" s="47"/>
      <c r="L348" s="181"/>
      <c r="M348" s="178"/>
      <c r="N348" s="23" t="s">
        <v>82</v>
      </c>
      <c r="O348" s="24">
        <v>5</v>
      </c>
      <c r="P348" s="24">
        <v>23</v>
      </c>
      <c r="Q348" s="23" t="s">
        <v>66</v>
      </c>
      <c r="R348" s="23"/>
      <c r="S348" s="47"/>
    </row>
    <row r="349" spans="2:19" ht="15.75" thickBot="1" x14ac:dyDescent="0.3">
      <c r="B349" s="182"/>
      <c r="C349" s="179"/>
      <c r="D349" s="23" t="s">
        <v>83</v>
      </c>
      <c r="E349" s="24">
        <v>6</v>
      </c>
      <c r="F349" s="24">
        <v>24</v>
      </c>
      <c r="G349" s="23" t="s">
        <v>66</v>
      </c>
      <c r="H349" s="23"/>
      <c r="I349" s="47"/>
      <c r="L349" s="182"/>
      <c r="M349" s="179"/>
      <c r="N349" s="23" t="s">
        <v>83</v>
      </c>
      <c r="O349" s="24">
        <v>6</v>
      </c>
      <c r="P349" s="24">
        <v>24</v>
      </c>
      <c r="Q349" s="23" t="s">
        <v>66</v>
      </c>
      <c r="R349" s="23"/>
      <c r="S349" s="47"/>
    </row>
    <row r="350" spans="2:19" x14ac:dyDescent="0.25">
      <c r="B350" s="189" t="s">
        <v>80</v>
      </c>
      <c r="C350" s="192" t="s">
        <v>77</v>
      </c>
      <c r="D350" s="27" t="s">
        <v>2</v>
      </c>
      <c r="E350" s="28">
        <v>1</v>
      </c>
      <c r="F350" s="28">
        <v>25</v>
      </c>
      <c r="G350" s="27" t="s">
        <v>66</v>
      </c>
      <c r="H350" s="27"/>
      <c r="I350" s="48"/>
      <c r="L350" s="189" t="s">
        <v>80</v>
      </c>
      <c r="M350" s="192" t="s">
        <v>77</v>
      </c>
      <c r="N350" s="27" t="s">
        <v>2</v>
      </c>
      <c r="O350" s="28">
        <v>1</v>
      </c>
      <c r="P350" s="28">
        <v>25</v>
      </c>
      <c r="Q350" s="27" t="s">
        <v>66</v>
      </c>
      <c r="R350" s="27"/>
      <c r="S350" s="48"/>
    </row>
    <row r="351" spans="2:19" x14ac:dyDescent="0.25">
      <c r="B351" s="190"/>
      <c r="C351" s="193"/>
      <c r="D351" s="27" t="s">
        <v>3</v>
      </c>
      <c r="E351" s="28">
        <v>2</v>
      </c>
      <c r="F351" s="28">
        <v>26</v>
      </c>
      <c r="G351" s="27" t="s">
        <v>66</v>
      </c>
      <c r="H351" s="27"/>
      <c r="I351" s="48"/>
      <c r="L351" s="190"/>
      <c r="M351" s="193"/>
      <c r="N351" s="27" t="s">
        <v>3</v>
      </c>
      <c r="O351" s="28">
        <v>2</v>
      </c>
      <c r="P351" s="28">
        <v>26</v>
      </c>
      <c r="Q351" s="27" t="s">
        <v>66</v>
      </c>
      <c r="R351" s="27"/>
      <c r="S351" s="48"/>
    </row>
    <row r="352" spans="2:19" x14ac:dyDescent="0.25">
      <c r="B352" s="190"/>
      <c r="C352" s="193"/>
      <c r="D352" s="27" t="s">
        <v>80</v>
      </c>
      <c r="E352" s="28">
        <v>3</v>
      </c>
      <c r="F352" s="28">
        <v>27</v>
      </c>
      <c r="G352" s="27" t="s">
        <v>66</v>
      </c>
      <c r="H352" s="27"/>
      <c r="I352" s="48"/>
      <c r="L352" s="190"/>
      <c r="M352" s="193"/>
      <c r="N352" s="27" t="s">
        <v>80</v>
      </c>
      <c r="O352" s="28">
        <v>3</v>
      </c>
      <c r="P352" s="28">
        <v>27</v>
      </c>
      <c r="Q352" s="27" t="s">
        <v>66</v>
      </c>
      <c r="R352" s="27"/>
      <c r="S352" s="48"/>
    </row>
    <row r="353" spans="2:19" x14ac:dyDescent="0.25">
      <c r="B353" s="190"/>
      <c r="C353" s="193"/>
      <c r="D353" s="27" t="s">
        <v>81</v>
      </c>
      <c r="E353" s="28">
        <v>4</v>
      </c>
      <c r="F353" s="28">
        <v>28</v>
      </c>
      <c r="G353" s="27" t="s">
        <v>66</v>
      </c>
      <c r="H353" s="27"/>
      <c r="I353" s="48"/>
      <c r="L353" s="190"/>
      <c r="M353" s="193"/>
      <c r="N353" s="27" t="s">
        <v>81</v>
      </c>
      <c r="O353" s="28">
        <v>4</v>
      </c>
      <c r="P353" s="28">
        <v>28</v>
      </c>
      <c r="Q353" s="27" t="s">
        <v>66</v>
      </c>
      <c r="R353" s="27"/>
      <c r="S353" s="48"/>
    </row>
    <row r="354" spans="2:19" x14ac:dyDescent="0.25">
      <c r="B354" s="190"/>
      <c r="C354" s="193"/>
      <c r="D354" s="27" t="s">
        <v>82</v>
      </c>
      <c r="E354" s="28">
        <v>5</v>
      </c>
      <c r="F354" s="28">
        <v>29</v>
      </c>
      <c r="G354" s="27" t="s">
        <v>66</v>
      </c>
      <c r="H354" s="27"/>
      <c r="I354" s="48"/>
      <c r="L354" s="190"/>
      <c r="M354" s="193"/>
      <c r="N354" s="27" t="s">
        <v>82</v>
      </c>
      <c r="O354" s="28">
        <v>5</v>
      </c>
      <c r="P354" s="28">
        <v>29</v>
      </c>
      <c r="Q354" s="27" t="s">
        <v>66</v>
      </c>
      <c r="R354" s="27"/>
      <c r="S354" s="48"/>
    </row>
    <row r="355" spans="2:19" ht="15.75" thickBot="1" x14ac:dyDescent="0.3">
      <c r="B355" s="190"/>
      <c r="C355" s="194"/>
      <c r="D355" s="27" t="s">
        <v>83</v>
      </c>
      <c r="E355" s="28">
        <v>6</v>
      </c>
      <c r="F355" s="28">
        <v>30</v>
      </c>
      <c r="G355" s="27" t="s">
        <v>66</v>
      </c>
      <c r="H355" s="27"/>
      <c r="I355" s="48"/>
      <c r="L355" s="190"/>
      <c r="M355" s="194"/>
      <c r="N355" s="27" t="s">
        <v>83</v>
      </c>
      <c r="O355" s="28">
        <v>6</v>
      </c>
      <c r="P355" s="28">
        <v>30</v>
      </c>
      <c r="Q355" s="27" t="s">
        <v>66</v>
      </c>
      <c r="R355" s="27"/>
      <c r="S355" s="48"/>
    </row>
    <row r="356" spans="2:19" x14ac:dyDescent="0.25">
      <c r="B356" s="190"/>
      <c r="C356" s="192" t="s">
        <v>84</v>
      </c>
      <c r="D356" s="27" t="s">
        <v>2</v>
      </c>
      <c r="E356" s="28">
        <v>1</v>
      </c>
      <c r="F356" s="28">
        <v>31</v>
      </c>
      <c r="G356" s="27" t="s">
        <v>66</v>
      </c>
      <c r="H356" s="27"/>
      <c r="I356" s="48"/>
      <c r="L356" s="190"/>
      <c r="M356" s="192" t="s">
        <v>84</v>
      </c>
      <c r="N356" s="27" t="s">
        <v>2</v>
      </c>
      <c r="O356" s="28">
        <v>1</v>
      </c>
      <c r="P356" s="28">
        <v>31</v>
      </c>
      <c r="Q356" s="27" t="s">
        <v>66</v>
      </c>
      <c r="R356" s="27"/>
      <c r="S356" s="48"/>
    </row>
    <row r="357" spans="2:19" x14ac:dyDescent="0.25">
      <c r="B357" s="190"/>
      <c r="C357" s="193"/>
      <c r="D357" s="27" t="s">
        <v>3</v>
      </c>
      <c r="E357" s="28">
        <v>2</v>
      </c>
      <c r="F357" s="28">
        <v>32</v>
      </c>
      <c r="G357" s="27" t="s">
        <v>66</v>
      </c>
      <c r="H357" s="27"/>
      <c r="I357" s="48"/>
      <c r="L357" s="190"/>
      <c r="M357" s="193"/>
      <c r="N357" s="27" t="s">
        <v>3</v>
      </c>
      <c r="O357" s="28">
        <v>2</v>
      </c>
      <c r="P357" s="28">
        <v>32</v>
      </c>
      <c r="Q357" s="27" t="s">
        <v>66</v>
      </c>
      <c r="R357" s="27"/>
      <c r="S357" s="48"/>
    </row>
    <row r="358" spans="2:19" x14ac:dyDescent="0.25">
      <c r="B358" s="190"/>
      <c r="C358" s="193"/>
      <c r="D358" s="27" t="s">
        <v>80</v>
      </c>
      <c r="E358" s="28">
        <v>3</v>
      </c>
      <c r="F358" s="28">
        <v>33</v>
      </c>
      <c r="G358" s="27" t="s">
        <v>66</v>
      </c>
      <c r="H358" s="27"/>
      <c r="I358" s="48"/>
      <c r="L358" s="190"/>
      <c r="M358" s="193"/>
      <c r="N358" s="27" t="s">
        <v>80</v>
      </c>
      <c r="O358" s="28">
        <v>3</v>
      </c>
      <c r="P358" s="28">
        <v>33</v>
      </c>
      <c r="Q358" s="27" t="s">
        <v>66</v>
      </c>
      <c r="R358" s="27"/>
      <c r="S358" s="48"/>
    </row>
    <row r="359" spans="2:19" x14ac:dyDescent="0.25">
      <c r="B359" s="190"/>
      <c r="C359" s="193"/>
      <c r="D359" s="27" t="s">
        <v>81</v>
      </c>
      <c r="E359" s="28">
        <v>4</v>
      </c>
      <c r="F359" s="28">
        <v>34</v>
      </c>
      <c r="G359" s="27" t="s">
        <v>66</v>
      </c>
      <c r="H359" s="27"/>
      <c r="I359" s="48"/>
      <c r="L359" s="190"/>
      <c r="M359" s="193"/>
      <c r="N359" s="27" t="s">
        <v>81</v>
      </c>
      <c r="O359" s="28">
        <v>4</v>
      </c>
      <c r="P359" s="28">
        <v>34</v>
      </c>
      <c r="Q359" s="27" t="s">
        <v>66</v>
      </c>
      <c r="R359" s="27"/>
      <c r="S359" s="48"/>
    </row>
    <row r="360" spans="2:19" x14ac:dyDescent="0.25">
      <c r="B360" s="190"/>
      <c r="C360" s="193"/>
      <c r="D360" s="27" t="s">
        <v>82</v>
      </c>
      <c r="E360" s="28">
        <v>5</v>
      </c>
      <c r="F360" s="28">
        <v>35</v>
      </c>
      <c r="G360" s="27" t="s">
        <v>66</v>
      </c>
      <c r="H360" s="27"/>
      <c r="I360" s="48"/>
      <c r="L360" s="190"/>
      <c r="M360" s="193"/>
      <c r="N360" s="27" t="s">
        <v>82</v>
      </c>
      <c r="O360" s="28">
        <v>5</v>
      </c>
      <c r="P360" s="28">
        <v>35</v>
      </c>
      <c r="Q360" s="27" t="s">
        <v>66</v>
      </c>
      <c r="R360" s="27"/>
      <c r="S360" s="48"/>
    </row>
    <row r="361" spans="2:19" ht="15.75" thickBot="1" x14ac:dyDescent="0.3">
      <c r="B361" s="191"/>
      <c r="C361" s="194"/>
      <c r="D361" s="27" t="s">
        <v>83</v>
      </c>
      <c r="E361" s="28">
        <v>6</v>
      </c>
      <c r="F361" s="28">
        <v>36</v>
      </c>
      <c r="G361" s="27" t="s">
        <v>66</v>
      </c>
      <c r="H361" s="27"/>
      <c r="I361" s="48"/>
      <c r="L361" s="191"/>
      <c r="M361" s="194"/>
      <c r="N361" s="27" t="s">
        <v>83</v>
      </c>
      <c r="O361" s="28">
        <v>6</v>
      </c>
      <c r="P361" s="28">
        <v>36</v>
      </c>
      <c r="Q361" s="27" t="s">
        <v>66</v>
      </c>
      <c r="R361" s="27"/>
      <c r="S361" s="48"/>
    </row>
    <row r="362" spans="2:19" x14ac:dyDescent="0.25">
      <c r="B362" s="183" t="s">
        <v>81</v>
      </c>
      <c r="C362" s="186" t="s">
        <v>77</v>
      </c>
      <c r="D362" s="29" t="s">
        <v>2</v>
      </c>
      <c r="E362" s="30">
        <v>1</v>
      </c>
      <c r="F362" s="30">
        <v>37</v>
      </c>
      <c r="G362" s="29" t="s">
        <v>66</v>
      </c>
      <c r="H362" s="29"/>
      <c r="I362" s="49"/>
      <c r="L362" s="183" t="s">
        <v>81</v>
      </c>
      <c r="M362" s="186" t="s">
        <v>77</v>
      </c>
      <c r="N362" s="29" t="s">
        <v>2</v>
      </c>
      <c r="O362" s="30">
        <v>1</v>
      </c>
      <c r="P362" s="30">
        <v>37</v>
      </c>
      <c r="Q362" s="29" t="s">
        <v>66</v>
      </c>
      <c r="R362" s="29"/>
      <c r="S362" s="49"/>
    </row>
    <row r="363" spans="2:19" x14ac:dyDescent="0.25">
      <c r="B363" s="184"/>
      <c r="C363" s="187"/>
      <c r="D363" s="29" t="s">
        <v>3</v>
      </c>
      <c r="E363" s="30">
        <v>2</v>
      </c>
      <c r="F363" s="30">
        <v>38</v>
      </c>
      <c r="G363" s="29" t="s">
        <v>66</v>
      </c>
      <c r="H363" s="29"/>
      <c r="I363" s="49"/>
      <c r="L363" s="184"/>
      <c r="M363" s="187"/>
      <c r="N363" s="29" t="s">
        <v>3</v>
      </c>
      <c r="O363" s="30">
        <v>2</v>
      </c>
      <c r="P363" s="30">
        <v>38</v>
      </c>
      <c r="Q363" s="29" t="s">
        <v>66</v>
      </c>
      <c r="R363" s="29"/>
      <c r="S363" s="49"/>
    </row>
    <row r="364" spans="2:19" x14ac:dyDescent="0.25">
      <c r="B364" s="184"/>
      <c r="C364" s="187"/>
      <c r="D364" s="29" t="s">
        <v>80</v>
      </c>
      <c r="E364" s="30">
        <v>3</v>
      </c>
      <c r="F364" s="30">
        <v>39</v>
      </c>
      <c r="G364" s="29" t="s">
        <v>66</v>
      </c>
      <c r="H364" s="29"/>
      <c r="I364" s="49"/>
      <c r="L364" s="184"/>
      <c r="M364" s="187"/>
      <c r="N364" s="29" t="s">
        <v>80</v>
      </c>
      <c r="O364" s="30">
        <v>3</v>
      </c>
      <c r="P364" s="30">
        <v>39</v>
      </c>
      <c r="Q364" s="29" t="s">
        <v>66</v>
      </c>
      <c r="R364" s="29"/>
      <c r="S364" s="49"/>
    </row>
    <row r="365" spans="2:19" x14ac:dyDescent="0.25">
      <c r="B365" s="184"/>
      <c r="C365" s="187"/>
      <c r="D365" s="29" t="s">
        <v>81</v>
      </c>
      <c r="E365" s="30">
        <v>4</v>
      </c>
      <c r="F365" s="30">
        <v>40</v>
      </c>
      <c r="G365" s="29" t="s">
        <v>66</v>
      </c>
      <c r="H365" s="29"/>
      <c r="I365" s="49"/>
      <c r="L365" s="184"/>
      <c r="M365" s="187"/>
      <c r="N365" s="29" t="s">
        <v>81</v>
      </c>
      <c r="O365" s="30">
        <v>4</v>
      </c>
      <c r="P365" s="30">
        <v>40</v>
      </c>
      <c r="Q365" s="29" t="s">
        <v>66</v>
      </c>
      <c r="R365" s="29"/>
      <c r="S365" s="49"/>
    </row>
    <row r="366" spans="2:19" x14ac:dyDescent="0.25">
      <c r="B366" s="184"/>
      <c r="C366" s="187"/>
      <c r="D366" s="29" t="s">
        <v>82</v>
      </c>
      <c r="E366" s="30">
        <v>5</v>
      </c>
      <c r="F366" s="30">
        <v>41</v>
      </c>
      <c r="G366" s="29" t="s">
        <v>66</v>
      </c>
      <c r="H366" s="29"/>
      <c r="I366" s="49"/>
      <c r="L366" s="184"/>
      <c r="M366" s="187"/>
      <c r="N366" s="29" t="s">
        <v>82</v>
      </c>
      <c r="O366" s="30">
        <v>5</v>
      </c>
      <c r="P366" s="30">
        <v>41</v>
      </c>
      <c r="Q366" s="29" t="s">
        <v>66</v>
      </c>
      <c r="R366" s="29"/>
      <c r="S366" s="49"/>
    </row>
    <row r="367" spans="2:19" ht="15.75" thickBot="1" x14ac:dyDescent="0.3">
      <c r="B367" s="184"/>
      <c r="C367" s="188"/>
      <c r="D367" s="29" t="s">
        <v>83</v>
      </c>
      <c r="E367" s="30">
        <v>6</v>
      </c>
      <c r="F367" s="30">
        <v>42</v>
      </c>
      <c r="G367" s="29" t="s">
        <v>66</v>
      </c>
      <c r="H367" s="29"/>
      <c r="I367" s="49"/>
      <c r="L367" s="184"/>
      <c r="M367" s="188"/>
      <c r="N367" s="29" t="s">
        <v>83</v>
      </c>
      <c r="O367" s="30">
        <v>6</v>
      </c>
      <c r="P367" s="30">
        <v>42</v>
      </c>
      <c r="Q367" s="29" t="s">
        <v>66</v>
      </c>
      <c r="R367" s="29"/>
      <c r="S367" s="49"/>
    </row>
    <row r="368" spans="2:19" x14ac:dyDescent="0.25">
      <c r="B368" s="184"/>
      <c r="C368" s="186" t="s">
        <v>84</v>
      </c>
      <c r="D368" s="29" t="s">
        <v>2</v>
      </c>
      <c r="E368" s="30">
        <v>1</v>
      </c>
      <c r="F368" s="30">
        <v>43</v>
      </c>
      <c r="G368" s="29" t="s">
        <v>66</v>
      </c>
      <c r="H368" s="29"/>
      <c r="I368" s="49"/>
      <c r="L368" s="184"/>
      <c r="M368" s="186" t="s">
        <v>84</v>
      </c>
      <c r="N368" s="29" t="s">
        <v>2</v>
      </c>
      <c r="O368" s="30">
        <v>1</v>
      </c>
      <c r="P368" s="30">
        <v>43</v>
      </c>
      <c r="Q368" s="29" t="s">
        <v>66</v>
      </c>
      <c r="R368" s="29"/>
      <c r="S368" s="49"/>
    </row>
    <row r="369" spans="2:19" x14ac:dyDescent="0.25">
      <c r="B369" s="184"/>
      <c r="C369" s="187"/>
      <c r="D369" s="29" t="s">
        <v>3</v>
      </c>
      <c r="E369" s="30">
        <v>2</v>
      </c>
      <c r="F369" s="30">
        <v>44</v>
      </c>
      <c r="G369" s="29" t="s">
        <v>66</v>
      </c>
      <c r="H369" s="29"/>
      <c r="I369" s="49"/>
      <c r="L369" s="184"/>
      <c r="M369" s="187"/>
      <c r="N369" s="29" t="s">
        <v>3</v>
      </c>
      <c r="O369" s="30">
        <v>2</v>
      </c>
      <c r="P369" s="30">
        <v>44</v>
      </c>
      <c r="Q369" s="29" t="s">
        <v>66</v>
      </c>
      <c r="R369" s="29"/>
      <c r="S369" s="49"/>
    </row>
    <row r="370" spans="2:19" x14ac:dyDescent="0.25">
      <c r="B370" s="184"/>
      <c r="C370" s="187"/>
      <c r="D370" s="29" t="s">
        <v>80</v>
      </c>
      <c r="E370" s="30">
        <v>3</v>
      </c>
      <c r="F370" s="30">
        <v>45</v>
      </c>
      <c r="G370" s="29" t="s">
        <v>66</v>
      </c>
      <c r="H370" s="29"/>
      <c r="I370" s="49"/>
      <c r="L370" s="184"/>
      <c r="M370" s="187"/>
      <c r="N370" s="29" t="s">
        <v>80</v>
      </c>
      <c r="O370" s="30">
        <v>3</v>
      </c>
      <c r="P370" s="30">
        <v>45</v>
      </c>
      <c r="Q370" s="29" t="s">
        <v>66</v>
      </c>
      <c r="R370" s="29"/>
      <c r="S370" s="49"/>
    </row>
    <row r="371" spans="2:19" x14ac:dyDescent="0.25">
      <c r="B371" s="184"/>
      <c r="C371" s="187"/>
      <c r="D371" s="29" t="s">
        <v>81</v>
      </c>
      <c r="E371" s="30">
        <v>4</v>
      </c>
      <c r="F371" s="30">
        <v>46</v>
      </c>
      <c r="G371" s="29" t="s">
        <v>66</v>
      </c>
      <c r="H371" s="29"/>
      <c r="I371" s="49"/>
      <c r="L371" s="184"/>
      <c r="M371" s="187"/>
      <c r="N371" s="29" t="s">
        <v>81</v>
      </c>
      <c r="O371" s="30">
        <v>4</v>
      </c>
      <c r="P371" s="30">
        <v>46</v>
      </c>
      <c r="Q371" s="29" t="s">
        <v>66</v>
      </c>
      <c r="R371" s="29"/>
      <c r="S371" s="49"/>
    </row>
    <row r="372" spans="2:19" x14ac:dyDescent="0.25">
      <c r="B372" s="184"/>
      <c r="C372" s="187"/>
      <c r="D372" s="29" t="s">
        <v>82</v>
      </c>
      <c r="E372" s="30">
        <v>5</v>
      </c>
      <c r="F372" s="30">
        <v>47</v>
      </c>
      <c r="G372" s="29" t="s">
        <v>66</v>
      </c>
      <c r="H372" s="29"/>
      <c r="I372" s="49"/>
      <c r="L372" s="184"/>
      <c r="M372" s="187"/>
      <c r="N372" s="29" t="s">
        <v>82</v>
      </c>
      <c r="O372" s="30">
        <v>5</v>
      </c>
      <c r="P372" s="30">
        <v>47</v>
      </c>
      <c r="Q372" s="29" t="s">
        <v>66</v>
      </c>
      <c r="R372" s="29"/>
      <c r="S372" s="49"/>
    </row>
    <row r="373" spans="2:19" ht="15.75" thickBot="1" x14ac:dyDescent="0.3">
      <c r="B373" s="185"/>
      <c r="C373" s="188"/>
      <c r="D373" s="29" t="s">
        <v>83</v>
      </c>
      <c r="E373" s="30">
        <v>6</v>
      </c>
      <c r="F373" s="30">
        <v>48</v>
      </c>
      <c r="G373" s="29" t="s">
        <v>66</v>
      </c>
      <c r="H373" s="29"/>
      <c r="I373" s="49"/>
      <c r="L373" s="185"/>
      <c r="M373" s="188"/>
      <c r="N373" s="29" t="s">
        <v>83</v>
      </c>
      <c r="O373" s="30">
        <v>6</v>
      </c>
      <c r="P373" s="30">
        <v>48</v>
      </c>
      <c r="Q373" s="29" t="s">
        <v>66</v>
      </c>
      <c r="R373" s="29"/>
      <c r="S373" s="49"/>
    </row>
    <row r="374" spans="2:19" ht="15.75" thickBot="1" x14ac:dyDescent="0.3"/>
    <row r="375" spans="2:19" ht="15.75" thickBot="1" x14ac:dyDescent="0.3">
      <c r="B375" s="171" t="s">
        <v>266</v>
      </c>
      <c r="C375" s="172"/>
      <c r="D375" s="172"/>
      <c r="E375" s="172"/>
      <c r="F375" s="172"/>
      <c r="G375" s="172"/>
      <c r="H375" s="172"/>
      <c r="I375" s="173"/>
      <c r="L375" s="171" t="s">
        <v>267</v>
      </c>
      <c r="M375" s="172"/>
      <c r="N375" s="172"/>
      <c r="O375" s="172"/>
      <c r="P375" s="172"/>
      <c r="Q375" s="172"/>
      <c r="R375" s="172"/>
      <c r="S375" s="173"/>
    </row>
    <row r="376" spans="2:19" ht="13.5" customHeight="1" x14ac:dyDescent="0.25"/>
    <row r="377" spans="2:19" ht="26.25" thickBot="1" x14ac:dyDescent="0.3">
      <c r="B377" s="15" t="s">
        <v>70</v>
      </c>
      <c r="C377" s="16" t="s">
        <v>71</v>
      </c>
      <c r="D377" s="15" t="s">
        <v>72</v>
      </c>
      <c r="E377" s="17" t="s">
        <v>73</v>
      </c>
      <c r="F377" s="17" t="s">
        <v>74</v>
      </c>
      <c r="G377" s="15" t="s">
        <v>75</v>
      </c>
      <c r="H377" s="15" t="s">
        <v>55</v>
      </c>
      <c r="I377" s="15" t="s">
        <v>76</v>
      </c>
      <c r="L377" s="15" t="s">
        <v>70</v>
      </c>
      <c r="M377" s="16" t="s">
        <v>71</v>
      </c>
      <c r="N377" s="15" t="s">
        <v>72</v>
      </c>
      <c r="O377" s="17" t="s">
        <v>73</v>
      </c>
      <c r="P377" s="17" t="s">
        <v>74</v>
      </c>
      <c r="Q377" s="15" t="s">
        <v>75</v>
      </c>
      <c r="R377" s="15" t="s">
        <v>55</v>
      </c>
      <c r="S377" s="15" t="s">
        <v>76</v>
      </c>
    </row>
    <row r="378" spans="2:19" x14ac:dyDescent="0.25">
      <c r="B378" s="174" t="s">
        <v>2</v>
      </c>
      <c r="C378" s="168" t="s">
        <v>77</v>
      </c>
      <c r="D378" s="18" t="s">
        <v>2</v>
      </c>
      <c r="E378" s="19">
        <v>1</v>
      </c>
      <c r="F378" s="19">
        <v>1</v>
      </c>
      <c r="G378" s="18" t="s">
        <v>78</v>
      </c>
      <c r="H378" s="156" t="s">
        <v>79</v>
      </c>
      <c r="I378" s="165" t="s">
        <v>162</v>
      </c>
      <c r="L378" s="174" t="s">
        <v>2</v>
      </c>
      <c r="M378" s="168" t="s">
        <v>77</v>
      </c>
      <c r="N378" s="18" t="s">
        <v>2</v>
      </c>
      <c r="O378" s="19">
        <v>1</v>
      </c>
      <c r="P378" s="19">
        <v>1</v>
      </c>
      <c r="Q378" s="18" t="s">
        <v>78</v>
      </c>
      <c r="R378" s="156" t="s">
        <v>79</v>
      </c>
      <c r="S378" s="165" t="s">
        <v>156</v>
      </c>
    </row>
    <row r="379" spans="2:19" x14ac:dyDescent="0.25">
      <c r="B379" s="175"/>
      <c r="C379" s="169"/>
      <c r="D379" s="18" t="s">
        <v>3</v>
      </c>
      <c r="E379" s="19">
        <v>2</v>
      </c>
      <c r="F379" s="19">
        <v>2</v>
      </c>
      <c r="G379" s="18" t="s">
        <v>78</v>
      </c>
      <c r="H379" s="157"/>
      <c r="I379" s="166"/>
      <c r="L379" s="175"/>
      <c r="M379" s="169"/>
      <c r="N379" s="18" t="s">
        <v>3</v>
      </c>
      <c r="O379" s="19">
        <v>2</v>
      </c>
      <c r="P379" s="19">
        <v>2</v>
      </c>
      <c r="Q379" s="18" t="s">
        <v>78</v>
      </c>
      <c r="R379" s="157"/>
      <c r="S379" s="166"/>
    </row>
    <row r="380" spans="2:19" x14ac:dyDescent="0.25">
      <c r="B380" s="175"/>
      <c r="C380" s="169"/>
      <c r="D380" s="18" t="s">
        <v>80</v>
      </c>
      <c r="E380" s="20">
        <v>3</v>
      </c>
      <c r="F380" s="20">
        <v>3</v>
      </c>
      <c r="G380" s="18" t="s">
        <v>66</v>
      </c>
      <c r="H380" s="157"/>
      <c r="I380" s="166"/>
      <c r="L380" s="175"/>
      <c r="M380" s="169"/>
      <c r="N380" s="18" t="s">
        <v>80</v>
      </c>
      <c r="O380" s="20">
        <v>3</v>
      </c>
      <c r="P380" s="20">
        <v>3</v>
      </c>
      <c r="Q380" s="18" t="s">
        <v>66</v>
      </c>
      <c r="R380" s="157"/>
      <c r="S380" s="166"/>
    </row>
    <row r="381" spans="2:19" x14ac:dyDescent="0.25">
      <c r="B381" s="175"/>
      <c r="C381" s="169"/>
      <c r="D381" s="18" t="s">
        <v>81</v>
      </c>
      <c r="E381" s="20">
        <v>4</v>
      </c>
      <c r="F381" s="20">
        <v>4</v>
      </c>
      <c r="G381" s="18" t="s">
        <v>66</v>
      </c>
      <c r="H381" s="157"/>
      <c r="I381" s="166"/>
      <c r="L381" s="175"/>
      <c r="M381" s="169"/>
      <c r="N381" s="18" t="s">
        <v>81</v>
      </c>
      <c r="O381" s="20">
        <v>4</v>
      </c>
      <c r="P381" s="20">
        <v>4</v>
      </c>
      <c r="Q381" s="18" t="s">
        <v>66</v>
      </c>
      <c r="R381" s="157"/>
      <c r="S381" s="166"/>
    </row>
    <row r="382" spans="2:19" x14ac:dyDescent="0.25">
      <c r="B382" s="175"/>
      <c r="C382" s="169"/>
      <c r="D382" s="18" t="s">
        <v>82</v>
      </c>
      <c r="E382" s="20">
        <v>5</v>
      </c>
      <c r="F382" s="20">
        <v>5</v>
      </c>
      <c r="G382" s="18" t="s">
        <v>66</v>
      </c>
      <c r="H382" s="157"/>
      <c r="I382" s="166"/>
      <c r="L382" s="175"/>
      <c r="M382" s="169"/>
      <c r="N382" s="18" t="s">
        <v>82</v>
      </c>
      <c r="O382" s="20">
        <v>5</v>
      </c>
      <c r="P382" s="20">
        <v>5</v>
      </c>
      <c r="Q382" s="18" t="s">
        <v>66</v>
      </c>
      <c r="R382" s="157"/>
      <c r="S382" s="166"/>
    </row>
    <row r="383" spans="2:19" ht="15.75" thickBot="1" x14ac:dyDescent="0.3">
      <c r="B383" s="175"/>
      <c r="C383" s="170"/>
      <c r="D383" s="18" t="s">
        <v>83</v>
      </c>
      <c r="E383" s="20">
        <v>6</v>
      </c>
      <c r="F383" s="20">
        <v>6</v>
      </c>
      <c r="G383" s="18" t="s">
        <v>66</v>
      </c>
      <c r="H383" s="158"/>
      <c r="I383" s="167"/>
      <c r="L383" s="175"/>
      <c r="M383" s="170"/>
      <c r="N383" s="18" t="s">
        <v>83</v>
      </c>
      <c r="O383" s="20">
        <v>6</v>
      </c>
      <c r="P383" s="20">
        <v>6</v>
      </c>
      <c r="Q383" s="18" t="s">
        <v>66</v>
      </c>
      <c r="R383" s="158"/>
      <c r="S383" s="167"/>
    </row>
    <row r="384" spans="2:19" x14ac:dyDescent="0.25">
      <c r="B384" s="175"/>
      <c r="C384" s="168" t="s">
        <v>84</v>
      </c>
      <c r="D384" s="18" t="s">
        <v>2</v>
      </c>
      <c r="E384" s="19">
        <v>1</v>
      </c>
      <c r="F384" s="19">
        <v>7</v>
      </c>
      <c r="G384" s="18" t="s">
        <v>66</v>
      </c>
      <c r="H384" s="32"/>
      <c r="I384" s="50"/>
      <c r="L384" s="175"/>
      <c r="M384" s="168" t="s">
        <v>84</v>
      </c>
      <c r="N384" s="18" t="s">
        <v>2</v>
      </c>
      <c r="O384" s="19">
        <v>1</v>
      </c>
      <c r="P384" s="19">
        <v>7</v>
      </c>
      <c r="Q384" s="18" t="s">
        <v>66</v>
      </c>
      <c r="R384" s="32"/>
      <c r="S384" s="50"/>
    </row>
    <row r="385" spans="2:19" x14ac:dyDescent="0.25">
      <c r="B385" s="175"/>
      <c r="C385" s="169"/>
      <c r="D385" s="18" t="s">
        <v>3</v>
      </c>
      <c r="E385" s="19">
        <v>2</v>
      </c>
      <c r="F385" s="19">
        <v>8</v>
      </c>
      <c r="G385" s="18" t="s">
        <v>66</v>
      </c>
      <c r="H385" s="32"/>
      <c r="I385" s="50"/>
      <c r="L385" s="175"/>
      <c r="M385" s="169"/>
      <c r="N385" s="18" t="s">
        <v>3</v>
      </c>
      <c r="O385" s="19">
        <v>2</v>
      </c>
      <c r="P385" s="19">
        <v>8</v>
      </c>
      <c r="Q385" s="18" t="s">
        <v>66</v>
      </c>
      <c r="R385" s="32"/>
      <c r="S385" s="50"/>
    </row>
    <row r="386" spans="2:19" x14ac:dyDescent="0.25">
      <c r="B386" s="175"/>
      <c r="C386" s="169"/>
      <c r="D386" s="18" t="s">
        <v>80</v>
      </c>
      <c r="E386" s="20">
        <v>3</v>
      </c>
      <c r="F386" s="20">
        <v>9</v>
      </c>
      <c r="G386" s="18" t="s">
        <v>66</v>
      </c>
      <c r="H386" s="32"/>
      <c r="I386" s="50"/>
      <c r="L386" s="175"/>
      <c r="M386" s="169"/>
      <c r="N386" s="18" t="s">
        <v>80</v>
      </c>
      <c r="O386" s="20">
        <v>3</v>
      </c>
      <c r="P386" s="20">
        <v>9</v>
      </c>
      <c r="Q386" s="18" t="s">
        <v>66</v>
      </c>
      <c r="R386" s="32"/>
      <c r="S386" s="50"/>
    </row>
    <row r="387" spans="2:19" x14ac:dyDescent="0.25">
      <c r="B387" s="175"/>
      <c r="C387" s="169"/>
      <c r="D387" s="18" t="s">
        <v>81</v>
      </c>
      <c r="E387" s="20">
        <v>4</v>
      </c>
      <c r="F387" s="20">
        <v>10</v>
      </c>
      <c r="G387" s="18" t="s">
        <v>66</v>
      </c>
      <c r="H387" s="32"/>
      <c r="I387" s="50"/>
      <c r="L387" s="175"/>
      <c r="M387" s="169"/>
      <c r="N387" s="18" t="s">
        <v>81</v>
      </c>
      <c r="O387" s="20">
        <v>4</v>
      </c>
      <c r="P387" s="20">
        <v>10</v>
      </c>
      <c r="Q387" s="18" t="s">
        <v>66</v>
      </c>
      <c r="R387" s="32"/>
      <c r="S387" s="50"/>
    </row>
    <row r="388" spans="2:19" x14ac:dyDescent="0.25">
      <c r="B388" s="175"/>
      <c r="C388" s="169"/>
      <c r="D388" s="18" t="s">
        <v>82</v>
      </c>
      <c r="E388" s="20">
        <v>5</v>
      </c>
      <c r="F388" s="20">
        <v>11</v>
      </c>
      <c r="G388" s="18" t="s">
        <v>66</v>
      </c>
      <c r="H388" s="32"/>
      <c r="I388" s="50"/>
      <c r="L388" s="175"/>
      <c r="M388" s="169"/>
      <c r="N388" s="18" t="s">
        <v>82</v>
      </c>
      <c r="O388" s="20">
        <v>5</v>
      </c>
      <c r="P388" s="20">
        <v>11</v>
      </c>
      <c r="Q388" s="18" t="s">
        <v>66</v>
      </c>
      <c r="R388" s="32"/>
      <c r="S388" s="50"/>
    </row>
    <row r="389" spans="2:19" ht="15.75" thickBot="1" x14ac:dyDescent="0.3">
      <c r="B389" s="176"/>
      <c r="C389" s="170"/>
      <c r="D389" s="18" t="s">
        <v>83</v>
      </c>
      <c r="E389" s="20">
        <v>6</v>
      </c>
      <c r="F389" s="20">
        <v>12</v>
      </c>
      <c r="G389" s="18" t="s">
        <v>66</v>
      </c>
      <c r="H389" s="32"/>
      <c r="I389" s="50"/>
      <c r="L389" s="176"/>
      <c r="M389" s="170"/>
      <c r="N389" s="18" t="s">
        <v>83</v>
      </c>
      <c r="O389" s="20">
        <v>6</v>
      </c>
      <c r="P389" s="20">
        <v>12</v>
      </c>
      <c r="Q389" s="18" t="s">
        <v>66</v>
      </c>
      <c r="R389" s="32"/>
      <c r="S389" s="50"/>
    </row>
    <row r="390" spans="2:19" x14ac:dyDescent="0.25">
      <c r="B390" s="180" t="s">
        <v>3</v>
      </c>
      <c r="C390" s="177" t="s">
        <v>77</v>
      </c>
      <c r="D390" s="21" t="s">
        <v>2</v>
      </c>
      <c r="E390" s="22">
        <v>1</v>
      </c>
      <c r="F390" s="22">
        <v>13</v>
      </c>
      <c r="G390" s="21" t="s">
        <v>66</v>
      </c>
      <c r="H390" s="21"/>
      <c r="I390" s="51"/>
      <c r="L390" s="180" t="s">
        <v>3</v>
      </c>
      <c r="M390" s="177" t="s">
        <v>77</v>
      </c>
      <c r="N390" s="21" t="s">
        <v>2</v>
      </c>
      <c r="O390" s="22">
        <v>1</v>
      </c>
      <c r="P390" s="22">
        <v>13</v>
      </c>
      <c r="Q390" s="21" t="s">
        <v>66</v>
      </c>
      <c r="R390" s="21"/>
      <c r="S390" s="51"/>
    </row>
    <row r="391" spans="2:19" x14ac:dyDescent="0.25">
      <c r="B391" s="181"/>
      <c r="C391" s="178"/>
      <c r="D391" s="23" t="s">
        <v>3</v>
      </c>
      <c r="E391" s="24">
        <v>2</v>
      </c>
      <c r="F391" s="24">
        <v>14</v>
      </c>
      <c r="G391" s="23" t="s">
        <v>66</v>
      </c>
      <c r="H391" s="23"/>
      <c r="I391" s="47"/>
      <c r="L391" s="181"/>
      <c r="M391" s="178"/>
      <c r="N391" s="23" t="s">
        <v>3</v>
      </c>
      <c r="O391" s="24">
        <v>2</v>
      </c>
      <c r="P391" s="24">
        <v>14</v>
      </c>
      <c r="Q391" s="23" t="s">
        <v>66</v>
      </c>
      <c r="R391" s="23"/>
      <c r="S391" s="47"/>
    </row>
    <row r="392" spans="2:19" x14ac:dyDescent="0.25">
      <c r="B392" s="181"/>
      <c r="C392" s="178"/>
      <c r="D392" s="23" t="s">
        <v>80</v>
      </c>
      <c r="E392" s="24">
        <v>3</v>
      </c>
      <c r="F392" s="24">
        <v>15</v>
      </c>
      <c r="G392" s="23" t="s">
        <v>66</v>
      </c>
      <c r="H392" s="23"/>
      <c r="I392" s="47"/>
      <c r="L392" s="181"/>
      <c r="M392" s="178"/>
      <c r="N392" s="23" t="s">
        <v>80</v>
      </c>
      <c r="O392" s="24">
        <v>3</v>
      </c>
      <c r="P392" s="24">
        <v>15</v>
      </c>
      <c r="Q392" s="23" t="s">
        <v>66</v>
      </c>
      <c r="R392" s="23"/>
      <c r="S392" s="47"/>
    </row>
    <row r="393" spans="2:19" x14ac:dyDescent="0.25">
      <c r="B393" s="181"/>
      <c r="C393" s="178"/>
      <c r="D393" s="23" t="s">
        <v>81</v>
      </c>
      <c r="E393" s="24">
        <v>4</v>
      </c>
      <c r="F393" s="24">
        <v>16</v>
      </c>
      <c r="G393" s="23" t="s">
        <v>66</v>
      </c>
      <c r="H393" s="23"/>
      <c r="I393" s="47"/>
      <c r="L393" s="181"/>
      <c r="M393" s="178"/>
      <c r="N393" s="23" t="s">
        <v>81</v>
      </c>
      <c r="O393" s="24">
        <v>4</v>
      </c>
      <c r="P393" s="24">
        <v>16</v>
      </c>
      <c r="Q393" s="23" t="s">
        <v>66</v>
      </c>
      <c r="R393" s="23"/>
      <c r="S393" s="47"/>
    </row>
    <row r="394" spans="2:19" x14ac:dyDescent="0.25">
      <c r="B394" s="181"/>
      <c r="C394" s="178"/>
      <c r="D394" s="23" t="s">
        <v>82</v>
      </c>
      <c r="E394" s="24">
        <v>5</v>
      </c>
      <c r="F394" s="24">
        <v>17</v>
      </c>
      <c r="G394" s="23" t="s">
        <v>66</v>
      </c>
      <c r="H394" s="23"/>
      <c r="I394" s="47"/>
      <c r="L394" s="181"/>
      <c r="M394" s="178"/>
      <c r="N394" s="23" t="s">
        <v>82</v>
      </c>
      <c r="O394" s="24">
        <v>5</v>
      </c>
      <c r="P394" s="24">
        <v>17</v>
      </c>
      <c r="Q394" s="23" t="s">
        <v>66</v>
      </c>
      <c r="R394" s="23"/>
      <c r="S394" s="47"/>
    </row>
    <row r="395" spans="2:19" ht="15.75" thickBot="1" x14ac:dyDescent="0.3">
      <c r="B395" s="181"/>
      <c r="C395" s="179"/>
      <c r="D395" s="23" t="s">
        <v>83</v>
      </c>
      <c r="E395" s="24">
        <v>6</v>
      </c>
      <c r="F395" s="24">
        <v>18</v>
      </c>
      <c r="G395" s="23" t="s">
        <v>66</v>
      </c>
      <c r="H395" s="23"/>
      <c r="I395" s="47"/>
      <c r="L395" s="181"/>
      <c r="M395" s="179"/>
      <c r="N395" s="23" t="s">
        <v>83</v>
      </c>
      <c r="O395" s="24">
        <v>6</v>
      </c>
      <c r="P395" s="24">
        <v>18</v>
      </c>
      <c r="Q395" s="23" t="s">
        <v>66</v>
      </c>
      <c r="R395" s="23"/>
      <c r="S395" s="47"/>
    </row>
    <row r="396" spans="2:19" x14ac:dyDescent="0.25">
      <c r="B396" s="181"/>
      <c r="C396" s="177" t="s">
        <v>84</v>
      </c>
      <c r="D396" s="23" t="s">
        <v>2</v>
      </c>
      <c r="E396" s="24">
        <v>1</v>
      </c>
      <c r="F396" s="24">
        <v>19</v>
      </c>
      <c r="G396" s="23" t="s">
        <v>66</v>
      </c>
      <c r="H396" s="23"/>
      <c r="I396" s="47"/>
      <c r="L396" s="181"/>
      <c r="M396" s="177" t="s">
        <v>84</v>
      </c>
      <c r="N396" s="23" t="s">
        <v>2</v>
      </c>
      <c r="O396" s="24">
        <v>1</v>
      </c>
      <c r="P396" s="24">
        <v>19</v>
      </c>
      <c r="Q396" s="23" t="s">
        <v>66</v>
      </c>
      <c r="R396" s="23"/>
      <c r="S396" s="47"/>
    </row>
    <row r="397" spans="2:19" x14ac:dyDescent="0.25">
      <c r="B397" s="181"/>
      <c r="C397" s="178"/>
      <c r="D397" s="23" t="s">
        <v>3</v>
      </c>
      <c r="E397" s="24">
        <v>2</v>
      </c>
      <c r="F397" s="24">
        <v>20</v>
      </c>
      <c r="G397" s="23" t="s">
        <v>66</v>
      </c>
      <c r="H397" s="23"/>
      <c r="I397" s="47"/>
      <c r="L397" s="181"/>
      <c r="M397" s="178"/>
      <c r="N397" s="23" t="s">
        <v>3</v>
      </c>
      <c r="O397" s="24">
        <v>2</v>
      </c>
      <c r="P397" s="24">
        <v>20</v>
      </c>
      <c r="Q397" s="23" t="s">
        <v>66</v>
      </c>
      <c r="R397" s="23"/>
      <c r="S397" s="47"/>
    </row>
    <row r="398" spans="2:19" x14ac:dyDescent="0.25">
      <c r="B398" s="181"/>
      <c r="C398" s="178"/>
      <c r="D398" s="23" t="s">
        <v>80</v>
      </c>
      <c r="E398" s="26">
        <v>3</v>
      </c>
      <c r="F398" s="24">
        <v>21</v>
      </c>
      <c r="G398" s="23" t="s">
        <v>66</v>
      </c>
      <c r="H398" s="23"/>
      <c r="I398" s="47"/>
      <c r="L398" s="181"/>
      <c r="M398" s="178"/>
      <c r="N398" s="23" t="s">
        <v>80</v>
      </c>
      <c r="O398" s="26">
        <v>3</v>
      </c>
      <c r="P398" s="24">
        <v>21</v>
      </c>
      <c r="Q398" s="23" t="s">
        <v>66</v>
      </c>
      <c r="R398" s="23"/>
      <c r="S398" s="47"/>
    </row>
    <row r="399" spans="2:19" x14ac:dyDescent="0.25">
      <c r="B399" s="181"/>
      <c r="C399" s="178"/>
      <c r="D399" s="23" t="s">
        <v>81</v>
      </c>
      <c r="E399" s="24">
        <v>4</v>
      </c>
      <c r="F399" s="24">
        <v>22</v>
      </c>
      <c r="G399" s="23" t="s">
        <v>66</v>
      </c>
      <c r="H399" s="23"/>
      <c r="I399" s="47"/>
      <c r="L399" s="181"/>
      <c r="M399" s="178"/>
      <c r="N399" s="23" t="s">
        <v>81</v>
      </c>
      <c r="O399" s="24">
        <v>4</v>
      </c>
      <c r="P399" s="24">
        <v>22</v>
      </c>
      <c r="Q399" s="23" t="s">
        <v>66</v>
      </c>
      <c r="R399" s="23"/>
      <c r="S399" s="47"/>
    </row>
    <row r="400" spans="2:19" x14ac:dyDescent="0.25">
      <c r="B400" s="181"/>
      <c r="C400" s="178"/>
      <c r="D400" s="23" t="s">
        <v>82</v>
      </c>
      <c r="E400" s="24">
        <v>5</v>
      </c>
      <c r="F400" s="24">
        <v>23</v>
      </c>
      <c r="G400" s="23" t="s">
        <v>66</v>
      </c>
      <c r="H400" s="23"/>
      <c r="I400" s="47"/>
      <c r="L400" s="181"/>
      <c r="M400" s="178"/>
      <c r="N400" s="23" t="s">
        <v>82</v>
      </c>
      <c r="O400" s="24">
        <v>5</v>
      </c>
      <c r="P400" s="24">
        <v>23</v>
      </c>
      <c r="Q400" s="23" t="s">
        <v>66</v>
      </c>
      <c r="R400" s="23"/>
      <c r="S400" s="47"/>
    </row>
    <row r="401" spans="2:19" ht="15.75" thickBot="1" x14ac:dyDescent="0.3">
      <c r="B401" s="182"/>
      <c r="C401" s="179"/>
      <c r="D401" s="23" t="s">
        <v>83</v>
      </c>
      <c r="E401" s="24">
        <v>6</v>
      </c>
      <c r="F401" s="24">
        <v>24</v>
      </c>
      <c r="G401" s="23" t="s">
        <v>66</v>
      </c>
      <c r="H401" s="23"/>
      <c r="I401" s="47"/>
      <c r="L401" s="182"/>
      <c r="M401" s="179"/>
      <c r="N401" s="23" t="s">
        <v>83</v>
      </c>
      <c r="O401" s="24">
        <v>6</v>
      </c>
      <c r="P401" s="24">
        <v>24</v>
      </c>
      <c r="Q401" s="23" t="s">
        <v>66</v>
      </c>
      <c r="R401" s="23"/>
      <c r="S401" s="47"/>
    </row>
    <row r="402" spans="2:19" x14ac:dyDescent="0.25">
      <c r="B402" s="189" t="s">
        <v>80</v>
      </c>
      <c r="C402" s="192" t="s">
        <v>77</v>
      </c>
      <c r="D402" s="27" t="s">
        <v>2</v>
      </c>
      <c r="E402" s="28">
        <v>1</v>
      </c>
      <c r="F402" s="28">
        <v>25</v>
      </c>
      <c r="G402" s="27" t="s">
        <v>66</v>
      </c>
      <c r="H402" s="27"/>
      <c r="I402" s="48"/>
      <c r="L402" s="189" t="s">
        <v>80</v>
      </c>
      <c r="M402" s="192" t="s">
        <v>77</v>
      </c>
      <c r="N402" s="27" t="s">
        <v>2</v>
      </c>
      <c r="O402" s="28">
        <v>1</v>
      </c>
      <c r="P402" s="28">
        <v>25</v>
      </c>
      <c r="Q402" s="27" t="s">
        <v>66</v>
      </c>
      <c r="R402" s="27"/>
      <c r="S402" s="48"/>
    </row>
    <row r="403" spans="2:19" x14ac:dyDescent="0.25">
      <c r="B403" s="190"/>
      <c r="C403" s="193"/>
      <c r="D403" s="27" t="s">
        <v>3</v>
      </c>
      <c r="E403" s="28">
        <v>2</v>
      </c>
      <c r="F403" s="28">
        <v>26</v>
      </c>
      <c r="G403" s="27" t="s">
        <v>66</v>
      </c>
      <c r="H403" s="27"/>
      <c r="I403" s="48"/>
      <c r="L403" s="190"/>
      <c r="M403" s="193"/>
      <c r="N403" s="27" t="s">
        <v>3</v>
      </c>
      <c r="O403" s="28">
        <v>2</v>
      </c>
      <c r="P403" s="28">
        <v>26</v>
      </c>
      <c r="Q403" s="27" t="s">
        <v>66</v>
      </c>
      <c r="R403" s="27"/>
      <c r="S403" s="48"/>
    </row>
    <row r="404" spans="2:19" x14ac:dyDescent="0.25">
      <c r="B404" s="190"/>
      <c r="C404" s="193"/>
      <c r="D404" s="27" t="s">
        <v>80</v>
      </c>
      <c r="E404" s="28">
        <v>3</v>
      </c>
      <c r="F404" s="28">
        <v>27</v>
      </c>
      <c r="G404" s="27" t="s">
        <v>66</v>
      </c>
      <c r="H404" s="27"/>
      <c r="I404" s="48"/>
      <c r="L404" s="190"/>
      <c r="M404" s="193"/>
      <c r="N404" s="27" t="s">
        <v>80</v>
      </c>
      <c r="O404" s="28">
        <v>3</v>
      </c>
      <c r="P404" s="28">
        <v>27</v>
      </c>
      <c r="Q404" s="27" t="s">
        <v>66</v>
      </c>
      <c r="R404" s="27"/>
      <c r="S404" s="48"/>
    </row>
    <row r="405" spans="2:19" x14ac:dyDescent="0.25">
      <c r="B405" s="190"/>
      <c r="C405" s="193"/>
      <c r="D405" s="27" t="s">
        <v>81</v>
      </c>
      <c r="E405" s="28">
        <v>4</v>
      </c>
      <c r="F405" s="28">
        <v>28</v>
      </c>
      <c r="G405" s="27" t="s">
        <v>66</v>
      </c>
      <c r="H405" s="27"/>
      <c r="I405" s="48"/>
      <c r="L405" s="190"/>
      <c r="M405" s="193"/>
      <c r="N405" s="27" t="s">
        <v>81</v>
      </c>
      <c r="O405" s="28">
        <v>4</v>
      </c>
      <c r="P405" s="28">
        <v>28</v>
      </c>
      <c r="Q405" s="27" t="s">
        <v>66</v>
      </c>
      <c r="R405" s="27"/>
      <c r="S405" s="48"/>
    </row>
    <row r="406" spans="2:19" x14ac:dyDescent="0.25">
      <c r="B406" s="190"/>
      <c r="C406" s="193"/>
      <c r="D406" s="27" t="s">
        <v>82</v>
      </c>
      <c r="E406" s="28">
        <v>5</v>
      </c>
      <c r="F406" s="28">
        <v>29</v>
      </c>
      <c r="G406" s="27" t="s">
        <v>66</v>
      </c>
      <c r="H406" s="27"/>
      <c r="I406" s="48"/>
      <c r="L406" s="190"/>
      <c r="M406" s="193"/>
      <c r="N406" s="27" t="s">
        <v>82</v>
      </c>
      <c r="O406" s="28">
        <v>5</v>
      </c>
      <c r="P406" s="28">
        <v>29</v>
      </c>
      <c r="Q406" s="27" t="s">
        <v>66</v>
      </c>
      <c r="R406" s="27"/>
      <c r="S406" s="48"/>
    </row>
    <row r="407" spans="2:19" ht="15.75" thickBot="1" x14ac:dyDescent="0.3">
      <c r="B407" s="190"/>
      <c r="C407" s="194"/>
      <c r="D407" s="27" t="s">
        <v>83</v>
      </c>
      <c r="E407" s="28">
        <v>6</v>
      </c>
      <c r="F407" s="28">
        <v>30</v>
      </c>
      <c r="G407" s="27" t="s">
        <v>66</v>
      </c>
      <c r="H407" s="27"/>
      <c r="I407" s="48"/>
      <c r="L407" s="190"/>
      <c r="M407" s="194"/>
      <c r="N407" s="27" t="s">
        <v>83</v>
      </c>
      <c r="O407" s="28">
        <v>6</v>
      </c>
      <c r="P407" s="28">
        <v>30</v>
      </c>
      <c r="Q407" s="27" t="s">
        <v>66</v>
      </c>
      <c r="R407" s="27"/>
      <c r="S407" s="48"/>
    </row>
    <row r="408" spans="2:19" x14ac:dyDescent="0.25">
      <c r="B408" s="190"/>
      <c r="C408" s="192" t="s">
        <v>84</v>
      </c>
      <c r="D408" s="27" t="s">
        <v>2</v>
      </c>
      <c r="E408" s="28">
        <v>1</v>
      </c>
      <c r="F408" s="28">
        <v>31</v>
      </c>
      <c r="G408" s="27" t="s">
        <v>66</v>
      </c>
      <c r="H408" s="27"/>
      <c r="I408" s="48"/>
      <c r="L408" s="190"/>
      <c r="M408" s="192" t="s">
        <v>84</v>
      </c>
      <c r="N408" s="27" t="s">
        <v>2</v>
      </c>
      <c r="O408" s="28">
        <v>1</v>
      </c>
      <c r="P408" s="28">
        <v>31</v>
      </c>
      <c r="Q408" s="27" t="s">
        <v>66</v>
      </c>
      <c r="R408" s="27"/>
      <c r="S408" s="48"/>
    </row>
    <row r="409" spans="2:19" x14ac:dyDescent="0.25">
      <c r="B409" s="190"/>
      <c r="C409" s="193"/>
      <c r="D409" s="27" t="s">
        <v>3</v>
      </c>
      <c r="E409" s="28">
        <v>2</v>
      </c>
      <c r="F409" s="28">
        <v>32</v>
      </c>
      <c r="G409" s="27" t="s">
        <v>66</v>
      </c>
      <c r="H409" s="27"/>
      <c r="I409" s="48"/>
      <c r="L409" s="190"/>
      <c r="M409" s="193"/>
      <c r="N409" s="27" t="s">
        <v>3</v>
      </c>
      <c r="O409" s="28">
        <v>2</v>
      </c>
      <c r="P409" s="28">
        <v>32</v>
      </c>
      <c r="Q409" s="27" t="s">
        <v>66</v>
      </c>
      <c r="R409" s="27"/>
      <c r="S409" s="48"/>
    </row>
    <row r="410" spans="2:19" x14ac:dyDescent="0.25">
      <c r="B410" s="190"/>
      <c r="C410" s="193"/>
      <c r="D410" s="27" t="s">
        <v>80</v>
      </c>
      <c r="E410" s="28">
        <v>3</v>
      </c>
      <c r="F410" s="28">
        <v>33</v>
      </c>
      <c r="G410" s="27" t="s">
        <v>66</v>
      </c>
      <c r="H410" s="27"/>
      <c r="I410" s="48"/>
      <c r="L410" s="190"/>
      <c r="M410" s="193"/>
      <c r="N410" s="27" t="s">
        <v>80</v>
      </c>
      <c r="O410" s="28">
        <v>3</v>
      </c>
      <c r="P410" s="28">
        <v>33</v>
      </c>
      <c r="Q410" s="27" t="s">
        <v>66</v>
      </c>
      <c r="R410" s="27"/>
      <c r="S410" s="48"/>
    </row>
    <row r="411" spans="2:19" x14ac:dyDescent="0.25">
      <c r="B411" s="190"/>
      <c r="C411" s="193"/>
      <c r="D411" s="27" t="s">
        <v>81</v>
      </c>
      <c r="E411" s="28">
        <v>4</v>
      </c>
      <c r="F411" s="28">
        <v>34</v>
      </c>
      <c r="G411" s="27" t="s">
        <v>66</v>
      </c>
      <c r="H411" s="27"/>
      <c r="I411" s="48"/>
      <c r="L411" s="190"/>
      <c r="M411" s="193"/>
      <c r="N411" s="27" t="s">
        <v>81</v>
      </c>
      <c r="O411" s="28">
        <v>4</v>
      </c>
      <c r="P411" s="28">
        <v>34</v>
      </c>
      <c r="Q411" s="27" t="s">
        <v>66</v>
      </c>
      <c r="R411" s="27"/>
      <c r="S411" s="48"/>
    </row>
    <row r="412" spans="2:19" x14ac:dyDescent="0.25">
      <c r="B412" s="190"/>
      <c r="C412" s="193"/>
      <c r="D412" s="27" t="s">
        <v>82</v>
      </c>
      <c r="E412" s="28">
        <v>5</v>
      </c>
      <c r="F412" s="28">
        <v>35</v>
      </c>
      <c r="G412" s="27" t="s">
        <v>66</v>
      </c>
      <c r="H412" s="27"/>
      <c r="I412" s="48"/>
      <c r="L412" s="190"/>
      <c r="M412" s="193"/>
      <c r="N412" s="27" t="s">
        <v>82</v>
      </c>
      <c r="O412" s="28">
        <v>5</v>
      </c>
      <c r="P412" s="28">
        <v>35</v>
      </c>
      <c r="Q412" s="27" t="s">
        <v>66</v>
      </c>
      <c r="R412" s="27"/>
      <c r="S412" s="48"/>
    </row>
    <row r="413" spans="2:19" ht="15.75" thickBot="1" x14ac:dyDescent="0.3">
      <c r="B413" s="191"/>
      <c r="C413" s="194"/>
      <c r="D413" s="27" t="s">
        <v>83</v>
      </c>
      <c r="E413" s="28">
        <v>6</v>
      </c>
      <c r="F413" s="28">
        <v>36</v>
      </c>
      <c r="G413" s="27" t="s">
        <v>66</v>
      </c>
      <c r="H413" s="27"/>
      <c r="I413" s="48"/>
      <c r="L413" s="191"/>
      <c r="M413" s="194"/>
      <c r="N413" s="27" t="s">
        <v>83</v>
      </c>
      <c r="O413" s="28">
        <v>6</v>
      </c>
      <c r="P413" s="28">
        <v>36</v>
      </c>
      <c r="Q413" s="27" t="s">
        <v>66</v>
      </c>
      <c r="R413" s="27"/>
      <c r="S413" s="48"/>
    </row>
    <row r="414" spans="2:19" x14ac:dyDescent="0.25">
      <c r="B414" s="183" t="s">
        <v>81</v>
      </c>
      <c r="C414" s="186" t="s">
        <v>77</v>
      </c>
      <c r="D414" s="29" t="s">
        <v>2</v>
      </c>
      <c r="E414" s="30">
        <v>1</v>
      </c>
      <c r="F414" s="30">
        <v>37</v>
      </c>
      <c r="G414" s="29" t="s">
        <v>66</v>
      </c>
      <c r="H414" s="29"/>
      <c r="I414" s="49"/>
      <c r="L414" s="183" t="s">
        <v>81</v>
      </c>
      <c r="M414" s="186" t="s">
        <v>77</v>
      </c>
      <c r="N414" s="29" t="s">
        <v>2</v>
      </c>
      <c r="O414" s="30">
        <v>1</v>
      </c>
      <c r="P414" s="30">
        <v>37</v>
      </c>
      <c r="Q414" s="29" t="s">
        <v>66</v>
      </c>
      <c r="R414" s="29"/>
      <c r="S414" s="49"/>
    </row>
    <row r="415" spans="2:19" x14ac:dyDescent="0.25">
      <c r="B415" s="184"/>
      <c r="C415" s="187"/>
      <c r="D415" s="29" t="s">
        <v>3</v>
      </c>
      <c r="E415" s="30">
        <v>2</v>
      </c>
      <c r="F415" s="30">
        <v>38</v>
      </c>
      <c r="G415" s="29" t="s">
        <v>66</v>
      </c>
      <c r="H415" s="29"/>
      <c r="I415" s="49"/>
      <c r="L415" s="184"/>
      <c r="M415" s="187"/>
      <c r="N415" s="29" t="s">
        <v>3</v>
      </c>
      <c r="O415" s="30">
        <v>2</v>
      </c>
      <c r="P415" s="30">
        <v>38</v>
      </c>
      <c r="Q415" s="29" t="s">
        <v>66</v>
      </c>
      <c r="R415" s="29"/>
      <c r="S415" s="49"/>
    </row>
    <row r="416" spans="2:19" x14ac:dyDescent="0.25">
      <c r="B416" s="184"/>
      <c r="C416" s="187"/>
      <c r="D416" s="29" t="s">
        <v>80</v>
      </c>
      <c r="E416" s="30">
        <v>3</v>
      </c>
      <c r="F416" s="30">
        <v>39</v>
      </c>
      <c r="G416" s="29" t="s">
        <v>66</v>
      </c>
      <c r="H416" s="29"/>
      <c r="I416" s="49"/>
      <c r="L416" s="184"/>
      <c r="M416" s="187"/>
      <c r="N416" s="29" t="s">
        <v>80</v>
      </c>
      <c r="O416" s="30">
        <v>3</v>
      </c>
      <c r="P416" s="30">
        <v>39</v>
      </c>
      <c r="Q416" s="29" t="s">
        <v>66</v>
      </c>
      <c r="R416" s="29"/>
      <c r="S416" s="49"/>
    </row>
    <row r="417" spans="2:19" x14ac:dyDescent="0.25">
      <c r="B417" s="184"/>
      <c r="C417" s="187"/>
      <c r="D417" s="29" t="s">
        <v>81</v>
      </c>
      <c r="E417" s="30">
        <v>4</v>
      </c>
      <c r="F417" s="30">
        <v>40</v>
      </c>
      <c r="G417" s="29" t="s">
        <v>66</v>
      </c>
      <c r="H417" s="29"/>
      <c r="I417" s="49"/>
      <c r="L417" s="184"/>
      <c r="M417" s="187"/>
      <c r="N417" s="29" t="s">
        <v>81</v>
      </c>
      <c r="O417" s="30">
        <v>4</v>
      </c>
      <c r="P417" s="30">
        <v>40</v>
      </c>
      <c r="Q417" s="29" t="s">
        <v>66</v>
      </c>
      <c r="R417" s="29"/>
      <c r="S417" s="49"/>
    </row>
    <row r="418" spans="2:19" x14ac:dyDescent="0.25">
      <c r="B418" s="184"/>
      <c r="C418" s="187"/>
      <c r="D418" s="29" t="s">
        <v>82</v>
      </c>
      <c r="E418" s="30">
        <v>5</v>
      </c>
      <c r="F418" s="30">
        <v>41</v>
      </c>
      <c r="G418" s="29" t="s">
        <v>66</v>
      </c>
      <c r="H418" s="29"/>
      <c r="I418" s="49"/>
      <c r="L418" s="184"/>
      <c r="M418" s="187"/>
      <c r="N418" s="29" t="s">
        <v>82</v>
      </c>
      <c r="O418" s="30">
        <v>5</v>
      </c>
      <c r="P418" s="30">
        <v>41</v>
      </c>
      <c r="Q418" s="29" t="s">
        <v>66</v>
      </c>
      <c r="R418" s="29"/>
      <c r="S418" s="49"/>
    </row>
    <row r="419" spans="2:19" ht="15.75" thickBot="1" x14ac:dyDescent="0.3">
      <c r="B419" s="184"/>
      <c r="C419" s="188"/>
      <c r="D419" s="29" t="s">
        <v>83</v>
      </c>
      <c r="E419" s="30">
        <v>6</v>
      </c>
      <c r="F419" s="30">
        <v>42</v>
      </c>
      <c r="G419" s="29" t="s">
        <v>66</v>
      </c>
      <c r="H419" s="29"/>
      <c r="I419" s="49"/>
      <c r="L419" s="184"/>
      <c r="M419" s="188"/>
      <c r="N419" s="29" t="s">
        <v>83</v>
      </c>
      <c r="O419" s="30">
        <v>6</v>
      </c>
      <c r="P419" s="30">
        <v>42</v>
      </c>
      <c r="Q419" s="29" t="s">
        <v>66</v>
      </c>
      <c r="R419" s="29"/>
      <c r="S419" s="49"/>
    </row>
    <row r="420" spans="2:19" x14ac:dyDescent="0.25">
      <c r="B420" s="184"/>
      <c r="C420" s="186" t="s">
        <v>84</v>
      </c>
      <c r="D420" s="29" t="s">
        <v>2</v>
      </c>
      <c r="E420" s="30">
        <v>1</v>
      </c>
      <c r="F420" s="30">
        <v>43</v>
      </c>
      <c r="G420" s="29" t="s">
        <v>66</v>
      </c>
      <c r="H420" s="29"/>
      <c r="I420" s="49"/>
      <c r="L420" s="184"/>
      <c r="M420" s="186" t="s">
        <v>84</v>
      </c>
      <c r="N420" s="29" t="s">
        <v>2</v>
      </c>
      <c r="O420" s="30">
        <v>1</v>
      </c>
      <c r="P420" s="30">
        <v>43</v>
      </c>
      <c r="Q420" s="29" t="s">
        <v>66</v>
      </c>
      <c r="R420" s="29"/>
      <c r="S420" s="49"/>
    </row>
    <row r="421" spans="2:19" x14ac:dyDescent="0.25">
      <c r="B421" s="184"/>
      <c r="C421" s="187"/>
      <c r="D421" s="29" t="s">
        <v>3</v>
      </c>
      <c r="E421" s="30">
        <v>2</v>
      </c>
      <c r="F421" s="30">
        <v>44</v>
      </c>
      <c r="G421" s="29" t="s">
        <v>66</v>
      </c>
      <c r="H421" s="29"/>
      <c r="I421" s="49"/>
      <c r="L421" s="184"/>
      <c r="M421" s="187"/>
      <c r="N421" s="29" t="s">
        <v>3</v>
      </c>
      <c r="O421" s="30">
        <v>2</v>
      </c>
      <c r="P421" s="30">
        <v>44</v>
      </c>
      <c r="Q421" s="29" t="s">
        <v>66</v>
      </c>
      <c r="R421" s="29"/>
      <c r="S421" s="49"/>
    </row>
    <row r="422" spans="2:19" x14ac:dyDescent="0.25">
      <c r="B422" s="184"/>
      <c r="C422" s="187"/>
      <c r="D422" s="29" t="s">
        <v>80</v>
      </c>
      <c r="E422" s="30">
        <v>3</v>
      </c>
      <c r="F422" s="30">
        <v>45</v>
      </c>
      <c r="G422" s="29" t="s">
        <v>66</v>
      </c>
      <c r="H422" s="29"/>
      <c r="I422" s="49"/>
      <c r="L422" s="184"/>
      <c r="M422" s="187"/>
      <c r="N422" s="29" t="s">
        <v>80</v>
      </c>
      <c r="O422" s="30">
        <v>3</v>
      </c>
      <c r="P422" s="30">
        <v>45</v>
      </c>
      <c r="Q422" s="29" t="s">
        <v>66</v>
      </c>
      <c r="R422" s="29"/>
      <c r="S422" s="49"/>
    </row>
    <row r="423" spans="2:19" x14ac:dyDescent="0.25">
      <c r="B423" s="184"/>
      <c r="C423" s="187"/>
      <c r="D423" s="29" t="s">
        <v>81</v>
      </c>
      <c r="E423" s="30">
        <v>4</v>
      </c>
      <c r="F423" s="30">
        <v>46</v>
      </c>
      <c r="G423" s="29" t="s">
        <v>66</v>
      </c>
      <c r="H423" s="29"/>
      <c r="I423" s="49"/>
      <c r="L423" s="184"/>
      <c r="M423" s="187"/>
      <c r="N423" s="29" t="s">
        <v>81</v>
      </c>
      <c r="O423" s="30">
        <v>4</v>
      </c>
      <c r="P423" s="30">
        <v>46</v>
      </c>
      <c r="Q423" s="29" t="s">
        <v>66</v>
      </c>
      <c r="R423" s="29"/>
      <c r="S423" s="49"/>
    </row>
    <row r="424" spans="2:19" x14ac:dyDescent="0.25">
      <c r="B424" s="184"/>
      <c r="C424" s="187"/>
      <c r="D424" s="29" t="s">
        <v>82</v>
      </c>
      <c r="E424" s="30">
        <v>5</v>
      </c>
      <c r="F424" s="30">
        <v>47</v>
      </c>
      <c r="G424" s="29" t="s">
        <v>66</v>
      </c>
      <c r="H424" s="29"/>
      <c r="I424" s="49"/>
      <c r="L424" s="184"/>
      <c r="M424" s="187"/>
      <c r="N424" s="29" t="s">
        <v>82</v>
      </c>
      <c r="O424" s="30">
        <v>5</v>
      </c>
      <c r="P424" s="30">
        <v>47</v>
      </c>
      <c r="Q424" s="29" t="s">
        <v>66</v>
      </c>
      <c r="R424" s="29"/>
      <c r="S424" s="49"/>
    </row>
    <row r="425" spans="2:19" ht="15.75" thickBot="1" x14ac:dyDescent="0.3">
      <c r="B425" s="185"/>
      <c r="C425" s="188"/>
      <c r="D425" s="29" t="s">
        <v>83</v>
      </c>
      <c r="E425" s="30">
        <v>6</v>
      </c>
      <c r="F425" s="30">
        <v>48</v>
      </c>
      <c r="G425" s="29" t="s">
        <v>66</v>
      </c>
      <c r="H425" s="29"/>
      <c r="I425" s="49"/>
      <c r="L425" s="185"/>
      <c r="M425" s="188"/>
      <c r="N425" s="29" t="s">
        <v>83</v>
      </c>
      <c r="O425" s="30">
        <v>6</v>
      </c>
      <c r="P425" s="30">
        <v>48</v>
      </c>
      <c r="Q425" s="29" t="s">
        <v>66</v>
      </c>
      <c r="R425" s="29"/>
      <c r="S425" s="49"/>
    </row>
    <row r="431" spans="2:19" ht="15.75" thickBot="1" x14ac:dyDescent="0.3"/>
    <row r="432" spans="2:19" ht="15.75" thickBot="1" x14ac:dyDescent="0.3">
      <c r="B432" s="171" t="s">
        <v>268</v>
      </c>
      <c r="C432" s="172"/>
      <c r="D432" s="172"/>
      <c r="E432" s="172"/>
      <c r="F432" s="172"/>
      <c r="G432" s="172"/>
      <c r="H432" s="172"/>
      <c r="I432" s="173"/>
      <c r="L432" s="171" t="s">
        <v>269</v>
      </c>
      <c r="M432" s="172"/>
      <c r="N432" s="172"/>
      <c r="O432" s="172"/>
      <c r="P432" s="172"/>
      <c r="Q432" s="172"/>
      <c r="R432" s="172"/>
      <c r="S432" s="173"/>
    </row>
    <row r="434" spans="2:19" ht="26.25" thickBot="1" x14ac:dyDescent="0.3">
      <c r="B434" s="15" t="s">
        <v>70</v>
      </c>
      <c r="C434" s="16" t="s">
        <v>71</v>
      </c>
      <c r="D434" s="15" t="s">
        <v>72</v>
      </c>
      <c r="E434" s="17" t="s">
        <v>73</v>
      </c>
      <c r="F434" s="17" t="s">
        <v>74</v>
      </c>
      <c r="G434" s="15" t="s">
        <v>75</v>
      </c>
      <c r="H434" s="15" t="s">
        <v>55</v>
      </c>
      <c r="I434" s="15" t="s">
        <v>76</v>
      </c>
      <c r="L434" s="15" t="s">
        <v>70</v>
      </c>
      <c r="M434" s="16" t="s">
        <v>71</v>
      </c>
      <c r="N434" s="15" t="s">
        <v>72</v>
      </c>
      <c r="O434" s="17" t="s">
        <v>73</v>
      </c>
      <c r="P434" s="17" t="s">
        <v>74</v>
      </c>
      <c r="Q434" s="15" t="s">
        <v>75</v>
      </c>
      <c r="R434" s="15" t="s">
        <v>55</v>
      </c>
      <c r="S434" s="15" t="s">
        <v>76</v>
      </c>
    </row>
    <row r="435" spans="2:19" x14ac:dyDescent="0.25">
      <c r="B435" s="174" t="s">
        <v>2</v>
      </c>
      <c r="C435" s="168" t="s">
        <v>77</v>
      </c>
      <c r="D435" s="18" t="s">
        <v>2</v>
      </c>
      <c r="E435" s="19">
        <v>1</v>
      </c>
      <c r="F435" s="19">
        <v>1</v>
      </c>
      <c r="G435" s="18" t="s">
        <v>66</v>
      </c>
      <c r="H435" s="32"/>
      <c r="I435" s="50"/>
      <c r="L435" s="174" t="s">
        <v>2</v>
      </c>
      <c r="M435" s="168" t="s">
        <v>77</v>
      </c>
      <c r="N435" s="18" t="s">
        <v>2</v>
      </c>
      <c r="O435" s="19">
        <v>1</v>
      </c>
      <c r="P435" s="19">
        <v>1</v>
      </c>
      <c r="Q435" s="18" t="s">
        <v>66</v>
      </c>
      <c r="R435" s="32"/>
      <c r="S435" s="50"/>
    </row>
    <row r="436" spans="2:19" x14ac:dyDescent="0.25">
      <c r="B436" s="175"/>
      <c r="C436" s="169"/>
      <c r="D436" s="18" t="s">
        <v>3</v>
      </c>
      <c r="E436" s="19">
        <v>2</v>
      </c>
      <c r="F436" s="19">
        <v>2</v>
      </c>
      <c r="G436" s="18" t="s">
        <v>66</v>
      </c>
      <c r="H436" s="32"/>
      <c r="I436" s="50"/>
      <c r="L436" s="175"/>
      <c r="M436" s="169"/>
      <c r="N436" s="18" t="s">
        <v>3</v>
      </c>
      <c r="O436" s="19">
        <v>2</v>
      </c>
      <c r="P436" s="19">
        <v>2</v>
      </c>
      <c r="Q436" s="18" t="s">
        <v>66</v>
      </c>
      <c r="R436" s="32"/>
      <c r="S436" s="50"/>
    </row>
    <row r="437" spans="2:19" x14ac:dyDescent="0.25">
      <c r="B437" s="175"/>
      <c r="C437" s="169"/>
      <c r="D437" s="18" t="s">
        <v>80</v>
      </c>
      <c r="E437" s="20">
        <v>3</v>
      </c>
      <c r="F437" s="20">
        <v>3</v>
      </c>
      <c r="G437" s="18" t="s">
        <v>66</v>
      </c>
      <c r="H437" s="32"/>
      <c r="I437" s="50"/>
      <c r="L437" s="175"/>
      <c r="M437" s="169"/>
      <c r="N437" s="18" t="s">
        <v>80</v>
      </c>
      <c r="O437" s="20">
        <v>3</v>
      </c>
      <c r="P437" s="20">
        <v>3</v>
      </c>
      <c r="Q437" s="18" t="s">
        <v>66</v>
      </c>
      <c r="R437" s="32"/>
      <c r="S437" s="50"/>
    </row>
    <row r="438" spans="2:19" x14ac:dyDescent="0.25">
      <c r="B438" s="175"/>
      <c r="C438" s="169"/>
      <c r="D438" s="18" t="s">
        <v>81</v>
      </c>
      <c r="E438" s="20">
        <v>4</v>
      </c>
      <c r="F438" s="20">
        <v>4</v>
      </c>
      <c r="G438" s="18" t="s">
        <v>66</v>
      </c>
      <c r="H438" s="32"/>
      <c r="I438" s="50"/>
      <c r="L438" s="175"/>
      <c r="M438" s="169"/>
      <c r="N438" s="18" t="s">
        <v>81</v>
      </c>
      <c r="O438" s="20">
        <v>4</v>
      </c>
      <c r="P438" s="20">
        <v>4</v>
      </c>
      <c r="Q438" s="18" t="s">
        <v>66</v>
      </c>
      <c r="R438" s="32"/>
      <c r="S438" s="50"/>
    </row>
    <row r="439" spans="2:19" x14ac:dyDescent="0.25">
      <c r="B439" s="175"/>
      <c r="C439" s="169"/>
      <c r="D439" s="18" t="s">
        <v>82</v>
      </c>
      <c r="E439" s="20">
        <v>5</v>
      </c>
      <c r="F439" s="20">
        <v>5</v>
      </c>
      <c r="G439" s="18" t="s">
        <v>66</v>
      </c>
      <c r="H439" s="32"/>
      <c r="I439" s="50"/>
      <c r="L439" s="175"/>
      <c r="M439" s="169"/>
      <c r="N439" s="18" t="s">
        <v>82</v>
      </c>
      <c r="O439" s="20">
        <v>5</v>
      </c>
      <c r="P439" s="20">
        <v>5</v>
      </c>
      <c r="Q439" s="18" t="s">
        <v>66</v>
      </c>
      <c r="R439" s="32"/>
      <c r="S439" s="50"/>
    </row>
    <row r="440" spans="2:19" ht="15.75" thickBot="1" x14ac:dyDescent="0.3">
      <c r="B440" s="175"/>
      <c r="C440" s="170"/>
      <c r="D440" s="18" t="s">
        <v>83</v>
      </c>
      <c r="E440" s="20">
        <v>6</v>
      </c>
      <c r="F440" s="20">
        <v>6</v>
      </c>
      <c r="G440" s="18" t="s">
        <v>66</v>
      </c>
      <c r="H440" s="32"/>
      <c r="I440" s="50"/>
      <c r="L440" s="175"/>
      <c r="M440" s="170"/>
      <c r="N440" s="18" t="s">
        <v>83</v>
      </c>
      <c r="O440" s="20">
        <v>6</v>
      </c>
      <c r="P440" s="20">
        <v>6</v>
      </c>
      <c r="Q440" s="18" t="s">
        <v>66</v>
      </c>
      <c r="R440" s="32"/>
      <c r="S440" s="50"/>
    </row>
    <row r="441" spans="2:19" x14ac:dyDescent="0.25">
      <c r="B441" s="175"/>
      <c r="C441" s="168" t="s">
        <v>84</v>
      </c>
      <c r="D441" s="18" t="s">
        <v>2</v>
      </c>
      <c r="E441" s="19">
        <v>1</v>
      </c>
      <c r="F441" s="19">
        <v>7</v>
      </c>
      <c r="G441" s="18" t="s">
        <v>78</v>
      </c>
      <c r="H441" s="156" t="s">
        <v>85</v>
      </c>
      <c r="I441" s="165" t="s">
        <v>156</v>
      </c>
      <c r="L441" s="175"/>
      <c r="M441" s="168" t="s">
        <v>84</v>
      </c>
      <c r="N441" s="18" t="s">
        <v>2</v>
      </c>
      <c r="O441" s="19">
        <v>1</v>
      </c>
      <c r="P441" s="19">
        <v>7</v>
      </c>
      <c r="Q441" s="18" t="s">
        <v>78</v>
      </c>
      <c r="R441" s="156" t="s">
        <v>85</v>
      </c>
      <c r="S441" s="165" t="s">
        <v>165</v>
      </c>
    </row>
    <row r="442" spans="2:19" x14ac:dyDescent="0.25">
      <c r="B442" s="175"/>
      <c r="C442" s="169"/>
      <c r="D442" s="18" t="s">
        <v>3</v>
      </c>
      <c r="E442" s="19">
        <v>2</v>
      </c>
      <c r="F442" s="19">
        <v>8</v>
      </c>
      <c r="G442" s="18" t="s">
        <v>78</v>
      </c>
      <c r="H442" s="157"/>
      <c r="I442" s="166"/>
      <c r="L442" s="175"/>
      <c r="M442" s="169"/>
      <c r="N442" s="18" t="s">
        <v>3</v>
      </c>
      <c r="O442" s="19">
        <v>2</v>
      </c>
      <c r="P442" s="19">
        <v>8</v>
      </c>
      <c r="Q442" s="18" t="s">
        <v>78</v>
      </c>
      <c r="R442" s="157"/>
      <c r="S442" s="166"/>
    </row>
    <row r="443" spans="2:19" x14ac:dyDescent="0.25">
      <c r="B443" s="175"/>
      <c r="C443" s="169"/>
      <c r="D443" s="18" t="s">
        <v>80</v>
      </c>
      <c r="E443" s="20">
        <v>3</v>
      </c>
      <c r="F443" s="20">
        <v>9</v>
      </c>
      <c r="G443" s="18" t="s">
        <v>66</v>
      </c>
      <c r="H443" s="157"/>
      <c r="I443" s="166"/>
      <c r="L443" s="175"/>
      <c r="M443" s="169"/>
      <c r="N443" s="18" t="s">
        <v>80</v>
      </c>
      <c r="O443" s="20">
        <v>3</v>
      </c>
      <c r="P443" s="20">
        <v>9</v>
      </c>
      <c r="Q443" s="18" t="s">
        <v>66</v>
      </c>
      <c r="R443" s="157"/>
      <c r="S443" s="166"/>
    </row>
    <row r="444" spans="2:19" x14ac:dyDescent="0.25">
      <c r="B444" s="175"/>
      <c r="C444" s="169"/>
      <c r="D444" s="18" t="s">
        <v>81</v>
      </c>
      <c r="E444" s="20">
        <v>4</v>
      </c>
      <c r="F444" s="20">
        <v>10</v>
      </c>
      <c r="G444" s="18" t="s">
        <v>66</v>
      </c>
      <c r="H444" s="157"/>
      <c r="I444" s="166"/>
      <c r="L444" s="175"/>
      <c r="M444" s="169"/>
      <c r="N444" s="18" t="s">
        <v>81</v>
      </c>
      <c r="O444" s="20">
        <v>4</v>
      </c>
      <c r="P444" s="20">
        <v>10</v>
      </c>
      <c r="Q444" s="18" t="s">
        <v>66</v>
      </c>
      <c r="R444" s="157"/>
      <c r="S444" s="166"/>
    </row>
    <row r="445" spans="2:19" x14ac:dyDescent="0.25">
      <c r="B445" s="175"/>
      <c r="C445" s="169"/>
      <c r="D445" s="18" t="s">
        <v>82</v>
      </c>
      <c r="E445" s="20">
        <v>5</v>
      </c>
      <c r="F445" s="20">
        <v>11</v>
      </c>
      <c r="G445" s="18" t="s">
        <v>66</v>
      </c>
      <c r="H445" s="157"/>
      <c r="I445" s="166"/>
      <c r="L445" s="175"/>
      <c r="M445" s="169"/>
      <c r="N445" s="18" t="s">
        <v>82</v>
      </c>
      <c r="O445" s="20">
        <v>5</v>
      </c>
      <c r="P445" s="20">
        <v>11</v>
      </c>
      <c r="Q445" s="18" t="s">
        <v>66</v>
      </c>
      <c r="R445" s="157"/>
      <c r="S445" s="166"/>
    </row>
    <row r="446" spans="2:19" ht="15.75" thickBot="1" x14ac:dyDescent="0.3">
      <c r="B446" s="176"/>
      <c r="C446" s="170"/>
      <c r="D446" s="18" t="s">
        <v>83</v>
      </c>
      <c r="E446" s="20">
        <v>6</v>
      </c>
      <c r="F446" s="20">
        <v>12</v>
      </c>
      <c r="G446" s="18" t="s">
        <v>66</v>
      </c>
      <c r="H446" s="158"/>
      <c r="I446" s="167"/>
      <c r="L446" s="176"/>
      <c r="M446" s="170"/>
      <c r="N446" s="18" t="s">
        <v>83</v>
      </c>
      <c r="O446" s="20">
        <v>6</v>
      </c>
      <c r="P446" s="20">
        <v>12</v>
      </c>
      <c r="Q446" s="18" t="s">
        <v>66</v>
      </c>
      <c r="R446" s="158"/>
      <c r="S446" s="167"/>
    </row>
    <row r="447" spans="2:19" x14ac:dyDescent="0.25">
      <c r="B447" s="180" t="s">
        <v>3</v>
      </c>
      <c r="C447" s="177" t="s">
        <v>77</v>
      </c>
      <c r="D447" s="21" t="s">
        <v>2</v>
      </c>
      <c r="E447" s="22">
        <v>1</v>
      </c>
      <c r="F447" s="22">
        <v>13</v>
      </c>
      <c r="G447" s="21" t="s">
        <v>66</v>
      </c>
      <c r="H447" s="21"/>
      <c r="I447" s="51"/>
      <c r="L447" s="180" t="s">
        <v>3</v>
      </c>
      <c r="M447" s="177" t="s">
        <v>77</v>
      </c>
      <c r="N447" s="21" t="s">
        <v>2</v>
      </c>
      <c r="O447" s="22">
        <v>1</v>
      </c>
      <c r="P447" s="22">
        <v>13</v>
      </c>
      <c r="Q447" s="21" t="s">
        <v>66</v>
      </c>
      <c r="R447" s="21"/>
      <c r="S447" s="51"/>
    </row>
    <row r="448" spans="2:19" x14ac:dyDescent="0.25">
      <c r="B448" s="181"/>
      <c r="C448" s="178"/>
      <c r="D448" s="23" t="s">
        <v>3</v>
      </c>
      <c r="E448" s="24">
        <v>2</v>
      </c>
      <c r="F448" s="24">
        <v>14</v>
      </c>
      <c r="G448" s="23" t="s">
        <v>66</v>
      </c>
      <c r="H448" s="23"/>
      <c r="I448" s="47"/>
      <c r="L448" s="181"/>
      <c r="M448" s="178"/>
      <c r="N448" s="23" t="s">
        <v>3</v>
      </c>
      <c r="O448" s="24">
        <v>2</v>
      </c>
      <c r="P448" s="24">
        <v>14</v>
      </c>
      <c r="Q448" s="23" t="s">
        <v>66</v>
      </c>
      <c r="R448" s="23"/>
      <c r="S448" s="47"/>
    </row>
    <row r="449" spans="2:19" x14ac:dyDescent="0.25">
      <c r="B449" s="181"/>
      <c r="C449" s="178"/>
      <c r="D449" s="23" t="s">
        <v>80</v>
      </c>
      <c r="E449" s="24">
        <v>3</v>
      </c>
      <c r="F449" s="24">
        <v>15</v>
      </c>
      <c r="G449" s="23" t="s">
        <v>66</v>
      </c>
      <c r="H449" s="23"/>
      <c r="I449" s="47"/>
      <c r="L449" s="181"/>
      <c r="M449" s="178"/>
      <c r="N449" s="23" t="s">
        <v>80</v>
      </c>
      <c r="O449" s="24">
        <v>3</v>
      </c>
      <c r="P449" s="24">
        <v>15</v>
      </c>
      <c r="Q449" s="23" t="s">
        <v>66</v>
      </c>
      <c r="R449" s="23"/>
      <c r="S449" s="47"/>
    </row>
    <row r="450" spans="2:19" x14ac:dyDescent="0.25">
      <c r="B450" s="181"/>
      <c r="C450" s="178"/>
      <c r="D450" s="23" t="s">
        <v>81</v>
      </c>
      <c r="E450" s="24">
        <v>4</v>
      </c>
      <c r="F450" s="24">
        <v>16</v>
      </c>
      <c r="G450" s="23" t="s">
        <v>66</v>
      </c>
      <c r="H450" s="23"/>
      <c r="I450" s="47"/>
      <c r="L450" s="181"/>
      <c r="M450" s="178"/>
      <c r="N450" s="23" t="s">
        <v>81</v>
      </c>
      <c r="O450" s="24">
        <v>4</v>
      </c>
      <c r="P450" s="24">
        <v>16</v>
      </c>
      <c r="Q450" s="23" t="s">
        <v>66</v>
      </c>
      <c r="R450" s="23"/>
      <c r="S450" s="47"/>
    </row>
    <row r="451" spans="2:19" x14ac:dyDescent="0.25">
      <c r="B451" s="181"/>
      <c r="C451" s="178"/>
      <c r="D451" s="23" t="s">
        <v>82</v>
      </c>
      <c r="E451" s="24">
        <v>5</v>
      </c>
      <c r="F451" s="24">
        <v>17</v>
      </c>
      <c r="G451" s="23" t="s">
        <v>66</v>
      </c>
      <c r="H451" s="23"/>
      <c r="I451" s="47"/>
      <c r="L451" s="181"/>
      <c r="M451" s="178"/>
      <c r="N451" s="23" t="s">
        <v>82</v>
      </c>
      <c r="O451" s="24">
        <v>5</v>
      </c>
      <c r="P451" s="24">
        <v>17</v>
      </c>
      <c r="Q451" s="23" t="s">
        <v>66</v>
      </c>
      <c r="R451" s="23"/>
      <c r="S451" s="47"/>
    </row>
    <row r="452" spans="2:19" ht="15.75" thickBot="1" x14ac:dyDescent="0.3">
      <c r="B452" s="181"/>
      <c r="C452" s="179"/>
      <c r="D452" s="23" t="s">
        <v>83</v>
      </c>
      <c r="E452" s="24">
        <v>6</v>
      </c>
      <c r="F452" s="24">
        <v>18</v>
      </c>
      <c r="G452" s="23" t="s">
        <v>66</v>
      </c>
      <c r="H452" s="23"/>
      <c r="I452" s="47"/>
      <c r="L452" s="181"/>
      <c r="M452" s="179"/>
      <c r="N452" s="23" t="s">
        <v>83</v>
      </c>
      <c r="O452" s="24">
        <v>6</v>
      </c>
      <c r="P452" s="24">
        <v>18</v>
      </c>
      <c r="Q452" s="23" t="s">
        <v>66</v>
      </c>
      <c r="R452" s="23"/>
      <c r="S452" s="47"/>
    </row>
    <row r="453" spans="2:19" x14ac:dyDescent="0.25">
      <c r="B453" s="181"/>
      <c r="C453" s="177" t="s">
        <v>84</v>
      </c>
      <c r="D453" s="23" t="s">
        <v>2</v>
      </c>
      <c r="E453" s="24">
        <v>1</v>
      </c>
      <c r="F453" s="24">
        <v>19</v>
      </c>
      <c r="G453" s="23" t="s">
        <v>66</v>
      </c>
      <c r="H453" s="23"/>
      <c r="I453" s="47"/>
      <c r="L453" s="181"/>
      <c r="M453" s="177" t="s">
        <v>84</v>
      </c>
      <c r="N453" s="23" t="s">
        <v>2</v>
      </c>
      <c r="O453" s="24">
        <v>1</v>
      </c>
      <c r="P453" s="24">
        <v>19</v>
      </c>
      <c r="Q453" s="23" t="s">
        <v>66</v>
      </c>
      <c r="R453" s="23"/>
      <c r="S453" s="47"/>
    </row>
    <row r="454" spans="2:19" x14ac:dyDescent="0.25">
      <c r="B454" s="181"/>
      <c r="C454" s="178"/>
      <c r="D454" s="23" t="s">
        <v>3</v>
      </c>
      <c r="E454" s="24">
        <v>2</v>
      </c>
      <c r="F454" s="24">
        <v>20</v>
      </c>
      <c r="G454" s="23" t="s">
        <v>66</v>
      </c>
      <c r="H454" s="23"/>
      <c r="I454" s="47"/>
      <c r="L454" s="181"/>
      <c r="M454" s="178"/>
      <c r="N454" s="23" t="s">
        <v>3</v>
      </c>
      <c r="O454" s="24">
        <v>2</v>
      </c>
      <c r="P454" s="24">
        <v>20</v>
      </c>
      <c r="Q454" s="23" t="s">
        <v>66</v>
      </c>
      <c r="R454" s="23"/>
      <c r="S454" s="47"/>
    </row>
    <row r="455" spans="2:19" x14ac:dyDescent="0.25">
      <c r="B455" s="181"/>
      <c r="C455" s="178"/>
      <c r="D455" s="23" t="s">
        <v>80</v>
      </c>
      <c r="E455" s="26">
        <v>3</v>
      </c>
      <c r="F455" s="24">
        <v>21</v>
      </c>
      <c r="G455" s="23" t="s">
        <v>66</v>
      </c>
      <c r="H455" s="23"/>
      <c r="I455" s="47"/>
      <c r="L455" s="181"/>
      <c r="M455" s="178"/>
      <c r="N455" s="23" t="s">
        <v>80</v>
      </c>
      <c r="O455" s="26">
        <v>3</v>
      </c>
      <c r="P455" s="24">
        <v>21</v>
      </c>
      <c r="Q455" s="23" t="s">
        <v>66</v>
      </c>
      <c r="R455" s="23"/>
      <c r="S455" s="47"/>
    </row>
    <row r="456" spans="2:19" x14ac:dyDescent="0.25">
      <c r="B456" s="181"/>
      <c r="C456" s="178"/>
      <c r="D456" s="23" t="s">
        <v>81</v>
      </c>
      <c r="E456" s="24">
        <v>4</v>
      </c>
      <c r="F456" s="24">
        <v>22</v>
      </c>
      <c r="G456" s="23" t="s">
        <v>66</v>
      </c>
      <c r="H456" s="23"/>
      <c r="I456" s="47"/>
      <c r="L456" s="181"/>
      <c r="M456" s="178"/>
      <c r="N456" s="23" t="s">
        <v>81</v>
      </c>
      <c r="O456" s="24">
        <v>4</v>
      </c>
      <c r="P456" s="24">
        <v>22</v>
      </c>
      <c r="Q456" s="23" t="s">
        <v>66</v>
      </c>
      <c r="R456" s="23"/>
      <c r="S456" s="47"/>
    </row>
    <row r="457" spans="2:19" x14ac:dyDescent="0.25">
      <c r="B457" s="181"/>
      <c r="C457" s="178"/>
      <c r="D457" s="23" t="s">
        <v>82</v>
      </c>
      <c r="E457" s="24">
        <v>5</v>
      </c>
      <c r="F457" s="24">
        <v>23</v>
      </c>
      <c r="G457" s="23" t="s">
        <v>66</v>
      </c>
      <c r="H457" s="23"/>
      <c r="I457" s="47"/>
      <c r="L457" s="181"/>
      <c r="M457" s="178"/>
      <c r="N457" s="23" t="s">
        <v>82</v>
      </c>
      <c r="O457" s="24">
        <v>5</v>
      </c>
      <c r="P457" s="24">
        <v>23</v>
      </c>
      <c r="Q457" s="23" t="s">
        <v>66</v>
      </c>
      <c r="R457" s="23"/>
      <c r="S457" s="47"/>
    </row>
    <row r="458" spans="2:19" ht="15.75" thickBot="1" x14ac:dyDescent="0.3">
      <c r="B458" s="182"/>
      <c r="C458" s="179"/>
      <c r="D458" s="23" t="s">
        <v>83</v>
      </c>
      <c r="E458" s="24">
        <v>6</v>
      </c>
      <c r="F458" s="24">
        <v>24</v>
      </c>
      <c r="G458" s="23" t="s">
        <v>66</v>
      </c>
      <c r="H458" s="23"/>
      <c r="I458" s="47"/>
      <c r="L458" s="182"/>
      <c r="M458" s="179"/>
      <c r="N458" s="23" t="s">
        <v>83</v>
      </c>
      <c r="O458" s="24">
        <v>6</v>
      </c>
      <c r="P458" s="24">
        <v>24</v>
      </c>
      <c r="Q458" s="23" t="s">
        <v>66</v>
      </c>
      <c r="R458" s="23"/>
      <c r="S458" s="47"/>
    </row>
    <row r="459" spans="2:19" x14ac:dyDescent="0.25">
      <c r="B459" s="189" t="s">
        <v>80</v>
      </c>
      <c r="C459" s="192" t="s">
        <v>77</v>
      </c>
      <c r="D459" s="27" t="s">
        <v>2</v>
      </c>
      <c r="E459" s="28">
        <v>1</v>
      </c>
      <c r="F459" s="28">
        <v>25</v>
      </c>
      <c r="G459" s="27" t="s">
        <v>66</v>
      </c>
      <c r="H459" s="27"/>
      <c r="I459" s="48"/>
      <c r="L459" s="189" t="s">
        <v>80</v>
      </c>
      <c r="M459" s="192" t="s">
        <v>77</v>
      </c>
      <c r="N459" s="27" t="s">
        <v>2</v>
      </c>
      <c r="O459" s="28">
        <v>1</v>
      </c>
      <c r="P459" s="28">
        <v>25</v>
      </c>
      <c r="Q459" s="27" t="s">
        <v>66</v>
      </c>
      <c r="R459" s="27"/>
      <c r="S459" s="48"/>
    </row>
    <row r="460" spans="2:19" x14ac:dyDescent="0.25">
      <c r="B460" s="190"/>
      <c r="C460" s="193"/>
      <c r="D460" s="27" t="s">
        <v>3</v>
      </c>
      <c r="E460" s="28">
        <v>2</v>
      </c>
      <c r="F460" s="28">
        <v>26</v>
      </c>
      <c r="G460" s="27" t="s">
        <v>66</v>
      </c>
      <c r="H460" s="27"/>
      <c r="I460" s="48"/>
      <c r="L460" s="190"/>
      <c r="M460" s="193"/>
      <c r="N460" s="27" t="s">
        <v>3</v>
      </c>
      <c r="O460" s="28">
        <v>2</v>
      </c>
      <c r="P460" s="28">
        <v>26</v>
      </c>
      <c r="Q460" s="27" t="s">
        <v>66</v>
      </c>
      <c r="R460" s="27"/>
      <c r="S460" s="48"/>
    </row>
    <row r="461" spans="2:19" x14ac:dyDescent="0.25">
      <c r="B461" s="190"/>
      <c r="C461" s="193"/>
      <c r="D461" s="27" t="s">
        <v>80</v>
      </c>
      <c r="E461" s="28">
        <v>3</v>
      </c>
      <c r="F461" s="28">
        <v>27</v>
      </c>
      <c r="G461" s="27" t="s">
        <v>66</v>
      </c>
      <c r="H461" s="27"/>
      <c r="I461" s="48"/>
      <c r="L461" s="190"/>
      <c r="M461" s="193"/>
      <c r="N461" s="27" t="s">
        <v>80</v>
      </c>
      <c r="O461" s="28">
        <v>3</v>
      </c>
      <c r="P461" s="28">
        <v>27</v>
      </c>
      <c r="Q461" s="27" t="s">
        <v>66</v>
      </c>
      <c r="R461" s="27"/>
      <c r="S461" s="48"/>
    </row>
    <row r="462" spans="2:19" x14ac:dyDescent="0.25">
      <c r="B462" s="190"/>
      <c r="C462" s="193"/>
      <c r="D462" s="27" t="s">
        <v>81</v>
      </c>
      <c r="E462" s="28">
        <v>4</v>
      </c>
      <c r="F462" s="28">
        <v>28</v>
      </c>
      <c r="G462" s="27" t="s">
        <v>66</v>
      </c>
      <c r="H462" s="27"/>
      <c r="I462" s="48"/>
      <c r="L462" s="190"/>
      <c r="M462" s="193"/>
      <c r="N462" s="27" t="s">
        <v>81</v>
      </c>
      <c r="O462" s="28">
        <v>4</v>
      </c>
      <c r="P462" s="28">
        <v>28</v>
      </c>
      <c r="Q462" s="27" t="s">
        <v>66</v>
      </c>
      <c r="R462" s="27"/>
      <c r="S462" s="48"/>
    </row>
    <row r="463" spans="2:19" x14ac:dyDescent="0.25">
      <c r="B463" s="190"/>
      <c r="C463" s="193"/>
      <c r="D463" s="27" t="s">
        <v>82</v>
      </c>
      <c r="E463" s="28">
        <v>5</v>
      </c>
      <c r="F463" s="28">
        <v>29</v>
      </c>
      <c r="G463" s="27" t="s">
        <v>66</v>
      </c>
      <c r="H463" s="27"/>
      <c r="I463" s="48"/>
      <c r="L463" s="190"/>
      <c r="M463" s="193"/>
      <c r="N463" s="27" t="s">
        <v>82</v>
      </c>
      <c r="O463" s="28">
        <v>5</v>
      </c>
      <c r="P463" s="28">
        <v>29</v>
      </c>
      <c r="Q463" s="27" t="s">
        <v>66</v>
      </c>
      <c r="R463" s="27"/>
      <c r="S463" s="48"/>
    </row>
    <row r="464" spans="2:19" ht="15.75" thickBot="1" x14ac:dyDescent="0.3">
      <c r="B464" s="190"/>
      <c r="C464" s="194"/>
      <c r="D464" s="27" t="s">
        <v>83</v>
      </c>
      <c r="E464" s="28">
        <v>6</v>
      </c>
      <c r="F464" s="28">
        <v>30</v>
      </c>
      <c r="G464" s="27" t="s">
        <v>66</v>
      </c>
      <c r="H464" s="27"/>
      <c r="I464" s="48"/>
      <c r="L464" s="190"/>
      <c r="M464" s="194"/>
      <c r="N464" s="27" t="s">
        <v>83</v>
      </c>
      <c r="O464" s="28">
        <v>6</v>
      </c>
      <c r="P464" s="28">
        <v>30</v>
      </c>
      <c r="Q464" s="27" t="s">
        <v>66</v>
      </c>
      <c r="R464" s="27"/>
      <c r="S464" s="48"/>
    </row>
    <row r="465" spans="2:19" x14ac:dyDescent="0.25">
      <c r="B465" s="190"/>
      <c r="C465" s="192" t="s">
        <v>84</v>
      </c>
      <c r="D465" s="27" t="s">
        <v>2</v>
      </c>
      <c r="E465" s="28">
        <v>1</v>
      </c>
      <c r="F465" s="28">
        <v>31</v>
      </c>
      <c r="G465" s="27" t="s">
        <v>66</v>
      </c>
      <c r="H465" s="27"/>
      <c r="I465" s="48"/>
      <c r="L465" s="190"/>
      <c r="M465" s="192" t="s">
        <v>84</v>
      </c>
      <c r="N465" s="27" t="s">
        <v>2</v>
      </c>
      <c r="O465" s="28">
        <v>1</v>
      </c>
      <c r="P465" s="28">
        <v>31</v>
      </c>
      <c r="Q465" s="27" t="s">
        <v>66</v>
      </c>
      <c r="R465" s="27"/>
      <c r="S465" s="48"/>
    </row>
    <row r="466" spans="2:19" x14ac:dyDescent="0.25">
      <c r="B466" s="190"/>
      <c r="C466" s="193"/>
      <c r="D466" s="27" t="s">
        <v>3</v>
      </c>
      <c r="E466" s="28">
        <v>2</v>
      </c>
      <c r="F466" s="28">
        <v>32</v>
      </c>
      <c r="G466" s="27" t="s">
        <v>66</v>
      </c>
      <c r="H466" s="27"/>
      <c r="I466" s="48"/>
      <c r="L466" s="190"/>
      <c r="M466" s="193"/>
      <c r="N466" s="27" t="s">
        <v>3</v>
      </c>
      <c r="O466" s="28">
        <v>2</v>
      </c>
      <c r="P466" s="28">
        <v>32</v>
      </c>
      <c r="Q466" s="27" t="s">
        <v>66</v>
      </c>
      <c r="R466" s="27"/>
      <c r="S466" s="48"/>
    </row>
    <row r="467" spans="2:19" x14ac:dyDescent="0.25">
      <c r="B467" s="190"/>
      <c r="C467" s="193"/>
      <c r="D467" s="27" t="s">
        <v>80</v>
      </c>
      <c r="E467" s="28">
        <v>3</v>
      </c>
      <c r="F467" s="28">
        <v>33</v>
      </c>
      <c r="G467" s="27" t="s">
        <v>66</v>
      </c>
      <c r="H467" s="27"/>
      <c r="I467" s="48"/>
      <c r="L467" s="190"/>
      <c r="M467" s="193"/>
      <c r="N467" s="27" t="s">
        <v>80</v>
      </c>
      <c r="O467" s="28">
        <v>3</v>
      </c>
      <c r="P467" s="28">
        <v>33</v>
      </c>
      <c r="Q467" s="27" t="s">
        <v>66</v>
      </c>
      <c r="R467" s="27"/>
      <c r="S467" s="48"/>
    </row>
    <row r="468" spans="2:19" x14ac:dyDescent="0.25">
      <c r="B468" s="190"/>
      <c r="C468" s="193"/>
      <c r="D468" s="27" t="s">
        <v>81</v>
      </c>
      <c r="E468" s="28">
        <v>4</v>
      </c>
      <c r="F468" s="28">
        <v>34</v>
      </c>
      <c r="G468" s="27" t="s">
        <v>66</v>
      </c>
      <c r="H468" s="27"/>
      <c r="I468" s="48"/>
      <c r="L468" s="190"/>
      <c r="M468" s="193"/>
      <c r="N468" s="27" t="s">
        <v>81</v>
      </c>
      <c r="O468" s="28">
        <v>4</v>
      </c>
      <c r="P468" s="28">
        <v>34</v>
      </c>
      <c r="Q468" s="27" t="s">
        <v>66</v>
      </c>
      <c r="R468" s="27"/>
      <c r="S468" s="48"/>
    </row>
    <row r="469" spans="2:19" x14ac:dyDescent="0.25">
      <c r="B469" s="190"/>
      <c r="C469" s="193"/>
      <c r="D469" s="27" t="s">
        <v>82</v>
      </c>
      <c r="E469" s="28">
        <v>5</v>
      </c>
      <c r="F469" s="28">
        <v>35</v>
      </c>
      <c r="G469" s="27" t="s">
        <v>66</v>
      </c>
      <c r="H469" s="27"/>
      <c r="I469" s="48"/>
      <c r="L469" s="190"/>
      <c r="M469" s="193"/>
      <c r="N469" s="27" t="s">
        <v>82</v>
      </c>
      <c r="O469" s="28">
        <v>5</v>
      </c>
      <c r="P469" s="28">
        <v>35</v>
      </c>
      <c r="Q469" s="27" t="s">
        <v>66</v>
      </c>
      <c r="R469" s="27"/>
      <c r="S469" s="48"/>
    </row>
    <row r="470" spans="2:19" ht="15.75" thickBot="1" x14ac:dyDescent="0.3">
      <c r="B470" s="191"/>
      <c r="C470" s="194"/>
      <c r="D470" s="27" t="s">
        <v>83</v>
      </c>
      <c r="E470" s="28">
        <v>6</v>
      </c>
      <c r="F470" s="28">
        <v>36</v>
      </c>
      <c r="G470" s="27" t="s">
        <v>66</v>
      </c>
      <c r="H470" s="27"/>
      <c r="I470" s="48"/>
      <c r="L470" s="191"/>
      <c r="M470" s="194"/>
      <c r="N470" s="27" t="s">
        <v>83</v>
      </c>
      <c r="O470" s="28">
        <v>6</v>
      </c>
      <c r="P470" s="28">
        <v>36</v>
      </c>
      <c r="Q470" s="27" t="s">
        <v>66</v>
      </c>
      <c r="R470" s="27"/>
      <c r="S470" s="48"/>
    </row>
    <row r="471" spans="2:19" x14ac:dyDescent="0.25">
      <c r="B471" s="183" t="s">
        <v>81</v>
      </c>
      <c r="C471" s="186" t="s">
        <v>77</v>
      </c>
      <c r="D471" s="29" t="s">
        <v>2</v>
      </c>
      <c r="E471" s="30">
        <v>1</v>
      </c>
      <c r="F471" s="30">
        <v>37</v>
      </c>
      <c r="G471" s="29" t="s">
        <v>66</v>
      </c>
      <c r="H471" s="29"/>
      <c r="I471" s="49"/>
      <c r="L471" s="183" t="s">
        <v>81</v>
      </c>
      <c r="M471" s="186" t="s">
        <v>77</v>
      </c>
      <c r="N471" s="29" t="s">
        <v>2</v>
      </c>
      <c r="O471" s="30">
        <v>1</v>
      </c>
      <c r="P471" s="30">
        <v>37</v>
      </c>
      <c r="Q471" s="29" t="s">
        <v>66</v>
      </c>
      <c r="R471" s="29"/>
      <c r="S471" s="49"/>
    </row>
    <row r="472" spans="2:19" x14ac:dyDescent="0.25">
      <c r="B472" s="184"/>
      <c r="C472" s="187"/>
      <c r="D472" s="29" t="s">
        <v>3</v>
      </c>
      <c r="E472" s="30">
        <v>2</v>
      </c>
      <c r="F472" s="30">
        <v>38</v>
      </c>
      <c r="G472" s="29" t="s">
        <v>66</v>
      </c>
      <c r="H472" s="29"/>
      <c r="I472" s="49"/>
      <c r="L472" s="184"/>
      <c r="M472" s="187"/>
      <c r="N472" s="29" t="s">
        <v>3</v>
      </c>
      <c r="O472" s="30">
        <v>2</v>
      </c>
      <c r="P472" s="30">
        <v>38</v>
      </c>
      <c r="Q472" s="29" t="s">
        <v>66</v>
      </c>
      <c r="R472" s="29"/>
      <c r="S472" s="49"/>
    </row>
    <row r="473" spans="2:19" x14ac:dyDescent="0.25">
      <c r="B473" s="184"/>
      <c r="C473" s="187"/>
      <c r="D473" s="29" t="s">
        <v>80</v>
      </c>
      <c r="E473" s="30">
        <v>3</v>
      </c>
      <c r="F473" s="30">
        <v>39</v>
      </c>
      <c r="G473" s="29" t="s">
        <v>66</v>
      </c>
      <c r="H473" s="29"/>
      <c r="I473" s="49"/>
      <c r="L473" s="184"/>
      <c r="M473" s="187"/>
      <c r="N473" s="29" t="s">
        <v>80</v>
      </c>
      <c r="O473" s="30">
        <v>3</v>
      </c>
      <c r="P473" s="30">
        <v>39</v>
      </c>
      <c r="Q473" s="29" t="s">
        <v>66</v>
      </c>
      <c r="R473" s="29"/>
      <c r="S473" s="49"/>
    </row>
    <row r="474" spans="2:19" x14ac:dyDescent="0.25">
      <c r="B474" s="184"/>
      <c r="C474" s="187"/>
      <c r="D474" s="29" t="s">
        <v>81</v>
      </c>
      <c r="E474" s="30">
        <v>4</v>
      </c>
      <c r="F474" s="30">
        <v>40</v>
      </c>
      <c r="G474" s="29" t="s">
        <v>66</v>
      </c>
      <c r="H474" s="29"/>
      <c r="I474" s="49"/>
      <c r="L474" s="184"/>
      <c r="M474" s="187"/>
      <c r="N474" s="29" t="s">
        <v>81</v>
      </c>
      <c r="O474" s="30">
        <v>4</v>
      </c>
      <c r="P474" s="30">
        <v>40</v>
      </c>
      <c r="Q474" s="29" t="s">
        <v>66</v>
      </c>
      <c r="R474" s="29"/>
      <c r="S474" s="49"/>
    </row>
    <row r="475" spans="2:19" x14ac:dyDescent="0.25">
      <c r="B475" s="184"/>
      <c r="C475" s="187"/>
      <c r="D475" s="29" t="s">
        <v>82</v>
      </c>
      <c r="E475" s="30">
        <v>5</v>
      </c>
      <c r="F475" s="30">
        <v>41</v>
      </c>
      <c r="G475" s="29" t="s">
        <v>66</v>
      </c>
      <c r="H475" s="29"/>
      <c r="I475" s="49"/>
      <c r="L475" s="184"/>
      <c r="M475" s="187"/>
      <c r="N475" s="29" t="s">
        <v>82</v>
      </c>
      <c r="O475" s="30">
        <v>5</v>
      </c>
      <c r="P475" s="30">
        <v>41</v>
      </c>
      <c r="Q475" s="29" t="s">
        <v>66</v>
      </c>
      <c r="R475" s="29"/>
      <c r="S475" s="49"/>
    </row>
    <row r="476" spans="2:19" ht="15.75" thickBot="1" x14ac:dyDescent="0.3">
      <c r="B476" s="184"/>
      <c r="C476" s="188"/>
      <c r="D476" s="29" t="s">
        <v>83</v>
      </c>
      <c r="E476" s="30">
        <v>6</v>
      </c>
      <c r="F476" s="30">
        <v>42</v>
      </c>
      <c r="G476" s="29" t="s">
        <v>66</v>
      </c>
      <c r="H476" s="29"/>
      <c r="I476" s="49"/>
      <c r="L476" s="184"/>
      <c r="M476" s="188"/>
      <c r="N476" s="29" t="s">
        <v>83</v>
      </c>
      <c r="O476" s="30">
        <v>6</v>
      </c>
      <c r="P476" s="30">
        <v>42</v>
      </c>
      <c r="Q476" s="29" t="s">
        <v>66</v>
      </c>
      <c r="R476" s="29"/>
      <c r="S476" s="49"/>
    </row>
    <row r="477" spans="2:19" x14ac:dyDescent="0.25">
      <c r="B477" s="184"/>
      <c r="C477" s="186" t="s">
        <v>84</v>
      </c>
      <c r="D477" s="29" t="s">
        <v>2</v>
      </c>
      <c r="E477" s="30">
        <v>1</v>
      </c>
      <c r="F477" s="30">
        <v>43</v>
      </c>
      <c r="G477" s="29" t="s">
        <v>66</v>
      </c>
      <c r="H477" s="29"/>
      <c r="I477" s="49"/>
      <c r="L477" s="184"/>
      <c r="M477" s="186" t="s">
        <v>84</v>
      </c>
      <c r="N477" s="29" t="s">
        <v>2</v>
      </c>
      <c r="O477" s="30">
        <v>1</v>
      </c>
      <c r="P477" s="30">
        <v>43</v>
      </c>
      <c r="Q477" s="29" t="s">
        <v>66</v>
      </c>
      <c r="R477" s="29"/>
      <c r="S477" s="49"/>
    </row>
    <row r="478" spans="2:19" x14ac:dyDescent="0.25">
      <c r="B478" s="184"/>
      <c r="C478" s="187"/>
      <c r="D478" s="29" t="s">
        <v>3</v>
      </c>
      <c r="E478" s="30">
        <v>2</v>
      </c>
      <c r="F478" s="30">
        <v>44</v>
      </c>
      <c r="G478" s="29" t="s">
        <v>66</v>
      </c>
      <c r="H478" s="29"/>
      <c r="I478" s="49"/>
      <c r="L478" s="184"/>
      <c r="M478" s="187"/>
      <c r="N478" s="29" t="s">
        <v>3</v>
      </c>
      <c r="O478" s="30">
        <v>2</v>
      </c>
      <c r="P478" s="30">
        <v>44</v>
      </c>
      <c r="Q478" s="29" t="s">
        <v>66</v>
      </c>
      <c r="R478" s="29"/>
      <c r="S478" s="49"/>
    </row>
    <row r="479" spans="2:19" x14ac:dyDescent="0.25">
      <c r="B479" s="184"/>
      <c r="C479" s="187"/>
      <c r="D479" s="29" t="s">
        <v>80</v>
      </c>
      <c r="E479" s="30">
        <v>3</v>
      </c>
      <c r="F479" s="30">
        <v>45</v>
      </c>
      <c r="G479" s="29" t="s">
        <v>66</v>
      </c>
      <c r="H479" s="29"/>
      <c r="I479" s="49"/>
      <c r="L479" s="184"/>
      <c r="M479" s="187"/>
      <c r="N479" s="29" t="s">
        <v>80</v>
      </c>
      <c r="O479" s="30">
        <v>3</v>
      </c>
      <c r="P479" s="30">
        <v>45</v>
      </c>
      <c r="Q479" s="29" t="s">
        <v>66</v>
      </c>
      <c r="R479" s="29"/>
      <c r="S479" s="49"/>
    </row>
    <row r="480" spans="2:19" x14ac:dyDescent="0.25">
      <c r="B480" s="184"/>
      <c r="C480" s="187"/>
      <c r="D480" s="29" t="s">
        <v>81</v>
      </c>
      <c r="E480" s="30">
        <v>4</v>
      </c>
      <c r="F480" s="30">
        <v>46</v>
      </c>
      <c r="G480" s="29" t="s">
        <v>66</v>
      </c>
      <c r="H480" s="29"/>
      <c r="I480" s="49"/>
      <c r="L480" s="184"/>
      <c r="M480" s="187"/>
      <c r="N480" s="29" t="s">
        <v>81</v>
      </c>
      <c r="O480" s="30">
        <v>4</v>
      </c>
      <c r="P480" s="30">
        <v>46</v>
      </c>
      <c r="Q480" s="29" t="s">
        <v>66</v>
      </c>
      <c r="R480" s="29"/>
      <c r="S480" s="49"/>
    </row>
    <row r="481" spans="2:19" x14ac:dyDescent="0.25">
      <c r="B481" s="184"/>
      <c r="C481" s="187"/>
      <c r="D481" s="29" t="s">
        <v>82</v>
      </c>
      <c r="E481" s="30">
        <v>5</v>
      </c>
      <c r="F481" s="30">
        <v>47</v>
      </c>
      <c r="G481" s="29" t="s">
        <v>66</v>
      </c>
      <c r="H481" s="29"/>
      <c r="I481" s="49"/>
      <c r="L481" s="184"/>
      <c r="M481" s="187"/>
      <c r="N481" s="29" t="s">
        <v>82</v>
      </c>
      <c r="O481" s="30">
        <v>5</v>
      </c>
      <c r="P481" s="30">
        <v>47</v>
      </c>
      <c r="Q481" s="29" t="s">
        <v>66</v>
      </c>
      <c r="R481" s="29"/>
      <c r="S481" s="49"/>
    </row>
    <row r="482" spans="2:19" ht="15.75" thickBot="1" x14ac:dyDescent="0.3">
      <c r="B482" s="185"/>
      <c r="C482" s="188"/>
      <c r="D482" s="29" t="s">
        <v>83</v>
      </c>
      <c r="E482" s="30">
        <v>6</v>
      </c>
      <c r="F482" s="30">
        <v>48</v>
      </c>
      <c r="G482" s="29" t="s">
        <v>66</v>
      </c>
      <c r="H482" s="29"/>
      <c r="I482" s="49"/>
      <c r="L482" s="185"/>
      <c r="M482" s="188"/>
      <c r="N482" s="29" t="s">
        <v>83</v>
      </c>
      <c r="O482" s="30">
        <v>6</v>
      </c>
      <c r="P482" s="30">
        <v>48</v>
      </c>
      <c r="Q482" s="29" t="s">
        <v>66</v>
      </c>
      <c r="R482" s="29"/>
      <c r="S482" s="49"/>
    </row>
    <row r="483" spans="2:19" ht="15.75" thickBot="1" x14ac:dyDescent="0.3"/>
    <row r="484" spans="2:19" ht="15.75" thickBot="1" x14ac:dyDescent="0.3">
      <c r="B484" s="171" t="s">
        <v>270</v>
      </c>
      <c r="C484" s="172"/>
      <c r="D484" s="172"/>
      <c r="E484" s="172"/>
      <c r="F484" s="172"/>
      <c r="G484" s="172"/>
      <c r="H484" s="172"/>
      <c r="I484" s="173"/>
      <c r="L484" s="171" t="s">
        <v>271</v>
      </c>
      <c r="M484" s="172"/>
      <c r="N484" s="172"/>
      <c r="O484" s="172"/>
      <c r="P484" s="172"/>
      <c r="Q484" s="172"/>
      <c r="R484" s="172"/>
      <c r="S484" s="173"/>
    </row>
    <row r="486" spans="2:19" ht="26.25" thickBot="1" x14ac:dyDescent="0.3">
      <c r="B486" s="15" t="s">
        <v>70</v>
      </c>
      <c r="C486" s="16" t="s">
        <v>71</v>
      </c>
      <c r="D486" s="15" t="s">
        <v>72</v>
      </c>
      <c r="E486" s="17" t="s">
        <v>73</v>
      </c>
      <c r="F486" s="17" t="s">
        <v>74</v>
      </c>
      <c r="G486" s="15" t="s">
        <v>75</v>
      </c>
      <c r="H486" s="15" t="s">
        <v>55</v>
      </c>
      <c r="I486" s="15" t="s">
        <v>76</v>
      </c>
      <c r="L486" s="15" t="s">
        <v>70</v>
      </c>
      <c r="M486" s="16" t="s">
        <v>71</v>
      </c>
      <c r="N486" s="15" t="s">
        <v>72</v>
      </c>
      <c r="O486" s="17" t="s">
        <v>73</v>
      </c>
      <c r="P486" s="17" t="s">
        <v>74</v>
      </c>
      <c r="Q486" s="15" t="s">
        <v>75</v>
      </c>
      <c r="R486" s="15" t="s">
        <v>55</v>
      </c>
      <c r="S486" s="15" t="s">
        <v>76</v>
      </c>
    </row>
    <row r="487" spans="2:19" x14ac:dyDescent="0.25">
      <c r="B487" s="174" t="s">
        <v>2</v>
      </c>
      <c r="C487" s="168" t="s">
        <v>77</v>
      </c>
      <c r="D487" s="18" t="s">
        <v>2</v>
      </c>
      <c r="E487" s="19">
        <v>1</v>
      </c>
      <c r="F487" s="19">
        <v>1</v>
      </c>
      <c r="G487" s="18" t="s">
        <v>66</v>
      </c>
      <c r="H487" s="32"/>
      <c r="I487" s="50"/>
      <c r="L487" s="174" t="s">
        <v>2</v>
      </c>
      <c r="M487" s="168" t="s">
        <v>77</v>
      </c>
      <c r="N487" s="18" t="s">
        <v>2</v>
      </c>
      <c r="O487" s="19">
        <v>1</v>
      </c>
      <c r="P487" s="19">
        <v>1</v>
      </c>
      <c r="Q487" s="18" t="s">
        <v>66</v>
      </c>
      <c r="R487" s="32"/>
      <c r="S487" s="50"/>
    </row>
    <row r="488" spans="2:19" x14ac:dyDescent="0.25">
      <c r="B488" s="175"/>
      <c r="C488" s="169"/>
      <c r="D488" s="18" t="s">
        <v>3</v>
      </c>
      <c r="E488" s="19">
        <v>2</v>
      </c>
      <c r="F488" s="19">
        <v>2</v>
      </c>
      <c r="G488" s="18" t="s">
        <v>66</v>
      </c>
      <c r="H488" s="32"/>
      <c r="I488" s="50"/>
      <c r="L488" s="175"/>
      <c r="M488" s="169"/>
      <c r="N488" s="18" t="s">
        <v>3</v>
      </c>
      <c r="O488" s="19">
        <v>2</v>
      </c>
      <c r="P488" s="19">
        <v>2</v>
      </c>
      <c r="Q488" s="18" t="s">
        <v>66</v>
      </c>
      <c r="R488" s="32"/>
      <c r="S488" s="50"/>
    </row>
    <row r="489" spans="2:19" x14ac:dyDescent="0.25">
      <c r="B489" s="175"/>
      <c r="C489" s="169"/>
      <c r="D489" s="18" t="s">
        <v>80</v>
      </c>
      <c r="E489" s="20">
        <v>3</v>
      </c>
      <c r="F489" s="20">
        <v>3</v>
      </c>
      <c r="G489" s="18" t="s">
        <v>66</v>
      </c>
      <c r="H489" s="32"/>
      <c r="I489" s="50"/>
      <c r="L489" s="175"/>
      <c r="M489" s="169"/>
      <c r="N489" s="18" t="s">
        <v>80</v>
      </c>
      <c r="O489" s="20">
        <v>3</v>
      </c>
      <c r="P489" s="20">
        <v>3</v>
      </c>
      <c r="Q489" s="18" t="s">
        <v>66</v>
      </c>
      <c r="R489" s="32"/>
      <c r="S489" s="50"/>
    </row>
    <row r="490" spans="2:19" x14ac:dyDescent="0.25">
      <c r="B490" s="175"/>
      <c r="C490" s="169"/>
      <c r="D490" s="18" t="s">
        <v>81</v>
      </c>
      <c r="E490" s="20">
        <v>4</v>
      </c>
      <c r="F490" s="20">
        <v>4</v>
      </c>
      <c r="G490" s="18" t="s">
        <v>66</v>
      </c>
      <c r="H490" s="32"/>
      <c r="I490" s="50"/>
      <c r="L490" s="175"/>
      <c r="M490" s="169"/>
      <c r="N490" s="18" t="s">
        <v>81</v>
      </c>
      <c r="O490" s="20">
        <v>4</v>
      </c>
      <c r="P490" s="20">
        <v>4</v>
      </c>
      <c r="Q490" s="18" t="s">
        <v>66</v>
      </c>
      <c r="R490" s="32"/>
      <c r="S490" s="50"/>
    </row>
    <row r="491" spans="2:19" x14ac:dyDescent="0.25">
      <c r="B491" s="175"/>
      <c r="C491" s="169"/>
      <c r="D491" s="18" t="s">
        <v>82</v>
      </c>
      <c r="E491" s="20">
        <v>5</v>
      </c>
      <c r="F491" s="20">
        <v>5</v>
      </c>
      <c r="G491" s="18" t="s">
        <v>66</v>
      </c>
      <c r="H491" s="32"/>
      <c r="I491" s="50"/>
      <c r="L491" s="175"/>
      <c r="M491" s="169"/>
      <c r="N491" s="18" t="s">
        <v>82</v>
      </c>
      <c r="O491" s="20">
        <v>5</v>
      </c>
      <c r="P491" s="20">
        <v>5</v>
      </c>
      <c r="Q491" s="18" t="s">
        <v>66</v>
      </c>
      <c r="R491" s="32"/>
      <c r="S491" s="50"/>
    </row>
    <row r="492" spans="2:19" ht="15.75" thickBot="1" x14ac:dyDescent="0.3">
      <c r="B492" s="175"/>
      <c r="C492" s="170"/>
      <c r="D492" s="18" t="s">
        <v>83</v>
      </c>
      <c r="E492" s="20">
        <v>6</v>
      </c>
      <c r="F492" s="20">
        <v>6</v>
      </c>
      <c r="G492" s="18" t="s">
        <v>66</v>
      </c>
      <c r="H492" s="32"/>
      <c r="I492" s="50"/>
      <c r="L492" s="175"/>
      <c r="M492" s="170"/>
      <c r="N492" s="18" t="s">
        <v>83</v>
      </c>
      <c r="O492" s="20">
        <v>6</v>
      </c>
      <c r="P492" s="20">
        <v>6</v>
      </c>
      <c r="Q492" s="18" t="s">
        <v>66</v>
      </c>
      <c r="R492" s="32"/>
      <c r="S492" s="50"/>
    </row>
    <row r="493" spans="2:19" x14ac:dyDescent="0.25">
      <c r="B493" s="175"/>
      <c r="C493" s="168" t="s">
        <v>84</v>
      </c>
      <c r="D493" s="18" t="s">
        <v>2</v>
      </c>
      <c r="E493" s="19">
        <v>1</v>
      </c>
      <c r="F493" s="19">
        <v>7</v>
      </c>
      <c r="G493" s="18" t="s">
        <v>78</v>
      </c>
      <c r="H493" s="156" t="s">
        <v>85</v>
      </c>
      <c r="I493" s="165" t="s">
        <v>164</v>
      </c>
      <c r="L493" s="175"/>
      <c r="M493" s="168" t="s">
        <v>84</v>
      </c>
      <c r="N493" s="18" t="s">
        <v>2</v>
      </c>
      <c r="O493" s="19">
        <v>1</v>
      </c>
      <c r="P493" s="19">
        <v>7</v>
      </c>
      <c r="Q493" s="18" t="s">
        <v>78</v>
      </c>
      <c r="R493" s="156" t="s">
        <v>85</v>
      </c>
      <c r="S493" s="165" t="s">
        <v>166</v>
      </c>
    </row>
    <row r="494" spans="2:19" x14ac:dyDescent="0.25">
      <c r="B494" s="175"/>
      <c r="C494" s="169"/>
      <c r="D494" s="18" t="s">
        <v>3</v>
      </c>
      <c r="E494" s="19">
        <v>2</v>
      </c>
      <c r="F494" s="19">
        <v>8</v>
      </c>
      <c r="G494" s="18" t="s">
        <v>78</v>
      </c>
      <c r="H494" s="157"/>
      <c r="I494" s="166"/>
      <c r="L494" s="175"/>
      <c r="M494" s="169"/>
      <c r="N494" s="18" t="s">
        <v>3</v>
      </c>
      <c r="O494" s="19">
        <v>2</v>
      </c>
      <c r="P494" s="19">
        <v>8</v>
      </c>
      <c r="Q494" s="18" t="s">
        <v>78</v>
      </c>
      <c r="R494" s="157"/>
      <c r="S494" s="166"/>
    </row>
    <row r="495" spans="2:19" x14ac:dyDescent="0.25">
      <c r="B495" s="175"/>
      <c r="C495" s="169"/>
      <c r="D495" s="18" t="s">
        <v>80</v>
      </c>
      <c r="E495" s="20">
        <v>3</v>
      </c>
      <c r="F495" s="20">
        <v>9</v>
      </c>
      <c r="G495" s="18" t="s">
        <v>66</v>
      </c>
      <c r="H495" s="157"/>
      <c r="I495" s="166"/>
      <c r="L495" s="175"/>
      <c r="M495" s="169"/>
      <c r="N495" s="18" t="s">
        <v>80</v>
      </c>
      <c r="O495" s="20">
        <v>3</v>
      </c>
      <c r="P495" s="20">
        <v>9</v>
      </c>
      <c r="Q495" s="18" t="s">
        <v>66</v>
      </c>
      <c r="R495" s="157"/>
      <c r="S495" s="166"/>
    </row>
    <row r="496" spans="2:19" x14ac:dyDescent="0.25">
      <c r="B496" s="175"/>
      <c r="C496" s="169"/>
      <c r="D496" s="18" t="s">
        <v>81</v>
      </c>
      <c r="E496" s="20">
        <v>4</v>
      </c>
      <c r="F496" s="20">
        <v>10</v>
      </c>
      <c r="G496" s="18" t="s">
        <v>66</v>
      </c>
      <c r="H496" s="157"/>
      <c r="I496" s="166"/>
      <c r="L496" s="175"/>
      <c r="M496" s="169"/>
      <c r="N496" s="18" t="s">
        <v>81</v>
      </c>
      <c r="O496" s="20">
        <v>4</v>
      </c>
      <c r="P496" s="20">
        <v>10</v>
      </c>
      <c r="Q496" s="18" t="s">
        <v>66</v>
      </c>
      <c r="R496" s="157"/>
      <c r="S496" s="166"/>
    </row>
    <row r="497" spans="2:19" x14ac:dyDescent="0.25">
      <c r="B497" s="175"/>
      <c r="C497" s="169"/>
      <c r="D497" s="18" t="s">
        <v>82</v>
      </c>
      <c r="E497" s="20">
        <v>5</v>
      </c>
      <c r="F497" s="20">
        <v>11</v>
      </c>
      <c r="G497" s="18" t="s">
        <v>66</v>
      </c>
      <c r="H497" s="157"/>
      <c r="I497" s="166"/>
      <c r="L497" s="175"/>
      <c r="M497" s="169"/>
      <c r="N497" s="18" t="s">
        <v>82</v>
      </c>
      <c r="O497" s="20">
        <v>5</v>
      </c>
      <c r="P497" s="20">
        <v>11</v>
      </c>
      <c r="Q497" s="18" t="s">
        <v>66</v>
      </c>
      <c r="R497" s="157"/>
      <c r="S497" s="166"/>
    </row>
    <row r="498" spans="2:19" ht="15.75" thickBot="1" x14ac:dyDescent="0.3">
      <c r="B498" s="176"/>
      <c r="C498" s="170"/>
      <c r="D498" s="18" t="s">
        <v>83</v>
      </c>
      <c r="E498" s="20">
        <v>6</v>
      </c>
      <c r="F498" s="20">
        <v>12</v>
      </c>
      <c r="G498" s="18" t="s">
        <v>66</v>
      </c>
      <c r="H498" s="158"/>
      <c r="I498" s="167"/>
      <c r="L498" s="176"/>
      <c r="M498" s="170"/>
      <c r="N498" s="18" t="s">
        <v>83</v>
      </c>
      <c r="O498" s="20">
        <v>6</v>
      </c>
      <c r="P498" s="20">
        <v>12</v>
      </c>
      <c r="Q498" s="18" t="s">
        <v>66</v>
      </c>
      <c r="R498" s="158"/>
      <c r="S498" s="167"/>
    </row>
    <row r="499" spans="2:19" x14ac:dyDescent="0.25">
      <c r="B499" s="180" t="s">
        <v>3</v>
      </c>
      <c r="C499" s="177" t="s">
        <v>77</v>
      </c>
      <c r="D499" s="21" t="s">
        <v>2</v>
      </c>
      <c r="E499" s="22">
        <v>1</v>
      </c>
      <c r="F499" s="22">
        <v>13</v>
      </c>
      <c r="G499" s="21" t="s">
        <v>66</v>
      </c>
      <c r="H499" s="21"/>
      <c r="I499" s="51"/>
      <c r="L499" s="180" t="s">
        <v>3</v>
      </c>
      <c r="M499" s="177" t="s">
        <v>77</v>
      </c>
      <c r="N499" s="21" t="s">
        <v>2</v>
      </c>
      <c r="O499" s="22">
        <v>1</v>
      </c>
      <c r="P499" s="22">
        <v>13</v>
      </c>
      <c r="Q499" s="21" t="s">
        <v>66</v>
      </c>
      <c r="R499" s="21"/>
      <c r="S499" s="51"/>
    </row>
    <row r="500" spans="2:19" x14ac:dyDescent="0.25">
      <c r="B500" s="181"/>
      <c r="C500" s="178"/>
      <c r="D500" s="23" t="s">
        <v>3</v>
      </c>
      <c r="E500" s="24">
        <v>2</v>
      </c>
      <c r="F500" s="24">
        <v>14</v>
      </c>
      <c r="G500" s="23" t="s">
        <v>66</v>
      </c>
      <c r="H500" s="23"/>
      <c r="I500" s="47"/>
      <c r="L500" s="181"/>
      <c r="M500" s="178"/>
      <c r="N500" s="23" t="s">
        <v>3</v>
      </c>
      <c r="O500" s="24">
        <v>2</v>
      </c>
      <c r="P500" s="24">
        <v>14</v>
      </c>
      <c r="Q500" s="23" t="s">
        <v>66</v>
      </c>
      <c r="R500" s="23"/>
      <c r="S500" s="47"/>
    </row>
    <row r="501" spans="2:19" x14ac:dyDescent="0.25">
      <c r="B501" s="181"/>
      <c r="C501" s="178"/>
      <c r="D501" s="23" t="s">
        <v>80</v>
      </c>
      <c r="E501" s="24">
        <v>3</v>
      </c>
      <c r="F501" s="24">
        <v>15</v>
      </c>
      <c r="G501" s="23" t="s">
        <v>66</v>
      </c>
      <c r="H501" s="23"/>
      <c r="I501" s="47"/>
      <c r="L501" s="181"/>
      <c r="M501" s="178"/>
      <c r="N501" s="23" t="s">
        <v>80</v>
      </c>
      <c r="O501" s="24">
        <v>3</v>
      </c>
      <c r="P501" s="24">
        <v>15</v>
      </c>
      <c r="Q501" s="23" t="s">
        <v>66</v>
      </c>
      <c r="R501" s="23"/>
      <c r="S501" s="47"/>
    </row>
    <row r="502" spans="2:19" x14ac:dyDescent="0.25">
      <c r="B502" s="181"/>
      <c r="C502" s="178"/>
      <c r="D502" s="23" t="s">
        <v>81</v>
      </c>
      <c r="E502" s="24">
        <v>4</v>
      </c>
      <c r="F502" s="24">
        <v>16</v>
      </c>
      <c r="G502" s="23" t="s">
        <v>66</v>
      </c>
      <c r="H502" s="23"/>
      <c r="I502" s="47"/>
      <c r="L502" s="181"/>
      <c r="M502" s="178"/>
      <c r="N502" s="23" t="s">
        <v>81</v>
      </c>
      <c r="O502" s="24">
        <v>4</v>
      </c>
      <c r="P502" s="24">
        <v>16</v>
      </c>
      <c r="Q502" s="23" t="s">
        <v>66</v>
      </c>
      <c r="R502" s="23"/>
      <c r="S502" s="47"/>
    </row>
    <row r="503" spans="2:19" x14ac:dyDescent="0.25">
      <c r="B503" s="181"/>
      <c r="C503" s="178"/>
      <c r="D503" s="23" t="s">
        <v>82</v>
      </c>
      <c r="E503" s="24">
        <v>5</v>
      </c>
      <c r="F503" s="24">
        <v>17</v>
      </c>
      <c r="G503" s="23" t="s">
        <v>66</v>
      </c>
      <c r="H503" s="23"/>
      <c r="I503" s="47"/>
      <c r="L503" s="181"/>
      <c r="M503" s="178"/>
      <c r="N503" s="23" t="s">
        <v>82</v>
      </c>
      <c r="O503" s="24">
        <v>5</v>
      </c>
      <c r="P503" s="24">
        <v>17</v>
      </c>
      <c r="Q503" s="23" t="s">
        <v>66</v>
      </c>
      <c r="R503" s="23"/>
      <c r="S503" s="47"/>
    </row>
    <row r="504" spans="2:19" ht="15.75" thickBot="1" x14ac:dyDescent="0.3">
      <c r="B504" s="181"/>
      <c r="C504" s="179"/>
      <c r="D504" s="23" t="s">
        <v>83</v>
      </c>
      <c r="E504" s="24">
        <v>6</v>
      </c>
      <c r="F504" s="24">
        <v>18</v>
      </c>
      <c r="G504" s="23" t="s">
        <v>66</v>
      </c>
      <c r="H504" s="23"/>
      <c r="I504" s="47"/>
      <c r="L504" s="181"/>
      <c r="M504" s="179"/>
      <c r="N504" s="23" t="s">
        <v>83</v>
      </c>
      <c r="O504" s="24">
        <v>6</v>
      </c>
      <c r="P504" s="24">
        <v>18</v>
      </c>
      <c r="Q504" s="23" t="s">
        <v>66</v>
      </c>
      <c r="R504" s="23"/>
      <c r="S504" s="47"/>
    </row>
    <row r="505" spans="2:19" x14ac:dyDescent="0.25">
      <c r="B505" s="181"/>
      <c r="C505" s="177" t="s">
        <v>84</v>
      </c>
      <c r="D505" s="23" t="s">
        <v>2</v>
      </c>
      <c r="E505" s="24">
        <v>1</v>
      </c>
      <c r="F505" s="24">
        <v>19</v>
      </c>
      <c r="G505" s="23" t="s">
        <v>66</v>
      </c>
      <c r="H505" s="23"/>
      <c r="I505" s="47"/>
      <c r="L505" s="181"/>
      <c r="M505" s="177" t="s">
        <v>84</v>
      </c>
      <c r="N505" s="23" t="s">
        <v>2</v>
      </c>
      <c r="O505" s="24">
        <v>1</v>
      </c>
      <c r="P505" s="24">
        <v>19</v>
      </c>
      <c r="Q505" s="23" t="s">
        <v>66</v>
      </c>
      <c r="R505" s="23"/>
      <c r="S505" s="47"/>
    </row>
    <row r="506" spans="2:19" x14ac:dyDescent="0.25">
      <c r="B506" s="181"/>
      <c r="C506" s="178"/>
      <c r="D506" s="23" t="s">
        <v>3</v>
      </c>
      <c r="E506" s="24">
        <v>2</v>
      </c>
      <c r="F506" s="24">
        <v>20</v>
      </c>
      <c r="G506" s="23" t="s">
        <v>66</v>
      </c>
      <c r="H506" s="23"/>
      <c r="I506" s="47"/>
      <c r="L506" s="181"/>
      <c r="M506" s="178"/>
      <c r="N506" s="23" t="s">
        <v>3</v>
      </c>
      <c r="O506" s="24">
        <v>2</v>
      </c>
      <c r="P506" s="24">
        <v>20</v>
      </c>
      <c r="Q506" s="23" t="s">
        <v>66</v>
      </c>
      <c r="R506" s="23"/>
      <c r="S506" s="47"/>
    </row>
    <row r="507" spans="2:19" x14ac:dyDescent="0.25">
      <c r="B507" s="181"/>
      <c r="C507" s="178"/>
      <c r="D507" s="23" t="s">
        <v>80</v>
      </c>
      <c r="E507" s="26">
        <v>3</v>
      </c>
      <c r="F507" s="24">
        <v>21</v>
      </c>
      <c r="G507" s="23" t="s">
        <v>66</v>
      </c>
      <c r="H507" s="23"/>
      <c r="I507" s="47"/>
      <c r="L507" s="181"/>
      <c r="M507" s="178"/>
      <c r="N507" s="23" t="s">
        <v>80</v>
      </c>
      <c r="O507" s="26">
        <v>3</v>
      </c>
      <c r="P507" s="24">
        <v>21</v>
      </c>
      <c r="Q507" s="23" t="s">
        <v>66</v>
      </c>
      <c r="R507" s="23"/>
      <c r="S507" s="47"/>
    </row>
    <row r="508" spans="2:19" x14ac:dyDescent="0.25">
      <c r="B508" s="181"/>
      <c r="C508" s="178"/>
      <c r="D508" s="23" t="s">
        <v>81</v>
      </c>
      <c r="E508" s="24">
        <v>4</v>
      </c>
      <c r="F508" s="24">
        <v>22</v>
      </c>
      <c r="G508" s="23" t="s">
        <v>66</v>
      </c>
      <c r="H508" s="23"/>
      <c r="I508" s="47"/>
      <c r="L508" s="181"/>
      <c r="M508" s="178"/>
      <c r="N508" s="23" t="s">
        <v>81</v>
      </c>
      <c r="O508" s="24">
        <v>4</v>
      </c>
      <c r="P508" s="24">
        <v>22</v>
      </c>
      <c r="Q508" s="23" t="s">
        <v>66</v>
      </c>
      <c r="R508" s="23"/>
      <c r="S508" s="47"/>
    </row>
    <row r="509" spans="2:19" x14ac:dyDescent="0.25">
      <c r="B509" s="181"/>
      <c r="C509" s="178"/>
      <c r="D509" s="23" t="s">
        <v>82</v>
      </c>
      <c r="E509" s="24">
        <v>5</v>
      </c>
      <c r="F509" s="24">
        <v>23</v>
      </c>
      <c r="G509" s="23" t="s">
        <v>66</v>
      </c>
      <c r="H509" s="23"/>
      <c r="I509" s="47"/>
      <c r="L509" s="181"/>
      <c r="M509" s="178"/>
      <c r="N509" s="23" t="s">
        <v>82</v>
      </c>
      <c r="O509" s="24">
        <v>5</v>
      </c>
      <c r="P509" s="24">
        <v>23</v>
      </c>
      <c r="Q509" s="23" t="s">
        <v>66</v>
      </c>
      <c r="R509" s="23"/>
      <c r="S509" s="47"/>
    </row>
    <row r="510" spans="2:19" ht="15.75" thickBot="1" x14ac:dyDescent="0.3">
      <c r="B510" s="182"/>
      <c r="C510" s="179"/>
      <c r="D510" s="23" t="s">
        <v>83</v>
      </c>
      <c r="E510" s="24">
        <v>6</v>
      </c>
      <c r="F510" s="24">
        <v>24</v>
      </c>
      <c r="G510" s="23" t="s">
        <v>66</v>
      </c>
      <c r="H510" s="23"/>
      <c r="I510" s="47"/>
      <c r="L510" s="182"/>
      <c r="M510" s="179"/>
      <c r="N510" s="23" t="s">
        <v>83</v>
      </c>
      <c r="O510" s="24">
        <v>6</v>
      </c>
      <c r="P510" s="24">
        <v>24</v>
      </c>
      <c r="Q510" s="23" t="s">
        <v>66</v>
      </c>
      <c r="R510" s="23"/>
      <c r="S510" s="47"/>
    </row>
    <row r="511" spans="2:19" x14ac:dyDescent="0.25">
      <c r="B511" s="189" t="s">
        <v>80</v>
      </c>
      <c r="C511" s="192" t="s">
        <v>77</v>
      </c>
      <c r="D511" s="27" t="s">
        <v>2</v>
      </c>
      <c r="E511" s="28">
        <v>1</v>
      </c>
      <c r="F511" s="28">
        <v>25</v>
      </c>
      <c r="G511" s="27" t="s">
        <v>66</v>
      </c>
      <c r="H511" s="27"/>
      <c r="I511" s="48"/>
      <c r="L511" s="189" t="s">
        <v>80</v>
      </c>
      <c r="M511" s="192" t="s">
        <v>77</v>
      </c>
      <c r="N511" s="27" t="s">
        <v>2</v>
      </c>
      <c r="O511" s="28">
        <v>1</v>
      </c>
      <c r="P511" s="28">
        <v>25</v>
      </c>
      <c r="Q511" s="27" t="s">
        <v>66</v>
      </c>
      <c r="R511" s="27"/>
      <c r="S511" s="48"/>
    </row>
    <row r="512" spans="2:19" x14ac:dyDescent="0.25">
      <c r="B512" s="190"/>
      <c r="C512" s="193"/>
      <c r="D512" s="27" t="s">
        <v>3</v>
      </c>
      <c r="E512" s="28">
        <v>2</v>
      </c>
      <c r="F512" s="28">
        <v>26</v>
      </c>
      <c r="G512" s="27" t="s">
        <v>66</v>
      </c>
      <c r="H512" s="27"/>
      <c r="I512" s="48"/>
      <c r="L512" s="190"/>
      <c r="M512" s="193"/>
      <c r="N512" s="27" t="s">
        <v>3</v>
      </c>
      <c r="O512" s="28">
        <v>2</v>
      </c>
      <c r="P512" s="28">
        <v>26</v>
      </c>
      <c r="Q512" s="27" t="s">
        <v>66</v>
      </c>
      <c r="R512" s="27"/>
      <c r="S512" s="48"/>
    </row>
    <row r="513" spans="2:19" x14ac:dyDescent="0.25">
      <c r="B513" s="190"/>
      <c r="C513" s="193"/>
      <c r="D513" s="27" t="s">
        <v>80</v>
      </c>
      <c r="E513" s="28">
        <v>3</v>
      </c>
      <c r="F513" s="28">
        <v>27</v>
      </c>
      <c r="G513" s="27" t="s">
        <v>66</v>
      </c>
      <c r="H513" s="27"/>
      <c r="I513" s="48"/>
      <c r="L513" s="190"/>
      <c r="M513" s="193"/>
      <c r="N513" s="27" t="s">
        <v>80</v>
      </c>
      <c r="O513" s="28">
        <v>3</v>
      </c>
      <c r="P513" s="28">
        <v>27</v>
      </c>
      <c r="Q513" s="27" t="s">
        <v>66</v>
      </c>
      <c r="R513" s="27"/>
      <c r="S513" s="48"/>
    </row>
    <row r="514" spans="2:19" x14ac:dyDescent="0.25">
      <c r="B514" s="190"/>
      <c r="C514" s="193"/>
      <c r="D514" s="27" t="s">
        <v>81</v>
      </c>
      <c r="E514" s="28">
        <v>4</v>
      </c>
      <c r="F514" s="28">
        <v>28</v>
      </c>
      <c r="G514" s="27" t="s">
        <v>66</v>
      </c>
      <c r="H514" s="27"/>
      <c r="I514" s="48"/>
      <c r="L514" s="190"/>
      <c r="M514" s="193"/>
      <c r="N514" s="27" t="s">
        <v>81</v>
      </c>
      <c r="O514" s="28">
        <v>4</v>
      </c>
      <c r="P514" s="28">
        <v>28</v>
      </c>
      <c r="Q514" s="27" t="s">
        <v>66</v>
      </c>
      <c r="R514" s="27"/>
      <c r="S514" s="48"/>
    </row>
    <row r="515" spans="2:19" x14ac:dyDescent="0.25">
      <c r="B515" s="190"/>
      <c r="C515" s="193"/>
      <c r="D515" s="27" t="s">
        <v>82</v>
      </c>
      <c r="E515" s="28">
        <v>5</v>
      </c>
      <c r="F515" s="28">
        <v>29</v>
      </c>
      <c r="G515" s="27" t="s">
        <v>66</v>
      </c>
      <c r="H515" s="27"/>
      <c r="I515" s="48"/>
      <c r="L515" s="190"/>
      <c r="M515" s="193"/>
      <c r="N515" s="27" t="s">
        <v>82</v>
      </c>
      <c r="O515" s="28">
        <v>5</v>
      </c>
      <c r="P515" s="28">
        <v>29</v>
      </c>
      <c r="Q515" s="27" t="s">
        <v>66</v>
      </c>
      <c r="R515" s="27"/>
      <c r="S515" s="48"/>
    </row>
    <row r="516" spans="2:19" ht="15.75" thickBot="1" x14ac:dyDescent="0.3">
      <c r="B516" s="190"/>
      <c r="C516" s="194"/>
      <c r="D516" s="27" t="s">
        <v>83</v>
      </c>
      <c r="E516" s="28">
        <v>6</v>
      </c>
      <c r="F516" s="28">
        <v>30</v>
      </c>
      <c r="G516" s="27" t="s">
        <v>66</v>
      </c>
      <c r="H516" s="27"/>
      <c r="I516" s="48"/>
      <c r="L516" s="190"/>
      <c r="M516" s="194"/>
      <c r="N516" s="27" t="s">
        <v>83</v>
      </c>
      <c r="O516" s="28">
        <v>6</v>
      </c>
      <c r="P516" s="28">
        <v>30</v>
      </c>
      <c r="Q516" s="27" t="s">
        <v>66</v>
      </c>
      <c r="R516" s="27"/>
      <c r="S516" s="48"/>
    </row>
    <row r="517" spans="2:19" x14ac:dyDescent="0.25">
      <c r="B517" s="190"/>
      <c r="C517" s="192" t="s">
        <v>84</v>
      </c>
      <c r="D517" s="27" t="s">
        <v>2</v>
      </c>
      <c r="E517" s="28">
        <v>1</v>
      </c>
      <c r="F517" s="28">
        <v>31</v>
      </c>
      <c r="G517" s="27" t="s">
        <v>66</v>
      </c>
      <c r="H517" s="27"/>
      <c r="I517" s="48"/>
      <c r="L517" s="190"/>
      <c r="M517" s="192" t="s">
        <v>84</v>
      </c>
      <c r="N517" s="27" t="s">
        <v>2</v>
      </c>
      <c r="O517" s="28">
        <v>1</v>
      </c>
      <c r="P517" s="28">
        <v>31</v>
      </c>
      <c r="Q517" s="27" t="s">
        <v>66</v>
      </c>
      <c r="R517" s="27"/>
      <c r="S517" s="48"/>
    </row>
    <row r="518" spans="2:19" x14ac:dyDescent="0.25">
      <c r="B518" s="190"/>
      <c r="C518" s="193"/>
      <c r="D518" s="27" t="s">
        <v>3</v>
      </c>
      <c r="E518" s="28">
        <v>2</v>
      </c>
      <c r="F518" s="28">
        <v>32</v>
      </c>
      <c r="G518" s="27" t="s">
        <v>66</v>
      </c>
      <c r="H518" s="27"/>
      <c r="I518" s="48"/>
      <c r="L518" s="190"/>
      <c r="M518" s="193"/>
      <c r="N518" s="27" t="s">
        <v>3</v>
      </c>
      <c r="O518" s="28">
        <v>2</v>
      </c>
      <c r="P518" s="28">
        <v>32</v>
      </c>
      <c r="Q518" s="27" t="s">
        <v>66</v>
      </c>
      <c r="R518" s="27"/>
      <c r="S518" s="48"/>
    </row>
    <row r="519" spans="2:19" x14ac:dyDescent="0.25">
      <c r="B519" s="190"/>
      <c r="C519" s="193"/>
      <c r="D519" s="27" t="s">
        <v>80</v>
      </c>
      <c r="E519" s="28">
        <v>3</v>
      </c>
      <c r="F519" s="28">
        <v>33</v>
      </c>
      <c r="G519" s="27" t="s">
        <v>66</v>
      </c>
      <c r="H519" s="27"/>
      <c r="I519" s="48"/>
      <c r="L519" s="190"/>
      <c r="M519" s="193"/>
      <c r="N519" s="27" t="s">
        <v>80</v>
      </c>
      <c r="O519" s="28">
        <v>3</v>
      </c>
      <c r="P519" s="28">
        <v>33</v>
      </c>
      <c r="Q519" s="27" t="s">
        <v>66</v>
      </c>
      <c r="R519" s="27"/>
      <c r="S519" s="48"/>
    </row>
    <row r="520" spans="2:19" x14ac:dyDescent="0.25">
      <c r="B520" s="190"/>
      <c r="C520" s="193"/>
      <c r="D520" s="27" t="s">
        <v>81</v>
      </c>
      <c r="E520" s="28">
        <v>4</v>
      </c>
      <c r="F520" s="28">
        <v>34</v>
      </c>
      <c r="G520" s="27" t="s">
        <v>66</v>
      </c>
      <c r="H520" s="27"/>
      <c r="I520" s="48"/>
      <c r="L520" s="190"/>
      <c r="M520" s="193"/>
      <c r="N520" s="27" t="s">
        <v>81</v>
      </c>
      <c r="O520" s="28">
        <v>4</v>
      </c>
      <c r="P520" s="28">
        <v>34</v>
      </c>
      <c r="Q520" s="27" t="s">
        <v>66</v>
      </c>
      <c r="R520" s="27"/>
      <c r="S520" s="48"/>
    </row>
    <row r="521" spans="2:19" x14ac:dyDescent="0.25">
      <c r="B521" s="190"/>
      <c r="C521" s="193"/>
      <c r="D521" s="27" t="s">
        <v>82</v>
      </c>
      <c r="E521" s="28">
        <v>5</v>
      </c>
      <c r="F521" s="28">
        <v>35</v>
      </c>
      <c r="G521" s="27" t="s">
        <v>66</v>
      </c>
      <c r="H521" s="27"/>
      <c r="I521" s="48"/>
      <c r="L521" s="190"/>
      <c r="M521" s="193"/>
      <c r="N521" s="27" t="s">
        <v>82</v>
      </c>
      <c r="O521" s="28">
        <v>5</v>
      </c>
      <c r="P521" s="28">
        <v>35</v>
      </c>
      <c r="Q521" s="27" t="s">
        <v>66</v>
      </c>
      <c r="R521" s="27"/>
      <c r="S521" s="48"/>
    </row>
    <row r="522" spans="2:19" ht="15.75" thickBot="1" x14ac:dyDescent="0.3">
      <c r="B522" s="191"/>
      <c r="C522" s="194"/>
      <c r="D522" s="27" t="s">
        <v>83</v>
      </c>
      <c r="E522" s="28">
        <v>6</v>
      </c>
      <c r="F522" s="28">
        <v>36</v>
      </c>
      <c r="G522" s="27" t="s">
        <v>66</v>
      </c>
      <c r="H522" s="27"/>
      <c r="I522" s="48"/>
      <c r="L522" s="191"/>
      <c r="M522" s="194"/>
      <c r="N522" s="27" t="s">
        <v>83</v>
      </c>
      <c r="O522" s="28">
        <v>6</v>
      </c>
      <c r="P522" s="28">
        <v>36</v>
      </c>
      <c r="Q522" s="27" t="s">
        <v>66</v>
      </c>
      <c r="R522" s="27"/>
      <c r="S522" s="48"/>
    </row>
    <row r="523" spans="2:19" x14ac:dyDescent="0.25">
      <c r="B523" s="183" t="s">
        <v>81</v>
      </c>
      <c r="C523" s="186" t="s">
        <v>77</v>
      </c>
      <c r="D523" s="29" t="s">
        <v>2</v>
      </c>
      <c r="E523" s="30">
        <v>1</v>
      </c>
      <c r="F523" s="30">
        <v>37</v>
      </c>
      <c r="G523" s="29" t="s">
        <v>66</v>
      </c>
      <c r="H523" s="29"/>
      <c r="I523" s="49"/>
      <c r="L523" s="183" t="s">
        <v>81</v>
      </c>
      <c r="M523" s="186" t="s">
        <v>77</v>
      </c>
      <c r="N523" s="29" t="s">
        <v>2</v>
      </c>
      <c r="O523" s="30">
        <v>1</v>
      </c>
      <c r="P523" s="30">
        <v>37</v>
      </c>
      <c r="Q523" s="29" t="s">
        <v>66</v>
      </c>
      <c r="R523" s="29"/>
      <c r="S523" s="49"/>
    </row>
    <row r="524" spans="2:19" x14ac:dyDescent="0.25">
      <c r="B524" s="184"/>
      <c r="C524" s="187"/>
      <c r="D524" s="29" t="s">
        <v>3</v>
      </c>
      <c r="E524" s="30">
        <v>2</v>
      </c>
      <c r="F524" s="30">
        <v>38</v>
      </c>
      <c r="G524" s="29" t="s">
        <v>66</v>
      </c>
      <c r="H524" s="29"/>
      <c r="I524" s="49"/>
      <c r="L524" s="184"/>
      <c r="M524" s="187"/>
      <c r="N524" s="29" t="s">
        <v>3</v>
      </c>
      <c r="O524" s="30">
        <v>2</v>
      </c>
      <c r="P524" s="30">
        <v>38</v>
      </c>
      <c r="Q524" s="29" t="s">
        <v>66</v>
      </c>
      <c r="R524" s="29"/>
      <c r="S524" s="49"/>
    </row>
    <row r="525" spans="2:19" x14ac:dyDescent="0.25">
      <c r="B525" s="184"/>
      <c r="C525" s="187"/>
      <c r="D525" s="29" t="s">
        <v>80</v>
      </c>
      <c r="E525" s="30">
        <v>3</v>
      </c>
      <c r="F525" s="30">
        <v>39</v>
      </c>
      <c r="G525" s="29" t="s">
        <v>66</v>
      </c>
      <c r="H525" s="29"/>
      <c r="I525" s="49"/>
      <c r="L525" s="184"/>
      <c r="M525" s="187"/>
      <c r="N525" s="29" t="s">
        <v>80</v>
      </c>
      <c r="O525" s="30">
        <v>3</v>
      </c>
      <c r="P525" s="30">
        <v>39</v>
      </c>
      <c r="Q525" s="29" t="s">
        <v>66</v>
      </c>
      <c r="R525" s="29"/>
      <c r="S525" s="49"/>
    </row>
    <row r="526" spans="2:19" x14ac:dyDescent="0.25">
      <c r="B526" s="184"/>
      <c r="C526" s="187"/>
      <c r="D526" s="29" t="s">
        <v>81</v>
      </c>
      <c r="E526" s="30">
        <v>4</v>
      </c>
      <c r="F526" s="30">
        <v>40</v>
      </c>
      <c r="G526" s="29" t="s">
        <v>66</v>
      </c>
      <c r="H526" s="29"/>
      <c r="I526" s="49"/>
      <c r="L526" s="184"/>
      <c r="M526" s="187"/>
      <c r="N526" s="29" t="s">
        <v>81</v>
      </c>
      <c r="O526" s="30">
        <v>4</v>
      </c>
      <c r="P526" s="30">
        <v>40</v>
      </c>
      <c r="Q526" s="29" t="s">
        <v>66</v>
      </c>
      <c r="R526" s="29"/>
      <c r="S526" s="49"/>
    </row>
    <row r="527" spans="2:19" x14ac:dyDescent="0.25">
      <c r="B527" s="184"/>
      <c r="C527" s="187"/>
      <c r="D527" s="29" t="s">
        <v>82</v>
      </c>
      <c r="E527" s="30">
        <v>5</v>
      </c>
      <c r="F527" s="30">
        <v>41</v>
      </c>
      <c r="G527" s="29" t="s">
        <v>66</v>
      </c>
      <c r="H527" s="29"/>
      <c r="I527" s="49"/>
      <c r="L527" s="184"/>
      <c r="M527" s="187"/>
      <c r="N527" s="29" t="s">
        <v>82</v>
      </c>
      <c r="O527" s="30">
        <v>5</v>
      </c>
      <c r="P527" s="30">
        <v>41</v>
      </c>
      <c r="Q527" s="29" t="s">
        <v>66</v>
      </c>
      <c r="R527" s="29"/>
      <c r="S527" s="49"/>
    </row>
    <row r="528" spans="2:19" ht="15.75" thickBot="1" x14ac:dyDescent="0.3">
      <c r="B528" s="184"/>
      <c r="C528" s="188"/>
      <c r="D528" s="29" t="s">
        <v>83</v>
      </c>
      <c r="E528" s="30">
        <v>6</v>
      </c>
      <c r="F528" s="30">
        <v>42</v>
      </c>
      <c r="G528" s="29" t="s">
        <v>66</v>
      </c>
      <c r="H528" s="29"/>
      <c r="I528" s="49"/>
      <c r="L528" s="184"/>
      <c r="M528" s="188"/>
      <c r="N528" s="29" t="s">
        <v>83</v>
      </c>
      <c r="O528" s="30">
        <v>6</v>
      </c>
      <c r="P528" s="30">
        <v>42</v>
      </c>
      <c r="Q528" s="29" t="s">
        <v>66</v>
      </c>
      <c r="R528" s="29"/>
      <c r="S528" s="49"/>
    </row>
    <row r="529" spans="2:19" x14ac:dyDescent="0.25">
      <c r="B529" s="184"/>
      <c r="C529" s="186" t="s">
        <v>84</v>
      </c>
      <c r="D529" s="29" t="s">
        <v>2</v>
      </c>
      <c r="E529" s="30">
        <v>1</v>
      </c>
      <c r="F529" s="30">
        <v>43</v>
      </c>
      <c r="G529" s="29" t="s">
        <v>66</v>
      </c>
      <c r="H529" s="29"/>
      <c r="I529" s="49"/>
      <c r="L529" s="184"/>
      <c r="M529" s="186" t="s">
        <v>84</v>
      </c>
      <c r="N529" s="29" t="s">
        <v>2</v>
      </c>
      <c r="O529" s="30">
        <v>1</v>
      </c>
      <c r="P529" s="30">
        <v>43</v>
      </c>
      <c r="Q529" s="29" t="s">
        <v>66</v>
      </c>
      <c r="R529" s="29"/>
      <c r="S529" s="49"/>
    </row>
    <row r="530" spans="2:19" x14ac:dyDescent="0.25">
      <c r="B530" s="184"/>
      <c r="C530" s="187"/>
      <c r="D530" s="29" t="s">
        <v>3</v>
      </c>
      <c r="E530" s="30">
        <v>2</v>
      </c>
      <c r="F530" s="30">
        <v>44</v>
      </c>
      <c r="G530" s="29" t="s">
        <v>66</v>
      </c>
      <c r="H530" s="29"/>
      <c r="I530" s="49"/>
      <c r="L530" s="184"/>
      <c r="M530" s="187"/>
      <c r="N530" s="29" t="s">
        <v>3</v>
      </c>
      <c r="O530" s="30">
        <v>2</v>
      </c>
      <c r="P530" s="30">
        <v>44</v>
      </c>
      <c r="Q530" s="29" t="s">
        <v>66</v>
      </c>
      <c r="R530" s="29"/>
      <c r="S530" s="49"/>
    </row>
    <row r="531" spans="2:19" x14ac:dyDescent="0.25">
      <c r="B531" s="184"/>
      <c r="C531" s="187"/>
      <c r="D531" s="29" t="s">
        <v>80</v>
      </c>
      <c r="E531" s="30">
        <v>3</v>
      </c>
      <c r="F531" s="30">
        <v>45</v>
      </c>
      <c r="G531" s="29" t="s">
        <v>66</v>
      </c>
      <c r="H531" s="29"/>
      <c r="I531" s="49"/>
      <c r="L531" s="184"/>
      <c r="M531" s="187"/>
      <c r="N531" s="29" t="s">
        <v>80</v>
      </c>
      <c r="O531" s="30">
        <v>3</v>
      </c>
      <c r="P531" s="30">
        <v>45</v>
      </c>
      <c r="Q531" s="29" t="s">
        <v>66</v>
      </c>
      <c r="R531" s="29"/>
      <c r="S531" s="49"/>
    </row>
    <row r="532" spans="2:19" x14ac:dyDescent="0.25">
      <c r="B532" s="184"/>
      <c r="C532" s="187"/>
      <c r="D532" s="29" t="s">
        <v>81</v>
      </c>
      <c r="E532" s="30">
        <v>4</v>
      </c>
      <c r="F532" s="30">
        <v>46</v>
      </c>
      <c r="G532" s="29" t="s">
        <v>66</v>
      </c>
      <c r="H532" s="29"/>
      <c r="I532" s="49"/>
      <c r="L532" s="184"/>
      <c r="M532" s="187"/>
      <c r="N532" s="29" t="s">
        <v>81</v>
      </c>
      <c r="O532" s="30">
        <v>4</v>
      </c>
      <c r="P532" s="30">
        <v>46</v>
      </c>
      <c r="Q532" s="29" t="s">
        <v>66</v>
      </c>
      <c r="R532" s="29"/>
      <c r="S532" s="49"/>
    </row>
    <row r="533" spans="2:19" x14ac:dyDescent="0.25">
      <c r="B533" s="184"/>
      <c r="C533" s="187"/>
      <c r="D533" s="29" t="s">
        <v>82</v>
      </c>
      <c r="E533" s="30">
        <v>5</v>
      </c>
      <c r="F533" s="30">
        <v>47</v>
      </c>
      <c r="G533" s="29" t="s">
        <v>66</v>
      </c>
      <c r="H533" s="29"/>
      <c r="I533" s="49"/>
      <c r="L533" s="184"/>
      <c r="M533" s="187"/>
      <c r="N533" s="29" t="s">
        <v>82</v>
      </c>
      <c r="O533" s="30">
        <v>5</v>
      </c>
      <c r="P533" s="30">
        <v>47</v>
      </c>
      <c r="Q533" s="29" t="s">
        <v>66</v>
      </c>
      <c r="R533" s="29"/>
      <c r="S533" s="49"/>
    </row>
    <row r="534" spans="2:19" ht="15.75" thickBot="1" x14ac:dyDescent="0.3">
      <c r="B534" s="185"/>
      <c r="C534" s="188"/>
      <c r="D534" s="29" t="s">
        <v>83</v>
      </c>
      <c r="E534" s="30">
        <v>6</v>
      </c>
      <c r="F534" s="30">
        <v>48</v>
      </c>
      <c r="G534" s="29" t="s">
        <v>66</v>
      </c>
      <c r="H534" s="29"/>
      <c r="I534" s="49"/>
      <c r="L534" s="185"/>
      <c r="M534" s="188"/>
      <c r="N534" s="29" t="s">
        <v>83</v>
      </c>
      <c r="O534" s="30">
        <v>6</v>
      </c>
      <c r="P534" s="30">
        <v>48</v>
      </c>
      <c r="Q534" s="29" t="s">
        <v>66</v>
      </c>
      <c r="R534" s="29"/>
      <c r="S534" s="49"/>
    </row>
    <row r="535" spans="2:19" ht="15.75" thickBot="1" x14ac:dyDescent="0.3"/>
    <row r="536" spans="2:19" ht="15.75" thickBot="1" x14ac:dyDescent="0.3">
      <c r="B536" s="171" t="s">
        <v>272</v>
      </c>
      <c r="C536" s="172"/>
      <c r="D536" s="172"/>
      <c r="E536" s="172"/>
      <c r="F536" s="172"/>
      <c r="G536" s="172"/>
      <c r="H536" s="172"/>
      <c r="I536" s="173"/>
      <c r="L536" s="171" t="s">
        <v>273</v>
      </c>
      <c r="M536" s="172"/>
      <c r="N536" s="172"/>
      <c r="O536" s="172"/>
      <c r="P536" s="172"/>
      <c r="Q536" s="172"/>
      <c r="R536" s="172"/>
      <c r="S536" s="173"/>
    </row>
    <row r="538" spans="2:19" ht="26.25" thickBot="1" x14ac:dyDescent="0.3">
      <c r="B538" s="15" t="s">
        <v>70</v>
      </c>
      <c r="C538" s="16" t="s">
        <v>71</v>
      </c>
      <c r="D538" s="15" t="s">
        <v>72</v>
      </c>
      <c r="E538" s="17" t="s">
        <v>73</v>
      </c>
      <c r="F538" s="17" t="s">
        <v>74</v>
      </c>
      <c r="G538" s="15" t="s">
        <v>75</v>
      </c>
      <c r="H538" s="15" t="s">
        <v>55</v>
      </c>
      <c r="I538" s="15" t="s">
        <v>76</v>
      </c>
      <c r="L538" s="15" t="s">
        <v>70</v>
      </c>
      <c r="M538" s="16" t="s">
        <v>71</v>
      </c>
      <c r="N538" s="15" t="s">
        <v>72</v>
      </c>
      <c r="O538" s="17" t="s">
        <v>73</v>
      </c>
      <c r="P538" s="17" t="s">
        <v>74</v>
      </c>
      <c r="Q538" s="15" t="s">
        <v>75</v>
      </c>
      <c r="R538" s="15" t="s">
        <v>55</v>
      </c>
      <c r="S538" s="15" t="s">
        <v>76</v>
      </c>
    </row>
    <row r="539" spans="2:19" x14ac:dyDescent="0.25">
      <c r="B539" s="174" t="s">
        <v>2</v>
      </c>
      <c r="C539" s="168" t="s">
        <v>77</v>
      </c>
      <c r="D539" s="18" t="s">
        <v>2</v>
      </c>
      <c r="E539" s="19">
        <v>1</v>
      </c>
      <c r="F539" s="19">
        <v>1</v>
      </c>
      <c r="G539" s="18" t="s">
        <v>66</v>
      </c>
      <c r="H539" s="32"/>
      <c r="I539" s="50"/>
      <c r="L539" s="174" t="s">
        <v>2</v>
      </c>
      <c r="M539" s="168" t="s">
        <v>77</v>
      </c>
      <c r="N539" s="18" t="s">
        <v>2</v>
      </c>
      <c r="O539" s="19">
        <v>1</v>
      </c>
      <c r="P539" s="19">
        <v>1</v>
      </c>
      <c r="Q539" s="18" t="s">
        <v>66</v>
      </c>
      <c r="R539" s="32"/>
      <c r="S539" s="50"/>
    </row>
    <row r="540" spans="2:19" x14ac:dyDescent="0.25">
      <c r="B540" s="175"/>
      <c r="C540" s="169"/>
      <c r="D540" s="18" t="s">
        <v>3</v>
      </c>
      <c r="E540" s="19">
        <v>2</v>
      </c>
      <c r="F540" s="19">
        <v>2</v>
      </c>
      <c r="G540" s="18" t="s">
        <v>66</v>
      </c>
      <c r="H540" s="32"/>
      <c r="I540" s="50"/>
      <c r="L540" s="175"/>
      <c r="M540" s="169"/>
      <c r="N540" s="18" t="s">
        <v>3</v>
      </c>
      <c r="O540" s="19">
        <v>2</v>
      </c>
      <c r="P540" s="19">
        <v>2</v>
      </c>
      <c r="Q540" s="18" t="s">
        <v>66</v>
      </c>
      <c r="R540" s="32"/>
      <c r="S540" s="50"/>
    </row>
    <row r="541" spans="2:19" x14ac:dyDescent="0.25">
      <c r="B541" s="175"/>
      <c r="C541" s="169"/>
      <c r="D541" s="18" t="s">
        <v>80</v>
      </c>
      <c r="E541" s="20">
        <v>3</v>
      </c>
      <c r="F541" s="20">
        <v>3</v>
      </c>
      <c r="G541" s="18" t="s">
        <v>66</v>
      </c>
      <c r="H541" s="32"/>
      <c r="I541" s="50"/>
      <c r="L541" s="175"/>
      <c r="M541" s="169"/>
      <c r="N541" s="18" t="s">
        <v>80</v>
      </c>
      <c r="O541" s="20">
        <v>3</v>
      </c>
      <c r="P541" s="20">
        <v>3</v>
      </c>
      <c r="Q541" s="18" t="s">
        <v>66</v>
      </c>
      <c r="R541" s="32"/>
      <c r="S541" s="50"/>
    </row>
    <row r="542" spans="2:19" x14ac:dyDescent="0.25">
      <c r="B542" s="175"/>
      <c r="C542" s="169"/>
      <c r="D542" s="18" t="s">
        <v>81</v>
      </c>
      <c r="E542" s="20">
        <v>4</v>
      </c>
      <c r="F542" s="20">
        <v>4</v>
      </c>
      <c r="G542" s="18" t="s">
        <v>66</v>
      </c>
      <c r="H542" s="32"/>
      <c r="I542" s="50"/>
      <c r="L542" s="175"/>
      <c r="M542" s="169"/>
      <c r="N542" s="18" t="s">
        <v>81</v>
      </c>
      <c r="O542" s="20">
        <v>4</v>
      </c>
      <c r="P542" s="20">
        <v>4</v>
      </c>
      <c r="Q542" s="18" t="s">
        <v>66</v>
      </c>
      <c r="R542" s="32"/>
      <c r="S542" s="50"/>
    </row>
    <row r="543" spans="2:19" x14ac:dyDescent="0.25">
      <c r="B543" s="175"/>
      <c r="C543" s="169"/>
      <c r="D543" s="18" t="s">
        <v>82</v>
      </c>
      <c r="E543" s="20">
        <v>5</v>
      </c>
      <c r="F543" s="20">
        <v>5</v>
      </c>
      <c r="G543" s="18" t="s">
        <v>66</v>
      </c>
      <c r="H543" s="32"/>
      <c r="I543" s="50"/>
      <c r="L543" s="175"/>
      <c r="M543" s="169"/>
      <c r="N543" s="18" t="s">
        <v>82</v>
      </c>
      <c r="O543" s="20">
        <v>5</v>
      </c>
      <c r="P543" s="20">
        <v>5</v>
      </c>
      <c r="Q543" s="18" t="s">
        <v>66</v>
      </c>
      <c r="R543" s="32"/>
      <c r="S543" s="50"/>
    </row>
    <row r="544" spans="2:19" ht="15.75" thickBot="1" x14ac:dyDescent="0.3">
      <c r="B544" s="175"/>
      <c r="C544" s="170"/>
      <c r="D544" s="18" t="s">
        <v>83</v>
      </c>
      <c r="E544" s="20">
        <v>6</v>
      </c>
      <c r="F544" s="20">
        <v>6</v>
      </c>
      <c r="G544" s="18" t="s">
        <v>66</v>
      </c>
      <c r="H544" s="32"/>
      <c r="I544" s="50"/>
      <c r="L544" s="175"/>
      <c r="M544" s="170"/>
      <c r="N544" s="18" t="s">
        <v>83</v>
      </c>
      <c r="O544" s="20">
        <v>6</v>
      </c>
      <c r="P544" s="20">
        <v>6</v>
      </c>
      <c r="Q544" s="18" t="s">
        <v>66</v>
      </c>
      <c r="R544" s="32"/>
      <c r="S544" s="50"/>
    </row>
    <row r="545" spans="2:19" x14ac:dyDescent="0.25">
      <c r="B545" s="175"/>
      <c r="C545" s="168" t="s">
        <v>84</v>
      </c>
      <c r="D545" s="18" t="s">
        <v>2</v>
      </c>
      <c r="E545" s="19">
        <v>1</v>
      </c>
      <c r="F545" s="19">
        <v>7</v>
      </c>
      <c r="G545" s="18" t="s">
        <v>78</v>
      </c>
      <c r="H545" s="156" t="s">
        <v>85</v>
      </c>
      <c r="I545" s="165" t="s">
        <v>165</v>
      </c>
      <c r="L545" s="175"/>
      <c r="M545" s="168" t="s">
        <v>84</v>
      </c>
      <c r="N545" s="18" t="s">
        <v>2</v>
      </c>
      <c r="O545" s="19">
        <v>1</v>
      </c>
      <c r="P545" s="19">
        <v>7</v>
      </c>
      <c r="Q545" s="18" t="s">
        <v>78</v>
      </c>
      <c r="R545" s="156" t="s">
        <v>85</v>
      </c>
      <c r="S545" s="165" t="s">
        <v>167</v>
      </c>
    </row>
    <row r="546" spans="2:19" x14ac:dyDescent="0.25">
      <c r="B546" s="175"/>
      <c r="C546" s="169"/>
      <c r="D546" s="18" t="s">
        <v>3</v>
      </c>
      <c r="E546" s="19">
        <v>2</v>
      </c>
      <c r="F546" s="19">
        <v>8</v>
      </c>
      <c r="G546" s="18" t="s">
        <v>78</v>
      </c>
      <c r="H546" s="157"/>
      <c r="I546" s="166"/>
      <c r="L546" s="175"/>
      <c r="M546" s="169"/>
      <c r="N546" s="18" t="s">
        <v>3</v>
      </c>
      <c r="O546" s="19">
        <v>2</v>
      </c>
      <c r="P546" s="19">
        <v>8</v>
      </c>
      <c r="Q546" s="18" t="s">
        <v>78</v>
      </c>
      <c r="R546" s="157"/>
      <c r="S546" s="166"/>
    </row>
    <row r="547" spans="2:19" x14ac:dyDescent="0.25">
      <c r="B547" s="175"/>
      <c r="C547" s="169"/>
      <c r="D547" s="18" t="s">
        <v>80</v>
      </c>
      <c r="E547" s="20">
        <v>3</v>
      </c>
      <c r="F547" s="20">
        <v>9</v>
      </c>
      <c r="G547" s="18" t="s">
        <v>66</v>
      </c>
      <c r="H547" s="157"/>
      <c r="I547" s="166"/>
      <c r="L547" s="175"/>
      <c r="M547" s="169"/>
      <c r="N547" s="18" t="s">
        <v>80</v>
      </c>
      <c r="O547" s="20">
        <v>3</v>
      </c>
      <c r="P547" s="20">
        <v>9</v>
      </c>
      <c r="Q547" s="18" t="s">
        <v>66</v>
      </c>
      <c r="R547" s="157"/>
      <c r="S547" s="166"/>
    </row>
    <row r="548" spans="2:19" x14ac:dyDescent="0.25">
      <c r="B548" s="175"/>
      <c r="C548" s="169"/>
      <c r="D548" s="18" t="s">
        <v>81</v>
      </c>
      <c r="E548" s="20">
        <v>4</v>
      </c>
      <c r="F548" s="20">
        <v>10</v>
      </c>
      <c r="G548" s="18" t="s">
        <v>66</v>
      </c>
      <c r="H548" s="157"/>
      <c r="I548" s="166"/>
      <c r="L548" s="175"/>
      <c r="M548" s="169"/>
      <c r="N548" s="18" t="s">
        <v>81</v>
      </c>
      <c r="O548" s="20">
        <v>4</v>
      </c>
      <c r="P548" s="20">
        <v>10</v>
      </c>
      <c r="Q548" s="18" t="s">
        <v>66</v>
      </c>
      <c r="R548" s="157"/>
      <c r="S548" s="166"/>
    </row>
    <row r="549" spans="2:19" x14ac:dyDescent="0.25">
      <c r="B549" s="175"/>
      <c r="C549" s="169"/>
      <c r="D549" s="18" t="s">
        <v>82</v>
      </c>
      <c r="E549" s="20">
        <v>5</v>
      </c>
      <c r="F549" s="20">
        <v>11</v>
      </c>
      <c r="G549" s="18" t="s">
        <v>66</v>
      </c>
      <c r="H549" s="157"/>
      <c r="I549" s="166"/>
      <c r="L549" s="175"/>
      <c r="M549" s="169"/>
      <c r="N549" s="18" t="s">
        <v>82</v>
      </c>
      <c r="O549" s="20">
        <v>5</v>
      </c>
      <c r="P549" s="20">
        <v>11</v>
      </c>
      <c r="Q549" s="18" t="s">
        <v>66</v>
      </c>
      <c r="R549" s="157"/>
      <c r="S549" s="166"/>
    </row>
    <row r="550" spans="2:19" ht="15.75" thickBot="1" x14ac:dyDescent="0.3">
      <c r="B550" s="176"/>
      <c r="C550" s="170"/>
      <c r="D550" s="18" t="s">
        <v>83</v>
      </c>
      <c r="E550" s="20">
        <v>6</v>
      </c>
      <c r="F550" s="20">
        <v>12</v>
      </c>
      <c r="G550" s="18" t="s">
        <v>66</v>
      </c>
      <c r="H550" s="158"/>
      <c r="I550" s="167"/>
      <c r="L550" s="176"/>
      <c r="M550" s="170"/>
      <c r="N550" s="18" t="s">
        <v>83</v>
      </c>
      <c r="O550" s="20">
        <v>6</v>
      </c>
      <c r="P550" s="20">
        <v>12</v>
      </c>
      <c r="Q550" s="18" t="s">
        <v>66</v>
      </c>
      <c r="R550" s="158"/>
      <c r="S550" s="167"/>
    </row>
    <row r="551" spans="2:19" x14ac:dyDescent="0.25">
      <c r="B551" s="180" t="s">
        <v>3</v>
      </c>
      <c r="C551" s="177" t="s">
        <v>77</v>
      </c>
      <c r="D551" s="21" t="s">
        <v>2</v>
      </c>
      <c r="E551" s="22">
        <v>1</v>
      </c>
      <c r="F551" s="22">
        <v>13</v>
      </c>
      <c r="G551" s="21" t="s">
        <v>66</v>
      </c>
      <c r="H551" s="21"/>
      <c r="I551" s="51"/>
      <c r="L551" s="180" t="s">
        <v>3</v>
      </c>
      <c r="M551" s="177" t="s">
        <v>77</v>
      </c>
      <c r="N551" s="21" t="s">
        <v>2</v>
      </c>
      <c r="O551" s="22">
        <v>1</v>
      </c>
      <c r="P551" s="22">
        <v>13</v>
      </c>
      <c r="Q551" s="21" t="s">
        <v>66</v>
      </c>
      <c r="R551" s="21"/>
      <c r="S551" s="51"/>
    </row>
    <row r="552" spans="2:19" x14ac:dyDescent="0.25">
      <c r="B552" s="181"/>
      <c r="C552" s="178"/>
      <c r="D552" s="23" t="s">
        <v>3</v>
      </c>
      <c r="E552" s="24">
        <v>2</v>
      </c>
      <c r="F552" s="24">
        <v>14</v>
      </c>
      <c r="G552" s="23" t="s">
        <v>66</v>
      </c>
      <c r="H552" s="23"/>
      <c r="I552" s="47"/>
      <c r="L552" s="181"/>
      <c r="M552" s="178"/>
      <c r="N552" s="23" t="s">
        <v>3</v>
      </c>
      <c r="O552" s="24">
        <v>2</v>
      </c>
      <c r="P552" s="24">
        <v>14</v>
      </c>
      <c r="Q552" s="23" t="s">
        <v>66</v>
      </c>
      <c r="R552" s="23"/>
      <c r="S552" s="47"/>
    </row>
    <row r="553" spans="2:19" x14ac:dyDescent="0.25">
      <c r="B553" s="181"/>
      <c r="C553" s="178"/>
      <c r="D553" s="23" t="s">
        <v>80</v>
      </c>
      <c r="E553" s="24">
        <v>3</v>
      </c>
      <c r="F553" s="24">
        <v>15</v>
      </c>
      <c r="G553" s="23" t="s">
        <v>66</v>
      </c>
      <c r="H553" s="23"/>
      <c r="I553" s="47"/>
      <c r="L553" s="181"/>
      <c r="M553" s="178"/>
      <c r="N553" s="23" t="s">
        <v>80</v>
      </c>
      <c r="O553" s="24">
        <v>3</v>
      </c>
      <c r="P553" s="24">
        <v>15</v>
      </c>
      <c r="Q553" s="23" t="s">
        <v>66</v>
      </c>
      <c r="R553" s="23"/>
      <c r="S553" s="47"/>
    </row>
    <row r="554" spans="2:19" x14ac:dyDescent="0.25">
      <c r="B554" s="181"/>
      <c r="C554" s="178"/>
      <c r="D554" s="23" t="s">
        <v>81</v>
      </c>
      <c r="E554" s="24">
        <v>4</v>
      </c>
      <c r="F554" s="24">
        <v>16</v>
      </c>
      <c r="G554" s="23" t="s">
        <v>66</v>
      </c>
      <c r="H554" s="23"/>
      <c r="I554" s="47"/>
      <c r="L554" s="181"/>
      <c r="M554" s="178"/>
      <c r="N554" s="23" t="s">
        <v>81</v>
      </c>
      <c r="O554" s="24">
        <v>4</v>
      </c>
      <c r="P554" s="24">
        <v>16</v>
      </c>
      <c r="Q554" s="23" t="s">
        <v>66</v>
      </c>
      <c r="R554" s="23"/>
      <c r="S554" s="47"/>
    </row>
    <row r="555" spans="2:19" x14ac:dyDescent="0.25">
      <c r="B555" s="181"/>
      <c r="C555" s="178"/>
      <c r="D555" s="23" t="s">
        <v>82</v>
      </c>
      <c r="E555" s="24">
        <v>5</v>
      </c>
      <c r="F555" s="24">
        <v>17</v>
      </c>
      <c r="G555" s="23" t="s">
        <v>66</v>
      </c>
      <c r="H555" s="23"/>
      <c r="I555" s="47"/>
      <c r="L555" s="181"/>
      <c r="M555" s="178"/>
      <c r="N555" s="23" t="s">
        <v>82</v>
      </c>
      <c r="O555" s="24">
        <v>5</v>
      </c>
      <c r="P555" s="24">
        <v>17</v>
      </c>
      <c r="Q555" s="23" t="s">
        <v>66</v>
      </c>
      <c r="R555" s="23"/>
      <c r="S555" s="47"/>
    </row>
    <row r="556" spans="2:19" ht="15.75" thickBot="1" x14ac:dyDescent="0.3">
      <c r="B556" s="181"/>
      <c r="C556" s="179"/>
      <c r="D556" s="23" t="s">
        <v>83</v>
      </c>
      <c r="E556" s="24">
        <v>6</v>
      </c>
      <c r="F556" s="24">
        <v>18</v>
      </c>
      <c r="G556" s="23" t="s">
        <v>66</v>
      </c>
      <c r="H556" s="23"/>
      <c r="I556" s="47"/>
      <c r="L556" s="181"/>
      <c r="M556" s="179"/>
      <c r="N556" s="23" t="s">
        <v>83</v>
      </c>
      <c r="O556" s="24">
        <v>6</v>
      </c>
      <c r="P556" s="24">
        <v>18</v>
      </c>
      <c r="Q556" s="23" t="s">
        <v>66</v>
      </c>
      <c r="R556" s="23"/>
      <c r="S556" s="47"/>
    </row>
    <row r="557" spans="2:19" x14ac:dyDescent="0.25">
      <c r="B557" s="181"/>
      <c r="C557" s="177" t="s">
        <v>84</v>
      </c>
      <c r="D557" s="23" t="s">
        <v>2</v>
      </c>
      <c r="E557" s="24">
        <v>1</v>
      </c>
      <c r="F557" s="24">
        <v>19</v>
      </c>
      <c r="G557" s="23" t="s">
        <v>66</v>
      </c>
      <c r="H557" s="23"/>
      <c r="I557" s="47"/>
      <c r="L557" s="181"/>
      <c r="M557" s="177" t="s">
        <v>84</v>
      </c>
      <c r="N557" s="23" t="s">
        <v>2</v>
      </c>
      <c r="O557" s="24">
        <v>1</v>
      </c>
      <c r="P557" s="24">
        <v>19</v>
      </c>
      <c r="Q557" s="23" t="s">
        <v>66</v>
      </c>
      <c r="R557" s="23"/>
      <c r="S557" s="47"/>
    </row>
    <row r="558" spans="2:19" x14ac:dyDescent="0.25">
      <c r="B558" s="181"/>
      <c r="C558" s="178"/>
      <c r="D558" s="23" t="s">
        <v>3</v>
      </c>
      <c r="E558" s="24">
        <v>2</v>
      </c>
      <c r="F558" s="24">
        <v>20</v>
      </c>
      <c r="G558" s="23" t="s">
        <v>66</v>
      </c>
      <c r="H558" s="23"/>
      <c r="I558" s="47"/>
      <c r="L558" s="181"/>
      <c r="M558" s="178"/>
      <c r="N558" s="23" t="s">
        <v>3</v>
      </c>
      <c r="O558" s="24">
        <v>2</v>
      </c>
      <c r="P558" s="24">
        <v>20</v>
      </c>
      <c r="Q558" s="23" t="s">
        <v>66</v>
      </c>
      <c r="R558" s="23"/>
      <c r="S558" s="47"/>
    </row>
    <row r="559" spans="2:19" x14ac:dyDescent="0.25">
      <c r="B559" s="181"/>
      <c r="C559" s="178"/>
      <c r="D559" s="23" t="s">
        <v>80</v>
      </c>
      <c r="E559" s="26">
        <v>3</v>
      </c>
      <c r="F559" s="24">
        <v>21</v>
      </c>
      <c r="G559" s="23" t="s">
        <v>66</v>
      </c>
      <c r="H559" s="23"/>
      <c r="I559" s="47"/>
      <c r="L559" s="181"/>
      <c r="M559" s="178"/>
      <c r="N559" s="23" t="s">
        <v>80</v>
      </c>
      <c r="O559" s="26">
        <v>3</v>
      </c>
      <c r="P559" s="24">
        <v>21</v>
      </c>
      <c r="Q559" s="23" t="s">
        <v>66</v>
      </c>
      <c r="R559" s="23"/>
      <c r="S559" s="47"/>
    </row>
    <row r="560" spans="2:19" x14ac:dyDescent="0.25">
      <c r="B560" s="181"/>
      <c r="C560" s="178"/>
      <c r="D560" s="23" t="s">
        <v>81</v>
      </c>
      <c r="E560" s="24">
        <v>4</v>
      </c>
      <c r="F560" s="24">
        <v>22</v>
      </c>
      <c r="G560" s="23" t="s">
        <v>66</v>
      </c>
      <c r="H560" s="23"/>
      <c r="I560" s="47"/>
      <c r="L560" s="181"/>
      <c r="M560" s="178"/>
      <c r="N560" s="23" t="s">
        <v>81</v>
      </c>
      <c r="O560" s="24">
        <v>4</v>
      </c>
      <c r="P560" s="24">
        <v>22</v>
      </c>
      <c r="Q560" s="23" t="s">
        <v>66</v>
      </c>
      <c r="R560" s="23"/>
      <c r="S560" s="47"/>
    </row>
    <row r="561" spans="2:19" x14ac:dyDescent="0.25">
      <c r="B561" s="181"/>
      <c r="C561" s="178"/>
      <c r="D561" s="23" t="s">
        <v>82</v>
      </c>
      <c r="E561" s="24">
        <v>5</v>
      </c>
      <c r="F561" s="24">
        <v>23</v>
      </c>
      <c r="G561" s="23" t="s">
        <v>66</v>
      </c>
      <c r="H561" s="23"/>
      <c r="I561" s="47"/>
      <c r="L561" s="181"/>
      <c r="M561" s="178"/>
      <c r="N561" s="23" t="s">
        <v>82</v>
      </c>
      <c r="O561" s="24">
        <v>5</v>
      </c>
      <c r="P561" s="24">
        <v>23</v>
      </c>
      <c r="Q561" s="23" t="s">
        <v>66</v>
      </c>
      <c r="R561" s="23"/>
      <c r="S561" s="47"/>
    </row>
    <row r="562" spans="2:19" ht="15.75" thickBot="1" x14ac:dyDescent="0.3">
      <c r="B562" s="182"/>
      <c r="C562" s="179"/>
      <c r="D562" s="23" t="s">
        <v>83</v>
      </c>
      <c r="E562" s="24">
        <v>6</v>
      </c>
      <c r="F562" s="24">
        <v>24</v>
      </c>
      <c r="G562" s="23" t="s">
        <v>66</v>
      </c>
      <c r="H562" s="23"/>
      <c r="I562" s="47"/>
      <c r="L562" s="182"/>
      <c r="M562" s="179"/>
      <c r="N562" s="23" t="s">
        <v>83</v>
      </c>
      <c r="O562" s="24">
        <v>6</v>
      </c>
      <c r="P562" s="24">
        <v>24</v>
      </c>
      <c r="Q562" s="23" t="s">
        <v>66</v>
      </c>
      <c r="R562" s="23"/>
      <c r="S562" s="47"/>
    </row>
    <row r="563" spans="2:19" x14ac:dyDescent="0.25">
      <c r="B563" s="189" t="s">
        <v>80</v>
      </c>
      <c r="C563" s="192" t="s">
        <v>77</v>
      </c>
      <c r="D563" s="27" t="s">
        <v>2</v>
      </c>
      <c r="E563" s="28">
        <v>1</v>
      </c>
      <c r="F563" s="28">
        <v>25</v>
      </c>
      <c r="G563" s="27" t="s">
        <v>66</v>
      </c>
      <c r="H563" s="27"/>
      <c r="I563" s="48"/>
      <c r="L563" s="189" t="s">
        <v>80</v>
      </c>
      <c r="M563" s="192" t="s">
        <v>77</v>
      </c>
      <c r="N563" s="27" t="s">
        <v>2</v>
      </c>
      <c r="O563" s="28">
        <v>1</v>
      </c>
      <c r="P563" s="28">
        <v>25</v>
      </c>
      <c r="Q563" s="27" t="s">
        <v>66</v>
      </c>
      <c r="R563" s="27"/>
      <c r="S563" s="48"/>
    </row>
    <row r="564" spans="2:19" x14ac:dyDescent="0.25">
      <c r="B564" s="190"/>
      <c r="C564" s="193"/>
      <c r="D564" s="27" t="s">
        <v>3</v>
      </c>
      <c r="E564" s="28">
        <v>2</v>
      </c>
      <c r="F564" s="28">
        <v>26</v>
      </c>
      <c r="G564" s="27" t="s">
        <v>66</v>
      </c>
      <c r="H564" s="27"/>
      <c r="I564" s="48"/>
      <c r="L564" s="190"/>
      <c r="M564" s="193"/>
      <c r="N564" s="27" t="s">
        <v>3</v>
      </c>
      <c r="O564" s="28">
        <v>2</v>
      </c>
      <c r="P564" s="28">
        <v>26</v>
      </c>
      <c r="Q564" s="27" t="s">
        <v>66</v>
      </c>
      <c r="R564" s="27"/>
      <c r="S564" s="48"/>
    </row>
    <row r="565" spans="2:19" x14ac:dyDescent="0.25">
      <c r="B565" s="190"/>
      <c r="C565" s="193"/>
      <c r="D565" s="27" t="s">
        <v>80</v>
      </c>
      <c r="E565" s="28">
        <v>3</v>
      </c>
      <c r="F565" s="28">
        <v>27</v>
      </c>
      <c r="G565" s="27" t="s">
        <v>66</v>
      </c>
      <c r="H565" s="27"/>
      <c r="I565" s="48"/>
      <c r="L565" s="190"/>
      <c r="M565" s="193"/>
      <c r="N565" s="27" t="s">
        <v>80</v>
      </c>
      <c r="O565" s="28">
        <v>3</v>
      </c>
      <c r="P565" s="28">
        <v>27</v>
      </c>
      <c r="Q565" s="27" t="s">
        <v>66</v>
      </c>
      <c r="R565" s="27"/>
      <c r="S565" s="48"/>
    </row>
    <row r="566" spans="2:19" x14ac:dyDescent="0.25">
      <c r="B566" s="190"/>
      <c r="C566" s="193"/>
      <c r="D566" s="27" t="s">
        <v>81</v>
      </c>
      <c r="E566" s="28">
        <v>4</v>
      </c>
      <c r="F566" s="28">
        <v>28</v>
      </c>
      <c r="G566" s="27" t="s">
        <v>66</v>
      </c>
      <c r="H566" s="27"/>
      <c r="I566" s="48"/>
      <c r="L566" s="190"/>
      <c r="M566" s="193"/>
      <c r="N566" s="27" t="s">
        <v>81</v>
      </c>
      <c r="O566" s="28">
        <v>4</v>
      </c>
      <c r="P566" s="28">
        <v>28</v>
      </c>
      <c r="Q566" s="27" t="s">
        <v>66</v>
      </c>
      <c r="R566" s="27"/>
      <c r="S566" s="48"/>
    </row>
    <row r="567" spans="2:19" x14ac:dyDescent="0.25">
      <c r="B567" s="190"/>
      <c r="C567" s="193"/>
      <c r="D567" s="27" t="s">
        <v>82</v>
      </c>
      <c r="E567" s="28">
        <v>5</v>
      </c>
      <c r="F567" s="28">
        <v>29</v>
      </c>
      <c r="G567" s="27" t="s">
        <v>66</v>
      </c>
      <c r="H567" s="27"/>
      <c r="I567" s="48"/>
      <c r="L567" s="190"/>
      <c r="M567" s="193"/>
      <c r="N567" s="27" t="s">
        <v>82</v>
      </c>
      <c r="O567" s="28">
        <v>5</v>
      </c>
      <c r="P567" s="28">
        <v>29</v>
      </c>
      <c r="Q567" s="27" t="s">
        <v>66</v>
      </c>
      <c r="R567" s="27"/>
      <c r="S567" s="48"/>
    </row>
    <row r="568" spans="2:19" ht="15.75" thickBot="1" x14ac:dyDescent="0.3">
      <c r="B568" s="190"/>
      <c r="C568" s="194"/>
      <c r="D568" s="27" t="s">
        <v>83</v>
      </c>
      <c r="E568" s="28">
        <v>6</v>
      </c>
      <c r="F568" s="28">
        <v>30</v>
      </c>
      <c r="G568" s="27" t="s">
        <v>66</v>
      </c>
      <c r="H568" s="27"/>
      <c r="I568" s="48"/>
      <c r="L568" s="190"/>
      <c r="M568" s="194"/>
      <c r="N568" s="27" t="s">
        <v>83</v>
      </c>
      <c r="O568" s="28">
        <v>6</v>
      </c>
      <c r="P568" s="28">
        <v>30</v>
      </c>
      <c r="Q568" s="27" t="s">
        <v>66</v>
      </c>
      <c r="R568" s="27"/>
      <c r="S568" s="48"/>
    </row>
    <row r="569" spans="2:19" x14ac:dyDescent="0.25">
      <c r="B569" s="190"/>
      <c r="C569" s="192" t="s">
        <v>84</v>
      </c>
      <c r="D569" s="27" t="s">
        <v>2</v>
      </c>
      <c r="E569" s="28">
        <v>1</v>
      </c>
      <c r="F569" s="28">
        <v>31</v>
      </c>
      <c r="G569" s="27" t="s">
        <v>66</v>
      </c>
      <c r="H569" s="27"/>
      <c r="I569" s="48"/>
      <c r="L569" s="190"/>
      <c r="M569" s="192" t="s">
        <v>84</v>
      </c>
      <c r="N569" s="27" t="s">
        <v>2</v>
      </c>
      <c r="O569" s="28">
        <v>1</v>
      </c>
      <c r="P569" s="28">
        <v>31</v>
      </c>
      <c r="Q569" s="27" t="s">
        <v>66</v>
      </c>
      <c r="R569" s="27"/>
      <c r="S569" s="48"/>
    </row>
    <row r="570" spans="2:19" x14ac:dyDescent="0.25">
      <c r="B570" s="190"/>
      <c r="C570" s="193"/>
      <c r="D570" s="27" t="s">
        <v>3</v>
      </c>
      <c r="E570" s="28">
        <v>2</v>
      </c>
      <c r="F570" s="28">
        <v>32</v>
      </c>
      <c r="G570" s="27" t="s">
        <v>66</v>
      </c>
      <c r="H570" s="27"/>
      <c r="I570" s="48"/>
      <c r="L570" s="190"/>
      <c r="M570" s="193"/>
      <c r="N570" s="27" t="s">
        <v>3</v>
      </c>
      <c r="O570" s="28">
        <v>2</v>
      </c>
      <c r="P570" s="28">
        <v>32</v>
      </c>
      <c r="Q570" s="27" t="s">
        <v>66</v>
      </c>
      <c r="R570" s="27"/>
      <c r="S570" s="48"/>
    </row>
    <row r="571" spans="2:19" x14ac:dyDescent="0.25">
      <c r="B571" s="190"/>
      <c r="C571" s="193"/>
      <c r="D571" s="27" t="s">
        <v>80</v>
      </c>
      <c r="E571" s="28">
        <v>3</v>
      </c>
      <c r="F571" s="28">
        <v>33</v>
      </c>
      <c r="G571" s="27" t="s">
        <v>66</v>
      </c>
      <c r="H571" s="27"/>
      <c r="I571" s="48"/>
      <c r="L571" s="190"/>
      <c r="M571" s="193"/>
      <c r="N571" s="27" t="s">
        <v>80</v>
      </c>
      <c r="O571" s="28">
        <v>3</v>
      </c>
      <c r="P571" s="28">
        <v>33</v>
      </c>
      <c r="Q571" s="27" t="s">
        <v>66</v>
      </c>
      <c r="R571" s="27"/>
      <c r="S571" s="48"/>
    </row>
    <row r="572" spans="2:19" x14ac:dyDescent="0.25">
      <c r="B572" s="190"/>
      <c r="C572" s="193"/>
      <c r="D572" s="27" t="s">
        <v>81</v>
      </c>
      <c r="E572" s="28">
        <v>4</v>
      </c>
      <c r="F572" s="28">
        <v>34</v>
      </c>
      <c r="G572" s="27" t="s">
        <v>66</v>
      </c>
      <c r="H572" s="27"/>
      <c r="I572" s="48"/>
      <c r="L572" s="190"/>
      <c r="M572" s="193"/>
      <c r="N572" s="27" t="s">
        <v>81</v>
      </c>
      <c r="O572" s="28">
        <v>4</v>
      </c>
      <c r="P572" s="28">
        <v>34</v>
      </c>
      <c r="Q572" s="27" t="s">
        <v>66</v>
      </c>
      <c r="R572" s="27"/>
      <c r="S572" s="48"/>
    </row>
    <row r="573" spans="2:19" x14ac:dyDescent="0.25">
      <c r="B573" s="190"/>
      <c r="C573" s="193"/>
      <c r="D573" s="27" t="s">
        <v>82</v>
      </c>
      <c r="E573" s="28">
        <v>5</v>
      </c>
      <c r="F573" s="28">
        <v>35</v>
      </c>
      <c r="G573" s="27" t="s">
        <v>66</v>
      </c>
      <c r="H573" s="27"/>
      <c r="I573" s="48"/>
      <c r="L573" s="190"/>
      <c r="M573" s="193"/>
      <c r="N573" s="27" t="s">
        <v>82</v>
      </c>
      <c r="O573" s="28">
        <v>5</v>
      </c>
      <c r="P573" s="28">
        <v>35</v>
      </c>
      <c r="Q573" s="27" t="s">
        <v>66</v>
      </c>
      <c r="R573" s="27"/>
      <c r="S573" s="48"/>
    </row>
    <row r="574" spans="2:19" ht="15.75" thickBot="1" x14ac:dyDescent="0.3">
      <c r="B574" s="191"/>
      <c r="C574" s="194"/>
      <c r="D574" s="27" t="s">
        <v>83</v>
      </c>
      <c r="E574" s="28">
        <v>6</v>
      </c>
      <c r="F574" s="28">
        <v>36</v>
      </c>
      <c r="G574" s="27" t="s">
        <v>66</v>
      </c>
      <c r="H574" s="27"/>
      <c r="I574" s="48"/>
      <c r="L574" s="191"/>
      <c r="M574" s="194"/>
      <c r="N574" s="27" t="s">
        <v>83</v>
      </c>
      <c r="O574" s="28">
        <v>6</v>
      </c>
      <c r="P574" s="28">
        <v>36</v>
      </c>
      <c r="Q574" s="27" t="s">
        <v>66</v>
      </c>
      <c r="R574" s="27"/>
      <c r="S574" s="48"/>
    </row>
    <row r="575" spans="2:19" x14ac:dyDescent="0.25">
      <c r="B575" s="183" t="s">
        <v>81</v>
      </c>
      <c r="C575" s="186" t="s">
        <v>77</v>
      </c>
      <c r="D575" s="29" t="s">
        <v>2</v>
      </c>
      <c r="E575" s="30">
        <v>1</v>
      </c>
      <c r="F575" s="30">
        <v>37</v>
      </c>
      <c r="G575" s="29" t="s">
        <v>66</v>
      </c>
      <c r="H575" s="29"/>
      <c r="I575" s="49"/>
      <c r="L575" s="183" t="s">
        <v>81</v>
      </c>
      <c r="M575" s="186" t="s">
        <v>77</v>
      </c>
      <c r="N575" s="29" t="s">
        <v>2</v>
      </c>
      <c r="O575" s="30">
        <v>1</v>
      </c>
      <c r="P575" s="30">
        <v>37</v>
      </c>
      <c r="Q575" s="29" t="s">
        <v>66</v>
      </c>
      <c r="R575" s="29"/>
      <c r="S575" s="49"/>
    </row>
    <row r="576" spans="2:19" x14ac:dyDescent="0.25">
      <c r="B576" s="184"/>
      <c r="C576" s="187"/>
      <c r="D576" s="29" t="s">
        <v>3</v>
      </c>
      <c r="E576" s="30">
        <v>2</v>
      </c>
      <c r="F576" s="30">
        <v>38</v>
      </c>
      <c r="G576" s="29" t="s">
        <v>66</v>
      </c>
      <c r="H576" s="29"/>
      <c r="I576" s="49"/>
      <c r="L576" s="184"/>
      <c r="M576" s="187"/>
      <c r="N576" s="29" t="s">
        <v>3</v>
      </c>
      <c r="O576" s="30">
        <v>2</v>
      </c>
      <c r="P576" s="30">
        <v>38</v>
      </c>
      <c r="Q576" s="29" t="s">
        <v>66</v>
      </c>
      <c r="R576" s="29"/>
      <c r="S576" s="49"/>
    </row>
    <row r="577" spans="2:19" x14ac:dyDescent="0.25">
      <c r="B577" s="184"/>
      <c r="C577" s="187"/>
      <c r="D577" s="29" t="s">
        <v>80</v>
      </c>
      <c r="E577" s="30">
        <v>3</v>
      </c>
      <c r="F577" s="30">
        <v>39</v>
      </c>
      <c r="G577" s="29" t="s">
        <v>66</v>
      </c>
      <c r="H577" s="29"/>
      <c r="I577" s="49"/>
      <c r="L577" s="184"/>
      <c r="M577" s="187"/>
      <c r="N577" s="29" t="s">
        <v>80</v>
      </c>
      <c r="O577" s="30">
        <v>3</v>
      </c>
      <c r="P577" s="30">
        <v>39</v>
      </c>
      <c r="Q577" s="29" t="s">
        <v>66</v>
      </c>
      <c r="R577" s="29"/>
      <c r="S577" s="49"/>
    </row>
    <row r="578" spans="2:19" x14ac:dyDescent="0.25">
      <c r="B578" s="184"/>
      <c r="C578" s="187"/>
      <c r="D578" s="29" t="s">
        <v>81</v>
      </c>
      <c r="E578" s="30">
        <v>4</v>
      </c>
      <c r="F578" s="30">
        <v>40</v>
      </c>
      <c r="G578" s="29" t="s">
        <v>66</v>
      </c>
      <c r="H578" s="29"/>
      <c r="I578" s="49"/>
      <c r="L578" s="184"/>
      <c r="M578" s="187"/>
      <c r="N578" s="29" t="s">
        <v>81</v>
      </c>
      <c r="O578" s="30">
        <v>4</v>
      </c>
      <c r="P578" s="30">
        <v>40</v>
      </c>
      <c r="Q578" s="29" t="s">
        <v>66</v>
      </c>
      <c r="R578" s="29"/>
      <c r="S578" s="49"/>
    </row>
    <row r="579" spans="2:19" x14ac:dyDescent="0.25">
      <c r="B579" s="184"/>
      <c r="C579" s="187"/>
      <c r="D579" s="29" t="s">
        <v>82</v>
      </c>
      <c r="E579" s="30">
        <v>5</v>
      </c>
      <c r="F579" s="30">
        <v>41</v>
      </c>
      <c r="G579" s="29" t="s">
        <v>66</v>
      </c>
      <c r="H579" s="29"/>
      <c r="I579" s="49"/>
      <c r="L579" s="184"/>
      <c r="M579" s="187"/>
      <c r="N579" s="29" t="s">
        <v>82</v>
      </c>
      <c r="O579" s="30">
        <v>5</v>
      </c>
      <c r="P579" s="30">
        <v>41</v>
      </c>
      <c r="Q579" s="29" t="s">
        <v>66</v>
      </c>
      <c r="R579" s="29"/>
      <c r="S579" s="49"/>
    </row>
    <row r="580" spans="2:19" ht="15.75" thickBot="1" x14ac:dyDescent="0.3">
      <c r="B580" s="184"/>
      <c r="C580" s="188"/>
      <c r="D580" s="29" t="s">
        <v>83</v>
      </c>
      <c r="E580" s="30">
        <v>6</v>
      </c>
      <c r="F580" s="30">
        <v>42</v>
      </c>
      <c r="G580" s="29" t="s">
        <v>66</v>
      </c>
      <c r="H580" s="29"/>
      <c r="I580" s="49"/>
      <c r="L580" s="184"/>
      <c r="M580" s="188"/>
      <c r="N580" s="29" t="s">
        <v>83</v>
      </c>
      <c r="O580" s="30">
        <v>6</v>
      </c>
      <c r="P580" s="30">
        <v>42</v>
      </c>
      <c r="Q580" s="29" t="s">
        <v>66</v>
      </c>
      <c r="R580" s="29"/>
      <c r="S580" s="49"/>
    </row>
    <row r="581" spans="2:19" x14ac:dyDescent="0.25">
      <c r="B581" s="184"/>
      <c r="C581" s="186" t="s">
        <v>84</v>
      </c>
      <c r="D581" s="29" t="s">
        <v>2</v>
      </c>
      <c r="E581" s="30">
        <v>1</v>
      </c>
      <c r="F581" s="30">
        <v>43</v>
      </c>
      <c r="G581" s="29" t="s">
        <v>66</v>
      </c>
      <c r="H581" s="29"/>
      <c r="I581" s="49"/>
      <c r="L581" s="184"/>
      <c r="M581" s="186" t="s">
        <v>84</v>
      </c>
      <c r="N581" s="29" t="s">
        <v>2</v>
      </c>
      <c r="O581" s="30">
        <v>1</v>
      </c>
      <c r="P581" s="30">
        <v>43</v>
      </c>
      <c r="Q581" s="29" t="s">
        <v>66</v>
      </c>
      <c r="R581" s="29"/>
      <c r="S581" s="49"/>
    </row>
    <row r="582" spans="2:19" x14ac:dyDescent="0.25">
      <c r="B582" s="184"/>
      <c r="C582" s="187"/>
      <c r="D582" s="29" t="s">
        <v>3</v>
      </c>
      <c r="E582" s="30">
        <v>2</v>
      </c>
      <c r="F582" s="30">
        <v>44</v>
      </c>
      <c r="G582" s="29" t="s">
        <v>66</v>
      </c>
      <c r="H582" s="29"/>
      <c r="I582" s="49"/>
      <c r="L582" s="184"/>
      <c r="M582" s="187"/>
      <c r="N582" s="29" t="s">
        <v>3</v>
      </c>
      <c r="O582" s="30">
        <v>2</v>
      </c>
      <c r="P582" s="30">
        <v>44</v>
      </c>
      <c r="Q582" s="29" t="s">
        <v>66</v>
      </c>
      <c r="R582" s="29"/>
      <c r="S582" s="49"/>
    </row>
    <row r="583" spans="2:19" x14ac:dyDescent="0.25">
      <c r="B583" s="184"/>
      <c r="C583" s="187"/>
      <c r="D583" s="29" t="s">
        <v>80</v>
      </c>
      <c r="E583" s="30">
        <v>3</v>
      </c>
      <c r="F583" s="30">
        <v>45</v>
      </c>
      <c r="G583" s="29" t="s">
        <v>66</v>
      </c>
      <c r="H583" s="29"/>
      <c r="I583" s="49"/>
      <c r="L583" s="184"/>
      <c r="M583" s="187"/>
      <c r="N583" s="29" t="s">
        <v>80</v>
      </c>
      <c r="O583" s="30">
        <v>3</v>
      </c>
      <c r="P583" s="30">
        <v>45</v>
      </c>
      <c r="Q583" s="29" t="s">
        <v>66</v>
      </c>
      <c r="R583" s="29"/>
      <c r="S583" s="49"/>
    </row>
    <row r="584" spans="2:19" x14ac:dyDescent="0.25">
      <c r="B584" s="184"/>
      <c r="C584" s="187"/>
      <c r="D584" s="29" t="s">
        <v>81</v>
      </c>
      <c r="E584" s="30">
        <v>4</v>
      </c>
      <c r="F584" s="30">
        <v>46</v>
      </c>
      <c r="G584" s="29" t="s">
        <v>66</v>
      </c>
      <c r="H584" s="29"/>
      <c r="I584" s="49"/>
      <c r="L584" s="184"/>
      <c r="M584" s="187"/>
      <c r="N584" s="29" t="s">
        <v>81</v>
      </c>
      <c r="O584" s="30">
        <v>4</v>
      </c>
      <c r="P584" s="30">
        <v>46</v>
      </c>
      <c r="Q584" s="29" t="s">
        <v>66</v>
      </c>
      <c r="R584" s="29"/>
      <c r="S584" s="49"/>
    </row>
    <row r="585" spans="2:19" x14ac:dyDescent="0.25">
      <c r="B585" s="184"/>
      <c r="C585" s="187"/>
      <c r="D585" s="29" t="s">
        <v>82</v>
      </c>
      <c r="E585" s="30">
        <v>5</v>
      </c>
      <c r="F585" s="30">
        <v>47</v>
      </c>
      <c r="G585" s="29" t="s">
        <v>66</v>
      </c>
      <c r="H585" s="29"/>
      <c r="I585" s="49"/>
      <c r="L585" s="184"/>
      <c r="M585" s="187"/>
      <c r="N585" s="29" t="s">
        <v>82</v>
      </c>
      <c r="O585" s="30">
        <v>5</v>
      </c>
      <c r="P585" s="30">
        <v>47</v>
      </c>
      <c r="Q585" s="29" t="s">
        <v>66</v>
      </c>
      <c r="R585" s="29"/>
      <c r="S585" s="49"/>
    </row>
    <row r="586" spans="2:19" ht="15.75" thickBot="1" x14ac:dyDescent="0.3">
      <c r="B586" s="185"/>
      <c r="C586" s="188"/>
      <c r="D586" s="29" t="s">
        <v>83</v>
      </c>
      <c r="E586" s="30">
        <v>6</v>
      </c>
      <c r="F586" s="30">
        <v>48</v>
      </c>
      <c r="G586" s="29" t="s">
        <v>66</v>
      </c>
      <c r="H586" s="29"/>
      <c r="I586" s="49"/>
      <c r="L586" s="185"/>
      <c r="M586" s="188"/>
      <c r="N586" s="29" t="s">
        <v>83</v>
      </c>
      <c r="O586" s="30">
        <v>6</v>
      </c>
      <c r="P586" s="30">
        <v>48</v>
      </c>
      <c r="Q586" s="29" t="s">
        <v>66</v>
      </c>
      <c r="R586" s="29"/>
      <c r="S586" s="49"/>
    </row>
    <row r="587" spans="2:19" ht="15.75" thickBot="1" x14ac:dyDescent="0.3"/>
    <row r="588" spans="2:19" ht="15.75" thickBot="1" x14ac:dyDescent="0.3">
      <c r="B588" s="171" t="s">
        <v>274</v>
      </c>
      <c r="C588" s="172"/>
      <c r="D588" s="172"/>
      <c r="E588" s="172"/>
      <c r="F588" s="172"/>
      <c r="G588" s="172"/>
      <c r="H588" s="172"/>
      <c r="I588" s="173"/>
      <c r="L588" s="171" t="s">
        <v>275</v>
      </c>
      <c r="M588" s="172"/>
      <c r="N588" s="172"/>
      <c r="O588" s="172"/>
      <c r="P588" s="172"/>
      <c r="Q588" s="172"/>
      <c r="R588" s="172"/>
      <c r="S588" s="173"/>
    </row>
    <row r="590" spans="2:19" ht="26.25" thickBot="1" x14ac:dyDescent="0.3">
      <c r="B590" s="15" t="s">
        <v>70</v>
      </c>
      <c r="C590" s="16" t="s">
        <v>71</v>
      </c>
      <c r="D590" s="15" t="s">
        <v>72</v>
      </c>
      <c r="E590" s="17" t="s">
        <v>73</v>
      </c>
      <c r="F590" s="17" t="s">
        <v>74</v>
      </c>
      <c r="G590" s="15" t="s">
        <v>75</v>
      </c>
      <c r="H590" s="15" t="s">
        <v>55</v>
      </c>
      <c r="I590" s="15" t="s">
        <v>76</v>
      </c>
      <c r="L590" s="15" t="s">
        <v>70</v>
      </c>
      <c r="M590" s="16" t="s">
        <v>71</v>
      </c>
      <c r="N590" s="15" t="s">
        <v>72</v>
      </c>
      <c r="O590" s="17" t="s">
        <v>73</v>
      </c>
      <c r="P590" s="17" t="s">
        <v>74</v>
      </c>
      <c r="Q590" s="15" t="s">
        <v>75</v>
      </c>
      <c r="R590" s="15" t="s">
        <v>55</v>
      </c>
      <c r="S590" s="15" t="s">
        <v>76</v>
      </c>
    </row>
    <row r="591" spans="2:19" x14ac:dyDescent="0.25">
      <c r="B591" s="174" t="s">
        <v>2</v>
      </c>
      <c r="C591" s="168" t="s">
        <v>77</v>
      </c>
      <c r="D591" s="18" t="s">
        <v>2</v>
      </c>
      <c r="E591" s="19">
        <v>1</v>
      </c>
      <c r="F591" s="19">
        <v>1</v>
      </c>
      <c r="G591" s="18" t="s">
        <v>66</v>
      </c>
      <c r="H591" s="32"/>
      <c r="I591" s="50"/>
      <c r="L591" s="174" t="s">
        <v>2</v>
      </c>
      <c r="M591" s="168" t="s">
        <v>77</v>
      </c>
      <c r="N591" s="18" t="s">
        <v>2</v>
      </c>
      <c r="O591" s="19">
        <v>1</v>
      </c>
      <c r="P591" s="19">
        <v>1</v>
      </c>
      <c r="Q591" s="18" t="s">
        <v>66</v>
      </c>
      <c r="R591" s="32"/>
      <c r="S591" s="50"/>
    </row>
    <row r="592" spans="2:19" x14ac:dyDescent="0.25">
      <c r="B592" s="175"/>
      <c r="C592" s="169"/>
      <c r="D592" s="18" t="s">
        <v>3</v>
      </c>
      <c r="E592" s="19">
        <v>2</v>
      </c>
      <c r="F592" s="19">
        <v>2</v>
      </c>
      <c r="G592" s="18" t="s">
        <v>66</v>
      </c>
      <c r="H592" s="32"/>
      <c r="I592" s="50"/>
      <c r="L592" s="175"/>
      <c r="M592" s="169"/>
      <c r="N592" s="18" t="s">
        <v>3</v>
      </c>
      <c r="O592" s="19">
        <v>2</v>
      </c>
      <c r="P592" s="19">
        <v>2</v>
      </c>
      <c r="Q592" s="18" t="s">
        <v>66</v>
      </c>
      <c r="R592" s="32"/>
      <c r="S592" s="50"/>
    </row>
    <row r="593" spans="2:19" x14ac:dyDescent="0.25">
      <c r="B593" s="175"/>
      <c r="C593" s="169"/>
      <c r="D593" s="18" t="s">
        <v>80</v>
      </c>
      <c r="E593" s="20">
        <v>3</v>
      </c>
      <c r="F593" s="20">
        <v>3</v>
      </c>
      <c r="G593" s="18" t="s">
        <v>66</v>
      </c>
      <c r="H593" s="32"/>
      <c r="I593" s="50"/>
      <c r="L593" s="175"/>
      <c r="M593" s="169"/>
      <c r="N593" s="18" t="s">
        <v>80</v>
      </c>
      <c r="O593" s="20">
        <v>3</v>
      </c>
      <c r="P593" s="20">
        <v>3</v>
      </c>
      <c r="Q593" s="18" t="s">
        <v>66</v>
      </c>
      <c r="R593" s="32"/>
      <c r="S593" s="50"/>
    </row>
    <row r="594" spans="2:19" x14ac:dyDescent="0.25">
      <c r="B594" s="175"/>
      <c r="C594" s="169"/>
      <c r="D594" s="18" t="s">
        <v>81</v>
      </c>
      <c r="E594" s="20">
        <v>4</v>
      </c>
      <c r="F594" s="20">
        <v>4</v>
      </c>
      <c r="G594" s="18" t="s">
        <v>66</v>
      </c>
      <c r="H594" s="32"/>
      <c r="I594" s="50"/>
      <c r="L594" s="175"/>
      <c r="M594" s="169"/>
      <c r="N594" s="18" t="s">
        <v>81</v>
      </c>
      <c r="O594" s="20">
        <v>4</v>
      </c>
      <c r="P594" s="20">
        <v>4</v>
      </c>
      <c r="Q594" s="18" t="s">
        <v>66</v>
      </c>
      <c r="R594" s="32"/>
      <c r="S594" s="50"/>
    </row>
    <row r="595" spans="2:19" x14ac:dyDescent="0.25">
      <c r="B595" s="175"/>
      <c r="C595" s="169"/>
      <c r="D595" s="18" t="s">
        <v>82</v>
      </c>
      <c r="E595" s="20">
        <v>5</v>
      </c>
      <c r="F595" s="20">
        <v>5</v>
      </c>
      <c r="G595" s="18" t="s">
        <v>66</v>
      </c>
      <c r="H595" s="32"/>
      <c r="I595" s="50"/>
      <c r="L595" s="175"/>
      <c r="M595" s="169"/>
      <c r="N595" s="18" t="s">
        <v>82</v>
      </c>
      <c r="O595" s="20">
        <v>5</v>
      </c>
      <c r="P595" s="20">
        <v>5</v>
      </c>
      <c r="Q595" s="18" t="s">
        <v>66</v>
      </c>
      <c r="R595" s="32"/>
      <c r="S595" s="50"/>
    </row>
    <row r="596" spans="2:19" ht="15.75" thickBot="1" x14ac:dyDescent="0.3">
      <c r="B596" s="175"/>
      <c r="C596" s="170"/>
      <c r="D596" s="18" t="s">
        <v>83</v>
      </c>
      <c r="E596" s="20">
        <v>6</v>
      </c>
      <c r="F596" s="20">
        <v>6</v>
      </c>
      <c r="G596" s="18" t="s">
        <v>66</v>
      </c>
      <c r="H596" s="32"/>
      <c r="I596" s="50"/>
      <c r="L596" s="175"/>
      <c r="M596" s="170"/>
      <c r="N596" s="18" t="s">
        <v>83</v>
      </c>
      <c r="O596" s="20">
        <v>6</v>
      </c>
      <c r="P596" s="20">
        <v>6</v>
      </c>
      <c r="Q596" s="18" t="s">
        <v>66</v>
      </c>
      <c r="R596" s="32"/>
      <c r="S596" s="50"/>
    </row>
    <row r="597" spans="2:19" x14ac:dyDescent="0.25">
      <c r="B597" s="175"/>
      <c r="C597" s="168" t="s">
        <v>84</v>
      </c>
      <c r="D597" s="18" t="s">
        <v>2</v>
      </c>
      <c r="E597" s="19">
        <v>1</v>
      </c>
      <c r="F597" s="19">
        <v>7</v>
      </c>
      <c r="G597" s="18" t="s">
        <v>78</v>
      </c>
      <c r="H597" s="156" t="s">
        <v>85</v>
      </c>
      <c r="I597" s="165" t="s">
        <v>166</v>
      </c>
      <c r="L597" s="175"/>
      <c r="M597" s="168" t="s">
        <v>84</v>
      </c>
      <c r="N597" s="18" t="s">
        <v>2</v>
      </c>
      <c r="O597" s="19">
        <v>1</v>
      </c>
      <c r="P597" s="19">
        <v>7</v>
      </c>
      <c r="Q597" s="18" t="s">
        <v>78</v>
      </c>
      <c r="R597" s="156" t="s">
        <v>85</v>
      </c>
      <c r="S597" s="165" t="s">
        <v>168</v>
      </c>
    </row>
    <row r="598" spans="2:19" x14ac:dyDescent="0.25">
      <c r="B598" s="175"/>
      <c r="C598" s="169"/>
      <c r="D598" s="18" t="s">
        <v>3</v>
      </c>
      <c r="E598" s="19">
        <v>2</v>
      </c>
      <c r="F598" s="19">
        <v>8</v>
      </c>
      <c r="G598" s="18" t="s">
        <v>78</v>
      </c>
      <c r="H598" s="157"/>
      <c r="I598" s="166"/>
      <c r="L598" s="175"/>
      <c r="M598" s="169"/>
      <c r="N598" s="18" t="s">
        <v>3</v>
      </c>
      <c r="O598" s="19">
        <v>2</v>
      </c>
      <c r="P598" s="19">
        <v>8</v>
      </c>
      <c r="Q598" s="18" t="s">
        <v>78</v>
      </c>
      <c r="R598" s="157"/>
      <c r="S598" s="166"/>
    </row>
    <row r="599" spans="2:19" x14ac:dyDescent="0.25">
      <c r="B599" s="175"/>
      <c r="C599" s="169"/>
      <c r="D599" s="18" t="s">
        <v>80</v>
      </c>
      <c r="E599" s="20">
        <v>3</v>
      </c>
      <c r="F599" s="20">
        <v>9</v>
      </c>
      <c r="G599" s="18" t="s">
        <v>66</v>
      </c>
      <c r="H599" s="157"/>
      <c r="I599" s="166"/>
      <c r="L599" s="175"/>
      <c r="M599" s="169"/>
      <c r="N599" s="18" t="s">
        <v>80</v>
      </c>
      <c r="O599" s="20">
        <v>3</v>
      </c>
      <c r="P599" s="20">
        <v>9</v>
      </c>
      <c r="Q599" s="18" t="s">
        <v>66</v>
      </c>
      <c r="R599" s="157"/>
      <c r="S599" s="166"/>
    </row>
    <row r="600" spans="2:19" x14ac:dyDescent="0.25">
      <c r="B600" s="175"/>
      <c r="C600" s="169"/>
      <c r="D600" s="18" t="s">
        <v>81</v>
      </c>
      <c r="E600" s="20">
        <v>4</v>
      </c>
      <c r="F600" s="20">
        <v>10</v>
      </c>
      <c r="G600" s="18" t="s">
        <v>66</v>
      </c>
      <c r="H600" s="157"/>
      <c r="I600" s="166"/>
      <c r="L600" s="175"/>
      <c r="M600" s="169"/>
      <c r="N600" s="18" t="s">
        <v>81</v>
      </c>
      <c r="O600" s="20">
        <v>4</v>
      </c>
      <c r="P600" s="20">
        <v>10</v>
      </c>
      <c r="Q600" s="18" t="s">
        <v>66</v>
      </c>
      <c r="R600" s="157"/>
      <c r="S600" s="166"/>
    </row>
    <row r="601" spans="2:19" x14ac:dyDescent="0.25">
      <c r="B601" s="175"/>
      <c r="C601" s="169"/>
      <c r="D601" s="18" t="s">
        <v>82</v>
      </c>
      <c r="E601" s="20">
        <v>5</v>
      </c>
      <c r="F601" s="20">
        <v>11</v>
      </c>
      <c r="G601" s="18" t="s">
        <v>66</v>
      </c>
      <c r="H601" s="157"/>
      <c r="I601" s="166"/>
      <c r="L601" s="175"/>
      <c r="M601" s="169"/>
      <c r="N601" s="18" t="s">
        <v>82</v>
      </c>
      <c r="O601" s="20">
        <v>5</v>
      </c>
      <c r="P601" s="20">
        <v>11</v>
      </c>
      <c r="Q601" s="18" t="s">
        <v>66</v>
      </c>
      <c r="R601" s="157"/>
      <c r="S601" s="166"/>
    </row>
    <row r="602" spans="2:19" ht="15.75" thickBot="1" x14ac:dyDescent="0.3">
      <c r="B602" s="176"/>
      <c r="C602" s="170"/>
      <c r="D602" s="18" t="s">
        <v>83</v>
      </c>
      <c r="E602" s="20">
        <v>6</v>
      </c>
      <c r="F602" s="20">
        <v>12</v>
      </c>
      <c r="G602" s="18" t="s">
        <v>66</v>
      </c>
      <c r="H602" s="158"/>
      <c r="I602" s="167"/>
      <c r="L602" s="176"/>
      <c r="M602" s="170"/>
      <c r="N602" s="18" t="s">
        <v>83</v>
      </c>
      <c r="O602" s="20">
        <v>6</v>
      </c>
      <c r="P602" s="20">
        <v>12</v>
      </c>
      <c r="Q602" s="18" t="s">
        <v>66</v>
      </c>
      <c r="R602" s="158"/>
      <c r="S602" s="167"/>
    </row>
    <row r="603" spans="2:19" x14ac:dyDescent="0.25">
      <c r="B603" s="180" t="s">
        <v>3</v>
      </c>
      <c r="C603" s="177" t="s">
        <v>77</v>
      </c>
      <c r="D603" s="21" t="s">
        <v>2</v>
      </c>
      <c r="E603" s="22">
        <v>1</v>
      </c>
      <c r="F603" s="22">
        <v>13</v>
      </c>
      <c r="G603" s="21" t="s">
        <v>66</v>
      </c>
      <c r="H603" s="21"/>
      <c r="I603" s="51"/>
      <c r="L603" s="180" t="s">
        <v>3</v>
      </c>
      <c r="M603" s="177" t="s">
        <v>77</v>
      </c>
      <c r="N603" s="21" t="s">
        <v>2</v>
      </c>
      <c r="O603" s="22">
        <v>1</v>
      </c>
      <c r="P603" s="22">
        <v>13</v>
      </c>
      <c r="Q603" s="21" t="s">
        <v>66</v>
      </c>
      <c r="R603" s="21"/>
      <c r="S603" s="51"/>
    </row>
    <row r="604" spans="2:19" x14ac:dyDescent="0.25">
      <c r="B604" s="181"/>
      <c r="C604" s="178"/>
      <c r="D604" s="23" t="s">
        <v>3</v>
      </c>
      <c r="E604" s="24">
        <v>2</v>
      </c>
      <c r="F604" s="24">
        <v>14</v>
      </c>
      <c r="G604" s="23" t="s">
        <v>66</v>
      </c>
      <c r="H604" s="23"/>
      <c r="I604" s="47"/>
      <c r="L604" s="181"/>
      <c r="M604" s="178"/>
      <c r="N604" s="23" t="s">
        <v>3</v>
      </c>
      <c r="O604" s="24">
        <v>2</v>
      </c>
      <c r="P604" s="24">
        <v>14</v>
      </c>
      <c r="Q604" s="23" t="s">
        <v>66</v>
      </c>
      <c r="R604" s="23"/>
      <c r="S604" s="47"/>
    </row>
    <row r="605" spans="2:19" x14ac:dyDescent="0.25">
      <c r="B605" s="181"/>
      <c r="C605" s="178"/>
      <c r="D605" s="23" t="s">
        <v>80</v>
      </c>
      <c r="E605" s="24">
        <v>3</v>
      </c>
      <c r="F605" s="24">
        <v>15</v>
      </c>
      <c r="G605" s="23" t="s">
        <v>66</v>
      </c>
      <c r="H605" s="23"/>
      <c r="I605" s="47"/>
      <c r="L605" s="181"/>
      <c r="M605" s="178"/>
      <c r="N605" s="23" t="s">
        <v>80</v>
      </c>
      <c r="O605" s="24">
        <v>3</v>
      </c>
      <c r="P605" s="24">
        <v>15</v>
      </c>
      <c r="Q605" s="23" t="s">
        <v>66</v>
      </c>
      <c r="R605" s="23"/>
      <c r="S605" s="47"/>
    </row>
    <row r="606" spans="2:19" x14ac:dyDescent="0.25">
      <c r="B606" s="181"/>
      <c r="C606" s="178"/>
      <c r="D606" s="23" t="s">
        <v>81</v>
      </c>
      <c r="E606" s="24">
        <v>4</v>
      </c>
      <c r="F606" s="24">
        <v>16</v>
      </c>
      <c r="G606" s="23" t="s">
        <v>66</v>
      </c>
      <c r="H606" s="23"/>
      <c r="I606" s="47"/>
      <c r="L606" s="181"/>
      <c r="M606" s="178"/>
      <c r="N606" s="23" t="s">
        <v>81</v>
      </c>
      <c r="O606" s="24">
        <v>4</v>
      </c>
      <c r="P606" s="24">
        <v>16</v>
      </c>
      <c r="Q606" s="23" t="s">
        <v>66</v>
      </c>
      <c r="R606" s="23"/>
      <c r="S606" s="47"/>
    </row>
    <row r="607" spans="2:19" x14ac:dyDescent="0.25">
      <c r="B607" s="181"/>
      <c r="C607" s="178"/>
      <c r="D607" s="23" t="s">
        <v>82</v>
      </c>
      <c r="E607" s="24">
        <v>5</v>
      </c>
      <c r="F607" s="24">
        <v>17</v>
      </c>
      <c r="G607" s="23" t="s">
        <v>66</v>
      </c>
      <c r="H607" s="23"/>
      <c r="I607" s="47"/>
      <c r="L607" s="181"/>
      <c r="M607" s="178"/>
      <c r="N607" s="23" t="s">
        <v>82</v>
      </c>
      <c r="O607" s="24">
        <v>5</v>
      </c>
      <c r="P607" s="24">
        <v>17</v>
      </c>
      <c r="Q607" s="23" t="s">
        <v>66</v>
      </c>
      <c r="R607" s="23"/>
      <c r="S607" s="47"/>
    </row>
    <row r="608" spans="2:19" ht="15.75" thickBot="1" x14ac:dyDescent="0.3">
      <c r="B608" s="181"/>
      <c r="C608" s="179"/>
      <c r="D608" s="23" t="s">
        <v>83</v>
      </c>
      <c r="E608" s="24">
        <v>6</v>
      </c>
      <c r="F608" s="24">
        <v>18</v>
      </c>
      <c r="G608" s="23" t="s">
        <v>66</v>
      </c>
      <c r="H608" s="23"/>
      <c r="I608" s="47"/>
      <c r="L608" s="181"/>
      <c r="M608" s="179"/>
      <c r="N608" s="23" t="s">
        <v>83</v>
      </c>
      <c r="O608" s="24">
        <v>6</v>
      </c>
      <c r="P608" s="24">
        <v>18</v>
      </c>
      <c r="Q608" s="23" t="s">
        <v>66</v>
      </c>
      <c r="R608" s="23"/>
      <c r="S608" s="47"/>
    </row>
    <row r="609" spans="2:19" x14ac:dyDescent="0.25">
      <c r="B609" s="181"/>
      <c r="C609" s="177" t="s">
        <v>84</v>
      </c>
      <c r="D609" s="23" t="s">
        <v>2</v>
      </c>
      <c r="E609" s="24">
        <v>1</v>
      </c>
      <c r="F609" s="24">
        <v>19</v>
      </c>
      <c r="G609" s="23" t="s">
        <v>66</v>
      </c>
      <c r="H609" s="23"/>
      <c r="I609" s="47"/>
      <c r="L609" s="181"/>
      <c r="M609" s="177" t="s">
        <v>84</v>
      </c>
      <c r="N609" s="23" t="s">
        <v>2</v>
      </c>
      <c r="O609" s="24">
        <v>1</v>
      </c>
      <c r="P609" s="24">
        <v>19</v>
      </c>
      <c r="Q609" s="23" t="s">
        <v>66</v>
      </c>
      <c r="R609" s="23"/>
      <c r="S609" s="47"/>
    </row>
    <row r="610" spans="2:19" x14ac:dyDescent="0.25">
      <c r="B610" s="181"/>
      <c r="C610" s="178"/>
      <c r="D610" s="23" t="s">
        <v>3</v>
      </c>
      <c r="E610" s="24">
        <v>2</v>
      </c>
      <c r="F610" s="24">
        <v>20</v>
      </c>
      <c r="G610" s="23" t="s">
        <v>66</v>
      </c>
      <c r="H610" s="23"/>
      <c r="I610" s="47"/>
      <c r="L610" s="181"/>
      <c r="M610" s="178"/>
      <c r="N610" s="23" t="s">
        <v>3</v>
      </c>
      <c r="O610" s="24">
        <v>2</v>
      </c>
      <c r="P610" s="24">
        <v>20</v>
      </c>
      <c r="Q610" s="23" t="s">
        <v>66</v>
      </c>
      <c r="R610" s="23"/>
      <c r="S610" s="47"/>
    </row>
    <row r="611" spans="2:19" x14ac:dyDescent="0.25">
      <c r="B611" s="181"/>
      <c r="C611" s="178"/>
      <c r="D611" s="23" t="s">
        <v>80</v>
      </c>
      <c r="E611" s="26">
        <v>3</v>
      </c>
      <c r="F611" s="24">
        <v>21</v>
      </c>
      <c r="G611" s="23" t="s">
        <v>66</v>
      </c>
      <c r="H611" s="23"/>
      <c r="I611" s="47"/>
      <c r="L611" s="181"/>
      <c r="M611" s="178"/>
      <c r="N611" s="23" t="s">
        <v>80</v>
      </c>
      <c r="O611" s="26">
        <v>3</v>
      </c>
      <c r="P611" s="24">
        <v>21</v>
      </c>
      <c r="Q611" s="23" t="s">
        <v>66</v>
      </c>
      <c r="R611" s="23"/>
      <c r="S611" s="47"/>
    </row>
    <row r="612" spans="2:19" x14ac:dyDescent="0.25">
      <c r="B612" s="181"/>
      <c r="C612" s="178"/>
      <c r="D612" s="23" t="s">
        <v>81</v>
      </c>
      <c r="E612" s="24">
        <v>4</v>
      </c>
      <c r="F612" s="24">
        <v>22</v>
      </c>
      <c r="G612" s="23" t="s">
        <v>66</v>
      </c>
      <c r="H612" s="23"/>
      <c r="I612" s="47"/>
      <c r="L612" s="181"/>
      <c r="M612" s="178"/>
      <c r="N612" s="23" t="s">
        <v>81</v>
      </c>
      <c r="O612" s="24">
        <v>4</v>
      </c>
      <c r="P612" s="24">
        <v>22</v>
      </c>
      <c r="Q612" s="23" t="s">
        <v>66</v>
      </c>
      <c r="R612" s="23"/>
      <c r="S612" s="47"/>
    </row>
    <row r="613" spans="2:19" x14ac:dyDescent="0.25">
      <c r="B613" s="181"/>
      <c r="C613" s="178"/>
      <c r="D613" s="23" t="s">
        <v>82</v>
      </c>
      <c r="E613" s="24">
        <v>5</v>
      </c>
      <c r="F613" s="24">
        <v>23</v>
      </c>
      <c r="G613" s="23" t="s">
        <v>66</v>
      </c>
      <c r="H613" s="23"/>
      <c r="I613" s="47"/>
      <c r="L613" s="181"/>
      <c r="M613" s="178"/>
      <c r="N613" s="23" t="s">
        <v>82</v>
      </c>
      <c r="O613" s="24">
        <v>5</v>
      </c>
      <c r="P613" s="24">
        <v>23</v>
      </c>
      <c r="Q613" s="23" t="s">
        <v>66</v>
      </c>
      <c r="R613" s="23"/>
      <c r="S613" s="47"/>
    </row>
    <row r="614" spans="2:19" ht="15.75" thickBot="1" x14ac:dyDescent="0.3">
      <c r="B614" s="182"/>
      <c r="C614" s="179"/>
      <c r="D614" s="23" t="s">
        <v>83</v>
      </c>
      <c r="E614" s="24">
        <v>6</v>
      </c>
      <c r="F614" s="24">
        <v>24</v>
      </c>
      <c r="G614" s="23" t="s">
        <v>66</v>
      </c>
      <c r="H614" s="23"/>
      <c r="I614" s="47"/>
      <c r="L614" s="182"/>
      <c r="M614" s="179"/>
      <c r="N614" s="23" t="s">
        <v>83</v>
      </c>
      <c r="O614" s="24">
        <v>6</v>
      </c>
      <c r="P614" s="24">
        <v>24</v>
      </c>
      <c r="Q614" s="23" t="s">
        <v>66</v>
      </c>
      <c r="R614" s="23"/>
      <c r="S614" s="47"/>
    </row>
    <row r="615" spans="2:19" x14ac:dyDescent="0.25">
      <c r="B615" s="189" t="s">
        <v>80</v>
      </c>
      <c r="C615" s="192" t="s">
        <v>77</v>
      </c>
      <c r="D615" s="27" t="s">
        <v>2</v>
      </c>
      <c r="E615" s="28">
        <v>1</v>
      </c>
      <c r="F615" s="28">
        <v>25</v>
      </c>
      <c r="G615" s="27" t="s">
        <v>66</v>
      </c>
      <c r="H615" s="27"/>
      <c r="I615" s="48"/>
      <c r="L615" s="189" t="s">
        <v>80</v>
      </c>
      <c r="M615" s="192" t="s">
        <v>77</v>
      </c>
      <c r="N615" s="27" t="s">
        <v>2</v>
      </c>
      <c r="O615" s="28">
        <v>1</v>
      </c>
      <c r="P615" s="28">
        <v>25</v>
      </c>
      <c r="Q615" s="27" t="s">
        <v>66</v>
      </c>
      <c r="R615" s="27"/>
      <c r="S615" s="48"/>
    </row>
    <row r="616" spans="2:19" x14ac:dyDescent="0.25">
      <c r="B616" s="190"/>
      <c r="C616" s="193"/>
      <c r="D616" s="27" t="s">
        <v>3</v>
      </c>
      <c r="E616" s="28">
        <v>2</v>
      </c>
      <c r="F616" s="28">
        <v>26</v>
      </c>
      <c r="G616" s="27" t="s">
        <v>66</v>
      </c>
      <c r="H616" s="27"/>
      <c r="I616" s="48"/>
      <c r="L616" s="190"/>
      <c r="M616" s="193"/>
      <c r="N616" s="27" t="s">
        <v>3</v>
      </c>
      <c r="O616" s="28">
        <v>2</v>
      </c>
      <c r="P616" s="28">
        <v>26</v>
      </c>
      <c r="Q616" s="27" t="s">
        <v>66</v>
      </c>
      <c r="R616" s="27"/>
      <c r="S616" s="48"/>
    </row>
    <row r="617" spans="2:19" x14ac:dyDescent="0.25">
      <c r="B617" s="190"/>
      <c r="C617" s="193"/>
      <c r="D617" s="27" t="s">
        <v>80</v>
      </c>
      <c r="E617" s="28">
        <v>3</v>
      </c>
      <c r="F617" s="28">
        <v>27</v>
      </c>
      <c r="G617" s="27" t="s">
        <v>66</v>
      </c>
      <c r="H617" s="27"/>
      <c r="I617" s="48"/>
      <c r="L617" s="190"/>
      <c r="M617" s="193"/>
      <c r="N617" s="27" t="s">
        <v>80</v>
      </c>
      <c r="O617" s="28">
        <v>3</v>
      </c>
      <c r="P617" s="28">
        <v>27</v>
      </c>
      <c r="Q617" s="27" t="s">
        <v>66</v>
      </c>
      <c r="R617" s="27"/>
      <c r="S617" s="48"/>
    </row>
    <row r="618" spans="2:19" x14ac:dyDescent="0.25">
      <c r="B618" s="190"/>
      <c r="C618" s="193"/>
      <c r="D618" s="27" t="s">
        <v>81</v>
      </c>
      <c r="E618" s="28">
        <v>4</v>
      </c>
      <c r="F618" s="28">
        <v>28</v>
      </c>
      <c r="G618" s="27" t="s">
        <v>66</v>
      </c>
      <c r="H618" s="27"/>
      <c r="I618" s="48"/>
      <c r="L618" s="190"/>
      <c r="M618" s="193"/>
      <c r="N618" s="27" t="s">
        <v>81</v>
      </c>
      <c r="O618" s="28">
        <v>4</v>
      </c>
      <c r="P618" s="28">
        <v>28</v>
      </c>
      <c r="Q618" s="27" t="s">
        <v>66</v>
      </c>
      <c r="R618" s="27"/>
      <c r="S618" s="48"/>
    </row>
    <row r="619" spans="2:19" x14ac:dyDescent="0.25">
      <c r="B619" s="190"/>
      <c r="C619" s="193"/>
      <c r="D619" s="27" t="s">
        <v>82</v>
      </c>
      <c r="E619" s="28">
        <v>5</v>
      </c>
      <c r="F619" s="28">
        <v>29</v>
      </c>
      <c r="G619" s="27" t="s">
        <v>66</v>
      </c>
      <c r="H619" s="27"/>
      <c r="I619" s="48"/>
      <c r="L619" s="190"/>
      <c r="M619" s="193"/>
      <c r="N619" s="27" t="s">
        <v>82</v>
      </c>
      <c r="O619" s="28">
        <v>5</v>
      </c>
      <c r="P619" s="28">
        <v>29</v>
      </c>
      <c r="Q619" s="27" t="s">
        <v>66</v>
      </c>
      <c r="R619" s="27"/>
      <c r="S619" s="48"/>
    </row>
    <row r="620" spans="2:19" ht="15.75" thickBot="1" x14ac:dyDescent="0.3">
      <c r="B620" s="190"/>
      <c r="C620" s="194"/>
      <c r="D620" s="27" t="s">
        <v>83</v>
      </c>
      <c r="E620" s="28">
        <v>6</v>
      </c>
      <c r="F620" s="28">
        <v>30</v>
      </c>
      <c r="G620" s="27" t="s">
        <v>66</v>
      </c>
      <c r="H620" s="27"/>
      <c r="I620" s="48"/>
      <c r="L620" s="190"/>
      <c r="M620" s="194"/>
      <c r="N620" s="27" t="s">
        <v>83</v>
      </c>
      <c r="O620" s="28">
        <v>6</v>
      </c>
      <c r="P620" s="28">
        <v>30</v>
      </c>
      <c r="Q620" s="27" t="s">
        <v>66</v>
      </c>
      <c r="R620" s="27"/>
      <c r="S620" s="48"/>
    </row>
    <row r="621" spans="2:19" x14ac:dyDescent="0.25">
      <c r="B621" s="190"/>
      <c r="C621" s="192" t="s">
        <v>84</v>
      </c>
      <c r="D621" s="27" t="s">
        <v>2</v>
      </c>
      <c r="E621" s="28">
        <v>1</v>
      </c>
      <c r="F621" s="28">
        <v>31</v>
      </c>
      <c r="G621" s="27" t="s">
        <v>66</v>
      </c>
      <c r="H621" s="27"/>
      <c r="I621" s="48"/>
      <c r="L621" s="190"/>
      <c r="M621" s="192" t="s">
        <v>84</v>
      </c>
      <c r="N621" s="27" t="s">
        <v>2</v>
      </c>
      <c r="O621" s="28">
        <v>1</v>
      </c>
      <c r="P621" s="28">
        <v>31</v>
      </c>
      <c r="Q621" s="27" t="s">
        <v>66</v>
      </c>
      <c r="R621" s="27"/>
      <c r="S621" s="48"/>
    </row>
    <row r="622" spans="2:19" x14ac:dyDescent="0.25">
      <c r="B622" s="190"/>
      <c r="C622" s="193"/>
      <c r="D622" s="27" t="s">
        <v>3</v>
      </c>
      <c r="E622" s="28">
        <v>2</v>
      </c>
      <c r="F622" s="28">
        <v>32</v>
      </c>
      <c r="G622" s="27" t="s">
        <v>66</v>
      </c>
      <c r="H622" s="27"/>
      <c r="I622" s="48"/>
      <c r="L622" s="190"/>
      <c r="M622" s="193"/>
      <c r="N622" s="27" t="s">
        <v>3</v>
      </c>
      <c r="O622" s="28">
        <v>2</v>
      </c>
      <c r="P622" s="28">
        <v>32</v>
      </c>
      <c r="Q622" s="27" t="s">
        <v>66</v>
      </c>
      <c r="R622" s="27"/>
      <c r="S622" s="48"/>
    </row>
    <row r="623" spans="2:19" x14ac:dyDescent="0.25">
      <c r="B623" s="190"/>
      <c r="C623" s="193"/>
      <c r="D623" s="27" t="s">
        <v>80</v>
      </c>
      <c r="E623" s="28">
        <v>3</v>
      </c>
      <c r="F623" s="28">
        <v>33</v>
      </c>
      <c r="G623" s="27" t="s">
        <v>66</v>
      </c>
      <c r="H623" s="27"/>
      <c r="I623" s="48"/>
      <c r="L623" s="190"/>
      <c r="M623" s="193"/>
      <c r="N623" s="27" t="s">
        <v>80</v>
      </c>
      <c r="O623" s="28">
        <v>3</v>
      </c>
      <c r="P623" s="28">
        <v>33</v>
      </c>
      <c r="Q623" s="27" t="s">
        <v>66</v>
      </c>
      <c r="R623" s="27"/>
      <c r="S623" s="48"/>
    </row>
    <row r="624" spans="2:19" x14ac:dyDescent="0.25">
      <c r="B624" s="190"/>
      <c r="C624" s="193"/>
      <c r="D624" s="27" t="s">
        <v>81</v>
      </c>
      <c r="E624" s="28">
        <v>4</v>
      </c>
      <c r="F624" s="28">
        <v>34</v>
      </c>
      <c r="G624" s="27" t="s">
        <v>66</v>
      </c>
      <c r="H624" s="27"/>
      <c r="I624" s="48"/>
      <c r="L624" s="190"/>
      <c r="M624" s="193"/>
      <c r="N624" s="27" t="s">
        <v>81</v>
      </c>
      <c r="O624" s="28">
        <v>4</v>
      </c>
      <c r="P624" s="28">
        <v>34</v>
      </c>
      <c r="Q624" s="27" t="s">
        <v>66</v>
      </c>
      <c r="R624" s="27"/>
      <c r="S624" s="48"/>
    </row>
    <row r="625" spans="2:19" x14ac:dyDescent="0.25">
      <c r="B625" s="190"/>
      <c r="C625" s="193"/>
      <c r="D625" s="27" t="s">
        <v>82</v>
      </c>
      <c r="E625" s="28">
        <v>5</v>
      </c>
      <c r="F625" s="28">
        <v>35</v>
      </c>
      <c r="G625" s="27" t="s">
        <v>66</v>
      </c>
      <c r="H625" s="27"/>
      <c r="I625" s="48"/>
      <c r="L625" s="190"/>
      <c r="M625" s="193"/>
      <c r="N625" s="27" t="s">
        <v>82</v>
      </c>
      <c r="O625" s="28">
        <v>5</v>
      </c>
      <c r="P625" s="28">
        <v>35</v>
      </c>
      <c r="Q625" s="27" t="s">
        <v>66</v>
      </c>
      <c r="R625" s="27"/>
      <c r="S625" s="48"/>
    </row>
    <row r="626" spans="2:19" ht="15.75" thickBot="1" x14ac:dyDescent="0.3">
      <c r="B626" s="191"/>
      <c r="C626" s="194"/>
      <c r="D626" s="27" t="s">
        <v>83</v>
      </c>
      <c r="E626" s="28">
        <v>6</v>
      </c>
      <c r="F626" s="28">
        <v>36</v>
      </c>
      <c r="G626" s="27" t="s">
        <v>66</v>
      </c>
      <c r="H626" s="27"/>
      <c r="I626" s="48"/>
      <c r="L626" s="191"/>
      <c r="M626" s="194"/>
      <c r="N626" s="27" t="s">
        <v>83</v>
      </c>
      <c r="O626" s="28">
        <v>6</v>
      </c>
      <c r="P626" s="28">
        <v>36</v>
      </c>
      <c r="Q626" s="27" t="s">
        <v>66</v>
      </c>
      <c r="R626" s="27"/>
      <c r="S626" s="48"/>
    </row>
    <row r="627" spans="2:19" x14ac:dyDescent="0.25">
      <c r="B627" s="183" t="s">
        <v>81</v>
      </c>
      <c r="C627" s="186" t="s">
        <v>77</v>
      </c>
      <c r="D627" s="29" t="s">
        <v>2</v>
      </c>
      <c r="E627" s="30">
        <v>1</v>
      </c>
      <c r="F627" s="30">
        <v>37</v>
      </c>
      <c r="G627" s="29" t="s">
        <v>66</v>
      </c>
      <c r="H627" s="29"/>
      <c r="I627" s="49"/>
      <c r="L627" s="183" t="s">
        <v>81</v>
      </c>
      <c r="M627" s="186" t="s">
        <v>77</v>
      </c>
      <c r="N627" s="29" t="s">
        <v>2</v>
      </c>
      <c r="O627" s="30">
        <v>1</v>
      </c>
      <c r="P627" s="30">
        <v>37</v>
      </c>
      <c r="Q627" s="29" t="s">
        <v>66</v>
      </c>
      <c r="R627" s="29"/>
      <c r="S627" s="49"/>
    </row>
    <row r="628" spans="2:19" x14ac:dyDescent="0.25">
      <c r="B628" s="184"/>
      <c r="C628" s="187"/>
      <c r="D628" s="29" t="s">
        <v>3</v>
      </c>
      <c r="E628" s="30">
        <v>2</v>
      </c>
      <c r="F628" s="30">
        <v>38</v>
      </c>
      <c r="G628" s="29" t="s">
        <v>66</v>
      </c>
      <c r="H628" s="29"/>
      <c r="I628" s="49"/>
      <c r="L628" s="184"/>
      <c r="M628" s="187"/>
      <c r="N628" s="29" t="s">
        <v>3</v>
      </c>
      <c r="O628" s="30">
        <v>2</v>
      </c>
      <c r="P628" s="30">
        <v>38</v>
      </c>
      <c r="Q628" s="29" t="s">
        <v>66</v>
      </c>
      <c r="R628" s="29"/>
      <c r="S628" s="49"/>
    </row>
    <row r="629" spans="2:19" x14ac:dyDescent="0.25">
      <c r="B629" s="184"/>
      <c r="C629" s="187"/>
      <c r="D629" s="29" t="s">
        <v>80</v>
      </c>
      <c r="E629" s="30">
        <v>3</v>
      </c>
      <c r="F629" s="30">
        <v>39</v>
      </c>
      <c r="G629" s="29" t="s">
        <v>66</v>
      </c>
      <c r="H629" s="29"/>
      <c r="I629" s="49"/>
      <c r="L629" s="184"/>
      <c r="M629" s="187"/>
      <c r="N629" s="29" t="s">
        <v>80</v>
      </c>
      <c r="O629" s="30">
        <v>3</v>
      </c>
      <c r="P629" s="30">
        <v>39</v>
      </c>
      <c r="Q629" s="29" t="s">
        <v>66</v>
      </c>
      <c r="R629" s="29"/>
      <c r="S629" s="49"/>
    </row>
    <row r="630" spans="2:19" x14ac:dyDescent="0.25">
      <c r="B630" s="184"/>
      <c r="C630" s="187"/>
      <c r="D630" s="29" t="s">
        <v>81</v>
      </c>
      <c r="E630" s="30">
        <v>4</v>
      </c>
      <c r="F630" s="30">
        <v>40</v>
      </c>
      <c r="G630" s="29" t="s">
        <v>66</v>
      </c>
      <c r="H630" s="29"/>
      <c r="I630" s="49"/>
      <c r="L630" s="184"/>
      <c r="M630" s="187"/>
      <c r="N630" s="29" t="s">
        <v>81</v>
      </c>
      <c r="O630" s="30">
        <v>4</v>
      </c>
      <c r="P630" s="30">
        <v>40</v>
      </c>
      <c r="Q630" s="29" t="s">
        <v>66</v>
      </c>
      <c r="R630" s="29"/>
      <c r="S630" s="49"/>
    </row>
    <row r="631" spans="2:19" x14ac:dyDescent="0.25">
      <c r="B631" s="184"/>
      <c r="C631" s="187"/>
      <c r="D631" s="29" t="s">
        <v>82</v>
      </c>
      <c r="E631" s="30">
        <v>5</v>
      </c>
      <c r="F631" s="30">
        <v>41</v>
      </c>
      <c r="G631" s="29" t="s">
        <v>66</v>
      </c>
      <c r="H631" s="29"/>
      <c r="I631" s="49"/>
      <c r="L631" s="184"/>
      <c r="M631" s="187"/>
      <c r="N631" s="29" t="s">
        <v>82</v>
      </c>
      <c r="O631" s="30">
        <v>5</v>
      </c>
      <c r="P631" s="30">
        <v>41</v>
      </c>
      <c r="Q631" s="29" t="s">
        <v>66</v>
      </c>
      <c r="R631" s="29"/>
      <c r="S631" s="49"/>
    </row>
    <row r="632" spans="2:19" ht="15.75" thickBot="1" x14ac:dyDescent="0.3">
      <c r="B632" s="184"/>
      <c r="C632" s="188"/>
      <c r="D632" s="29" t="s">
        <v>83</v>
      </c>
      <c r="E632" s="30">
        <v>6</v>
      </c>
      <c r="F632" s="30">
        <v>42</v>
      </c>
      <c r="G632" s="29" t="s">
        <v>66</v>
      </c>
      <c r="H632" s="29"/>
      <c r="I632" s="49"/>
      <c r="L632" s="184"/>
      <c r="M632" s="188"/>
      <c r="N632" s="29" t="s">
        <v>83</v>
      </c>
      <c r="O632" s="30">
        <v>6</v>
      </c>
      <c r="P632" s="30">
        <v>42</v>
      </c>
      <c r="Q632" s="29" t="s">
        <v>66</v>
      </c>
      <c r="R632" s="29"/>
      <c r="S632" s="49"/>
    </row>
    <row r="633" spans="2:19" x14ac:dyDescent="0.25">
      <c r="B633" s="184"/>
      <c r="C633" s="186" t="s">
        <v>84</v>
      </c>
      <c r="D633" s="29" t="s">
        <v>2</v>
      </c>
      <c r="E633" s="30">
        <v>1</v>
      </c>
      <c r="F633" s="30">
        <v>43</v>
      </c>
      <c r="G633" s="29" t="s">
        <v>66</v>
      </c>
      <c r="H633" s="29"/>
      <c r="I633" s="49"/>
      <c r="L633" s="184"/>
      <c r="M633" s="186" t="s">
        <v>84</v>
      </c>
      <c r="N633" s="29" t="s">
        <v>2</v>
      </c>
      <c r="O633" s="30">
        <v>1</v>
      </c>
      <c r="P633" s="30">
        <v>43</v>
      </c>
      <c r="Q633" s="29" t="s">
        <v>66</v>
      </c>
      <c r="R633" s="29"/>
      <c r="S633" s="49"/>
    </row>
    <row r="634" spans="2:19" x14ac:dyDescent="0.25">
      <c r="B634" s="184"/>
      <c r="C634" s="187"/>
      <c r="D634" s="29" t="s">
        <v>3</v>
      </c>
      <c r="E634" s="30">
        <v>2</v>
      </c>
      <c r="F634" s="30">
        <v>44</v>
      </c>
      <c r="G634" s="29" t="s">
        <v>66</v>
      </c>
      <c r="H634" s="29"/>
      <c r="I634" s="49"/>
      <c r="L634" s="184"/>
      <c r="M634" s="187"/>
      <c r="N634" s="29" t="s">
        <v>3</v>
      </c>
      <c r="O634" s="30">
        <v>2</v>
      </c>
      <c r="P634" s="30">
        <v>44</v>
      </c>
      <c r="Q634" s="29" t="s">
        <v>66</v>
      </c>
      <c r="R634" s="29"/>
      <c r="S634" s="49"/>
    </row>
    <row r="635" spans="2:19" x14ac:dyDescent="0.25">
      <c r="B635" s="184"/>
      <c r="C635" s="187"/>
      <c r="D635" s="29" t="s">
        <v>80</v>
      </c>
      <c r="E635" s="30">
        <v>3</v>
      </c>
      <c r="F635" s="30">
        <v>45</v>
      </c>
      <c r="G635" s="29" t="s">
        <v>66</v>
      </c>
      <c r="H635" s="29"/>
      <c r="I635" s="49"/>
      <c r="L635" s="184"/>
      <c r="M635" s="187"/>
      <c r="N635" s="29" t="s">
        <v>80</v>
      </c>
      <c r="O635" s="30">
        <v>3</v>
      </c>
      <c r="P635" s="30">
        <v>45</v>
      </c>
      <c r="Q635" s="29" t="s">
        <v>66</v>
      </c>
      <c r="R635" s="29"/>
      <c r="S635" s="49"/>
    </row>
    <row r="636" spans="2:19" x14ac:dyDescent="0.25">
      <c r="B636" s="184"/>
      <c r="C636" s="187"/>
      <c r="D636" s="29" t="s">
        <v>81</v>
      </c>
      <c r="E636" s="30">
        <v>4</v>
      </c>
      <c r="F636" s="30">
        <v>46</v>
      </c>
      <c r="G636" s="29" t="s">
        <v>66</v>
      </c>
      <c r="H636" s="29"/>
      <c r="I636" s="49"/>
      <c r="L636" s="184"/>
      <c r="M636" s="187"/>
      <c r="N636" s="29" t="s">
        <v>81</v>
      </c>
      <c r="O636" s="30">
        <v>4</v>
      </c>
      <c r="P636" s="30">
        <v>46</v>
      </c>
      <c r="Q636" s="29" t="s">
        <v>66</v>
      </c>
      <c r="R636" s="29"/>
      <c r="S636" s="49"/>
    </row>
    <row r="637" spans="2:19" x14ac:dyDescent="0.25">
      <c r="B637" s="184"/>
      <c r="C637" s="187"/>
      <c r="D637" s="29" t="s">
        <v>82</v>
      </c>
      <c r="E637" s="30">
        <v>5</v>
      </c>
      <c r="F637" s="30">
        <v>47</v>
      </c>
      <c r="G637" s="29" t="s">
        <v>66</v>
      </c>
      <c r="H637" s="29"/>
      <c r="I637" s="49"/>
      <c r="L637" s="184"/>
      <c r="M637" s="187"/>
      <c r="N637" s="29" t="s">
        <v>82</v>
      </c>
      <c r="O637" s="30">
        <v>5</v>
      </c>
      <c r="P637" s="30">
        <v>47</v>
      </c>
      <c r="Q637" s="29" t="s">
        <v>66</v>
      </c>
      <c r="R637" s="29"/>
      <c r="S637" s="49"/>
    </row>
    <row r="638" spans="2:19" ht="15.75" thickBot="1" x14ac:dyDescent="0.3">
      <c r="B638" s="185"/>
      <c r="C638" s="188"/>
      <c r="D638" s="29" t="s">
        <v>83</v>
      </c>
      <c r="E638" s="30">
        <v>6</v>
      </c>
      <c r="F638" s="30">
        <v>48</v>
      </c>
      <c r="G638" s="29" t="s">
        <v>66</v>
      </c>
      <c r="H638" s="29"/>
      <c r="I638" s="49"/>
      <c r="L638" s="185"/>
      <c r="M638" s="188"/>
      <c r="N638" s="29" t="s">
        <v>83</v>
      </c>
      <c r="O638" s="30">
        <v>6</v>
      </c>
      <c r="P638" s="30">
        <v>48</v>
      </c>
      <c r="Q638" s="29" t="s">
        <v>66</v>
      </c>
      <c r="R638" s="29"/>
      <c r="S638" s="49"/>
    </row>
    <row r="644" spans="2:19" ht="15.75" thickBot="1" x14ac:dyDescent="0.3"/>
    <row r="645" spans="2:19" ht="15.75" thickBot="1" x14ac:dyDescent="0.3">
      <c r="B645" s="171" t="s">
        <v>276</v>
      </c>
      <c r="C645" s="172"/>
      <c r="D645" s="172"/>
      <c r="E645" s="172"/>
      <c r="F645" s="172"/>
      <c r="G645" s="172"/>
      <c r="H645" s="172"/>
      <c r="I645" s="173"/>
      <c r="L645" s="171" t="s">
        <v>277</v>
      </c>
      <c r="M645" s="172"/>
      <c r="N645" s="172"/>
      <c r="O645" s="172"/>
      <c r="P645" s="172"/>
      <c r="Q645" s="172"/>
      <c r="R645" s="172"/>
      <c r="S645" s="173"/>
    </row>
    <row r="647" spans="2:19" ht="26.25" thickBot="1" x14ac:dyDescent="0.3">
      <c r="B647" s="15" t="s">
        <v>70</v>
      </c>
      <c r="C647" s="16" t="s">
        <v>71</v>
      </c>
      <c r="D647" s="15" t="s">
        <v>72</v>
      </c>
      <c r="E647" s="17" t="s">
        <v>73</v>
      </c>
      <c r="F647" s="17" t="s">
        <v>74</v>
      </c>
      <c r="G647" s="15" t="s">
        <v>75</v>
      </c>
      <c r="H647" s="15" t="s">
        <v>55</v>
      </c>
      <c r="I647" s="15" t="s">
        <v>76</v>
      </c>
      <c r="L647" s="15" t="s">
        <v>70</v>
      </c>
      <c r="M647" s="16" t="s">
        <v>71</v>
      </c>
      <c r="N647" s="15" t="s">
        <v>72</v>
      </c>
      <c r="O647" s="17" t="s">
        <v>73</v>
      </c>
      <c r="P647" s="17" t="s">
        <v>74</v>
      </c>
      <c r="Q647" s="15" t="s">
        <v>75</v>
      </c>
      <c r="R647" s="15" t="s">
        <v>55</v>
      </c>
      <c r="S647" s="15" t="s">
        <v>76</v>
      </c>
    </row>
    <row r="648" spans="2:19" x14ac:dyDescent="0.25">
      <c r="B648" s="174" t="s">
        <v>2</v>
      </c>
      <c r="C648" s="168" t="s">
        <v>77</v>
      </c>
      <c r="D648" s="18" t="s">
        <v>2</v>
      </c>
      <c r="E648" s="19">
        <v>1</v>
      </c>
      <c r="F648" s="19">
        <v>1</v>
      </c>
      <c r="G648" s="18" t="s">
        <v>66</v>
      </c>
      <c r="H648" s="32"/>
      <c r="I648" s="50"/>
      <c r="L648" s="174" t="s">
        <v>2</v>
      </c>
      <c r="M648" s="168" t="s">
        <v>77</v>
      </c>
      <c r="N648" s="18" t="s">
        <v>2</v>
      </c>
      <c r="O648" s="19">
        <v>1</v>
      </c>
      <c r="P648" s="19">
        <v>1</v>
      </c>
      <c r="Q648" s="18" t="s">
        <v>66</v>
      </c>
      <c r="R648" s="32"/>
      <c r="S648" s="50"/>
    </row>
    <row r="649" spans="2:19" x14ac:dyDescent="0.25">
      <c r="B649" s="175"/>
      <c r="C649" s="169"/>
      <c r="D649" s="18" t="s">
        <v>3</v>
      </c>
      <c r="E649" s="19">
        <v>2</v>
      </c>
      <c r="F649" s="19">
        <v>2</v>
      </c>
      <c r="G649" s="18" t="s">
        <v>66</v>
      </c>
      <c r="H649" s="32"/>
      <c r="I649" s="50"/>
      <c r="L649" s="175"/>
      <c r="M649" s="169"/>
      <c r="N649" s="18" t="s">
        <v>3</v>
      </c>
      <c r="O649" s="19">
        <v>2</v>
      </c>
      <c r="P649" s="19">
        <v>2</v>
      </c>
      <c r="Q649" s="18" t="s">
        <v>66</v>
      </c>
      <c r="R649" s="32"/>
      <c r="S649" s="50"/>
    </row>
    <row r="650" spans="2:19" x14ac:dyDescent="0.25">
      <c r="B650" s="175"/>
      <c r="C650" s="169"/>
      <c r="D650" s="18" t="s">
        <v>80</v>
      </c>
      <c r="E650" s="20">
        <v>3</v>
      </c>
      <c r="F650" s="20">
        <v>3</v>
      </c>
      <c r="G650" s="18" t="s">
        <v>66</v>
      </c>
      <c r="H650" s="32"/>
      <c r="I650" s="50"/>
      <c r="L650" s="175"/>
      <c r="M650" s="169"/>
      <c r="N650" s="18" t="s">
        <v>80</v>
      </c>
      <c r="O650" s="20">
        <v>3</v>
      </c>
      <c r="P650" s="20">
        <v>3</v>
      </c>
      <c r="Q650" s="18" t="s">
        <v>66</v>
      </c>
      <c r="R650" s="32"/>
      <c r="S650" s="50"/>
    </row>
    <row r="651" spans="2:19" x14ac:dyDescent="0.25">
      <c r="B651" s="175"/>
      <c r="C651" s="169"/>
      <c r="D651" s="18" t="s">
        <v>81</v>
      </c>
      <c r="E651" s="20">
        <v>4</v>
      </c>
      <c r="F651" s="20">
        <v>4</v>
      </c>
      <c r="G651" s="18" t="s">
        <v>66</v>
      </c>
      <c r="H651" s="32"/>
      <c r="I651" s="50"/>
      <c r="L651" s="175"/>
      <c r="M651" s="169"/>
      <c r="N651" s="18" t="s">
        <v>81</v>
      </c>
      <c r="O651" s="20">
        <v>4</v>
      </c>
      <c r="P651" s="20">
        <v>4</v>
      </c>
      <c r="Q651" s="18" t="s">
        <v>66</v>
      </c>
      <c r="R651" s="32"/>
      <c r="S651" s="50"/>
    </row>
    <row r="652" spans="2:19" x14ac:dyDescent="0.25">
      <c r="B652" s="175"/>
      <c r="C652" s="169"/>
      <c r="D652" s="18" t="s">
        <v>82</v>
      </c>
      <c r="E652" s="20">
        <v>5</v>
      </c>
      <c r="F652" s="20">
        <v>5</v>
      </c>
      <c r="G652" s="18" t="s">
        <v>66</v>
      </c>
      <c r="H652" s="32"/>
      <c r="I652" s="50"/>
      <c r="L652" s="175"/>
      <c r="M652" s="169"/>
      <c r="N652" s="18" t="s">
        <v>82</v>
      </c>
      <c r="O652" s="20">
        <v>5</v>
      </c>
      <c r="P652" s="20">
        <v>5</v>
      </c>
      <c r="Q652" s="18" t="s">
        <v>66</v>
      </c>
      <c r="R652" s="32"/>
      <c r="S652" s="50"/>
    </row>
    <row r="653" spans="2:19" ht="15.75" thickBot="1" x14ac:dyDescent="0.3">
      <c r="B653" s="175"/>
      <c r="C653" s="170"/>
      <c r="D653" s="18" t="s">
        <v>83</v>
      </c>
      <c r="E653" s="20">
        <v>6</v>
      </c>
      <c r="F653" s="20">
        <v>6</v>
      </c>
      <c r="G653" s="18" t="s">
        <v>66</v>
      </c>
      <c r="H653" s="32"/>
      <c r="I653" s="50"/>
      <c r="L653" s="175"/>
      <c r="M653" s="170"/>
      <c r="N653" s="18" t="s">
        <v>83</v>
      </c>
      <c r="O653" s="20">
        <v>6</v>
      </c>
      <c r="P653" s="20">
        <v>6</v>
      </c>
      <c r="Q653" s="18" t="s">
        <v>66</v>
      </c>
      <c r="R653" s="32"/>
      <c r="S653" s="50"/>
    </row>
    <row r="654" spans="2:19" x14ac:dyDescent="0.25">
      <c r="B654" s="175"/>
      <c r="C654" s="168" t="s">
        <v>84</v>
      </c>
      <c r="D654" s="18" t="s">
        <v>2</v>
      </c>
      <c r="E654" s="19">
        <v>1</v>
      </c>
      <c r="F654" s="19">
        <v>7</v>
      </c>
      <c r="G654" s="18" t="s">
        <v>78</v>
      </c>
      <c r="H654" s="156" t="s">
        <v>85</v>
      </c>
      <c r="I654" s="165" t="s">
        <v>167</v>
      </c>
      <c r="L654" s="175"/>
      <c r="M654" s="168" t="s">
        <v>84</v>
      </c>
      <c r="N654" s="18" t="s">
        <v>2</v>
      </c>
      <c r="O654" s="19">
        <v>1</v>
      </c>
      <c r="P654" s="19">
        <v>7</v>
      </c>
      <c r="Q654" s="18" t="s">
        <v>78</v>
      </c>
      <c r="R654" s="156" t="s">
        <v>85</v>
      </c>
      <c r="S654" s="165" t="s">
        <v>169</v>
      </c>
    </row>
    <row r="655" spans="2:19" x14ac:dyDescent="0.25">
      <c r="B655" s="175"/>
      <c r="C655" s="169"/>
      <c r="D655" s="18" t="s">
        <v>3</v>
      </c>
      <c r="E655" s="19">
        <v>2</v>
      </c>
      <c r="F655" s="19">
        <v>8</v>
      </c>
      <c r="G655" s="18" t="s">
        <v>78</v>
      </c>
      <c r="H655" s="157"/>
      <c r="I655" s="166"/>
      <c r="L655" s="175"/>
      <c r="M655" s="169"/>
      <c r="N655" s="18" t="s">
        <v>3</v>
      </c>
      <c r="O655" s="19">
        <v>2</v>
      </c>
      <c r="P655" s="19">
        <v>8</v>
      </c>
      <c r="Q655" s="18" t="s">
        <v>78</v>
      </c>
      <c r="R655" s="157"/>
      <c r="S655" s="166"/>
    </row>
    <row r="656" spans="2:19" x14ac:dyDescent="0.25">
      <c r="B656" s="175"/>
      <c r="C656" s="169"/>
      <c r="D656" s="18" t="s">
        <v>80</v>
      </c>
      <c r="E656" s="20">
        <v>3</v>
      </c>
      <c r="F656" s="20">
        <v>9</v>
      </c>
      <c r="G656" s="18" t="s">
        <v>66</v>
      </c>
      <c r="H656" s="157"/>
      <c r="I656" s="166"/>
      <c r="L656" s="175"/>
      <c r="M656" s="169"/>
      <c r="N656" s="18" t="s">
        <v>80</v>
      </c>
      <c r="O656" s="20">
        <v>3</v>
      </c>
      <c r="P656" s="20">
        <v>9</v>
      </c>
      <c r="Q656" s="18" t="s">
        <v>66</v>
      </c>
      <c r="R656" s="157"/>
      <c r="S656" s="166"/>
    </row>
    <row r="657" spans="2:19" x14ac:dyDescent="0.25">
      <c r="B657" s="175"/>
      <c r="C657" s="169"/>
      <c r="D657" s="18" t="s">
        <v>81</v>
      </c>
      <c r="E657" s="20">
        <v>4</v>
      </c>
      <c r="F657" s="20">
        <v>10</v>
      </c>
      <c r="G657" s="18" t="s">
        <v>66</v>
      </c>
      <c r="H657" s="157"/>
      <c r="I657" s="166"/>
      <c r="L657" s="175"/>
      <c r="M657" s="169"/>
      <c r="N657" s="18" t="s">
        <v>81</v>
      </c>
      <c r="O657" s="20">
        <v>4</v>
      </c>
      <c r="P657" s="20">
        <v>10</v>
      </c>
      <c r="Q657" s="18" t="s">
        <v>66</v>
      </c>
      <c r="R657" s="157"/>
      <c r="S657" s="166"/>
    </row>
    <row r="658" spans="2:19" x14ac:dyDescent="0.25">
      <c r="B658" s="175"/>
      <c r="C658" s="169"/>
      <c r="D658" s="18" t="s">
        <v>82</v>
      </c>
      <c r="E658" s="20">
        <v>5</v>
      </c>
      <c r="F658" s="20">
        <v>11</v>
      </c>
      <c r="G658" s="18" t="s">
        <v>66</v>
      </c>
      <c r="H658" s="157"/>
      <c r="I658" s="166"/>
      <c r="L658" s="175"/>
      <c r="M658" s="169"/>
      <c r="N658" s="18" t="s">
        <v>82</v>
      </c>
      <c r="O658" s="20">
        <v>5</v>
      </c>
      <c r="P658" s="20">
        <v>11</v>
      </c>
      <c r="Q658" s="18" t="s">
        <v>66</v>
      </c>
      <c r="R658" s="157"/>
      <c r="S658" s="166"/>
    </row>
    <row r="659" spans="2:19" ht="15.75" thickBot="1" x14ac:dyDescent="0.3">
      <c r="B659" s="176"/>
      <c r="C659" s="170"/>
      <c r="D659" s="18" t="s">
        <v>83</v>
      </c>
      <c r="E659" s="20">
        <v>6</v>
      </c>
      <c r="F659" s="20">
        <v>12</v>
      </c>
      <c r="G659" s="18" t="s">
        <v>66</v>
      </c>
      <c r="H659" s="158"/>
      <c r="I659" s="167"/>
      <c r="L659" s="176"/>
      <c r="M659" s="170"/>
      <c r="N659" s="18" t="s">
        <v>83</v>
      </c>
      <c r="O659" s="20">
        <v>6</v>
      </c>
      <c r="P659" s="20">
        <v>12</v>
      </c>
      <c r="Q659" s="18" t="s">
        <v>66</v>
      </c>
      <c r="R659" s="158"/>
      <c r="S659" s="167"/>
    </row>
    <row r="660" spans="2:19" x14ac:dyDescent="0.25">
      <c r="B660" s="180" t="s">
        <v>3</v>
      </c>
      <c r="C660" s="177" t="s">
        <v>77</v>
      </c>
      <c r="D660" s="21" t="s">
        <v>2</v>
      </c>
      <c r="E660" s="22">
        <v>1</v>
      </c>
      <c r="F660" s="22">
        <v>13</v>
      </c>
      <c r="G660" s="21" t="s">
        <v>66</v>
      </c>
      <c r="H660" s="21"/>
      <c r="I660" s="51"/>
      <c r="L660" s="180" t="s">
        <v>3</v>
      </c>
      <c r="M660" s="177" t="s">
        <v>77</v>
      </c>
      <c r="N660" s="21" t="s">
        <v>2</v>
      </c>
      <c r="O660" s="22">
        <v>1</v>
      </c>
      <c r="P660" s="22">
        <v>13</v>
      </c>
      <c r="Q660" s="21" t="s">
        <v>66</v>
      </c>
      <c r="R660" s="21"/>
      <c r="S660" s="51"/>
    </row>
    <row r="661" spans="2:19" x14ac:dyDescent="0.25">
      <c r="B661" s="181"/>
      <c r="C661" s="178"/>
      <c r="D661" s="23" t="s">
        <v>3</v>
      </c>
      <c r="E661" s="24">
        <v>2</v>
      </c>
      <c r="F661" s="24">
        <v>14</v>
      </c>
      <c r="G661" s="23" t="s">
        <v>66</v>
      </c>
      <c r="H661" s="23"/>
      <c r="I661" s="47"/>
      <c r="L661" s="181"/>
      <c r="M661" s="178"/>
      <c r="N661" s="23" t="s">
        <v>3</v>
      </c>
      <c r="O661" s="24">
        <v>2</v>
      </c>
      <c r="P661" s="24">
        <v>14</v>
      </c>
      <c r="Q661" s="23" t="s">
        <v>66</v>
      </c>
      <c r="R661" s="23"/>
      <c r="S661" s="47"/>
    </row>
    <row r="662" spans="2:19" x14ac:dyDescent="0.25">
      <c r="B662" s="181"/>
      <c r="C662" s="178"/>
      <c r="D662" s="23" t="s">
        <v>80</v>
      </c>
      <c r="E662" s="24">
        <v>3</v>
      </c>
      <c r="F662" s="24">
        <v>15</v>
      </c>
      <c r="G662" s="23" t="s">
        <v>66</v>
      </c>
      <c r="H662" s="23"/>
      <c r="I662" s="47"/>
      <c r="L662" s="181"/>
      <c r="M662" s="178"/>
      <c r="N662" s="23" t="s">
        <v>80</v>
      </c>
      <c r="O662" s="24">
        <v>3</v>
      </c>
      <c r="P662" s="24">
        <v>15</v>
      </c>
      <c r="Q662" s="23" t="s">
        <v>66</v>
      </c>
      <c r="R662" s="23"/>
      <c r="S662" s="47"/>
    </row>
    <row r="663" spans="2:19" x14ac:dyDescent="0.25">
      <c r="B663" s="181"/>
      <c r="C663" s="178"/>
      <c r="D663" s="23" t="s">
        <v>81</v>
      </c>
      <c r="E663" s="24">
        <v>4</v>
      </c>
      <c r="F663" s="24">
        <v>16</v>
      </c>
      <c r="G663" s="23" t="s">
        <v>66</v>
      </c>
      <c r="H663" s="23"/>
      <c r="I663" s="47"/>
      <c r="L663" s="181"/>
      <c r="M663" s="178"/>
      <c r="N663" s="23" t="s">
        <v>81</v>
      </c>
      <c r="O663" s="24">
        <v>4</v>
      </c>
      <c r="P663" s="24">
        <v>16</v>
      </c>
      <c r="Q663" s="23" t="s">
        <v>66</v>
      </c>
      <c r="R663" s="23"/>
      <c r="S663" s="47"/>
    </row>
    <row r="664" spans="2:19" x14ac:dyDescent="0.25">
      <c r="B664" s="181"/>
      <c r="C664" s="178"/>
      <c r="D664" s="23" t="s">
        <v>82</v>
      </c>
      <c r="E664" s="24">
        <v>5</v>
      </c>
      <c r="F664" s="24">
        <v>17</v>
      </c>
      <c r="G664" s="23" t="s">
        <v>66</v>
      </c>
      <c r="H664" s="23"/>
      <c r="I664" s="47"/>
      <c r="L664" s="181"/>
      <c r="M664" s="178"/>
      <c r="N664" s="23" t="s">
        <v>82</v>
      </c>
      <c r="O664" s="24">
        <v>5</v>
      </c>
      <c r="P664" s="24">
        <v>17</v>
      </c>
      <c r="Q664" s="23" t="s">
        <v>66</v>
      </c>
      <c r="R664" s="23"/>
      <c r="S664" s="47"/>
    </row>
    <row r="665" spans="2:19" ht="15.75" thickBot="1" x14ac:dyDescent="0.3">
      <c r="B665" s="181"/>
      <c r="C665" s="179"/>
      <c r="D665" s="23" t="s">
        <v>83</v>
      </c>
      <c r="E665" s="24">
        <v>6</v>
      </c>
      <c r="F665" s="24">
        <v>18</v>
      </c>
      <c r="G665" s="23" t="s">
        <v>66</v>
      </c>
      <c r="H665" s="23"/>
      <c r="I665" s="47"/>
      <c r="L665" s="181"/>
      <c r="M665" s="179"/>
      <c r="N665" s="23" t="s">
        <v>83</v>
      </c>
      <c r="O665" s="24">
        <v>6</v>
      </c>
      <c r="P665" s="24">
        <v>18</v>
      </c>
      <c r="Q665" s="23" t="s">
        <v>66</v>
      </c>
      <c r="R665" s="23"/>
      <c r="S665" s="47"/>
    </row>
    <row r="666" spans="2:19" x14ac:dyDescent="0.25">
      <c r="B666" s="181"/>
      <c r="C666" s="177" t="s">
        <v>84</v>
      </c>
      <c r="D666" s="23" t="s">
        <v>2</v>
      </c>
      <c r="E666" s="24">
        <v>1</v>
      </c>
      <c r="F666" s="24">
        <v>19</v>
      </c>
      <c r="G666" s="23" t="s">
        <v>66</v>
      </c>
      <c r="H666" s="23"/>
      <c r="I666" s="47"/>
      <c r="L666" s="181"/>
      <c r="M666" s="177" t="s">
        <v>84</v>
      </c>
      <c r="N666" s="23" t="s">
        <v>2</v>
      </c>
      <c r="O666" s="24">
        <v>1</v>
      </c>
      <c r="P666" s="24">
        <v>19</v>
      </c>
      <c r="Q666" s="23" t="s">
        <v>66</v>
      </c>
      <c r="R666" s="23"/>
      <c r="S666" s="47"/>
    </row>
    <row r="667" spans="2:19" x14ac:dyDescent="0.25">
      <c r="B667" s="181"/>
      <c r="C667" s="178"/>
      <c r="D667" s="23" t="s">
        <v>3</v>
      </c>
      <c r="E667" s="24">
        <v>2</v>
      </c>
      <c r="F667" s="24">
        <v>20</v>
      </c>
      <c r="G667" s="23" t="s">
        <v>66</v>
      </c>
      <c r="H667" s="23"/>
      <c r="I667" s="47"/>
      <c r="L667" s="181"/>
      <c r="M667" s="178"/>
      <c r="N667" s="23" t="s">
        <v>3</v>
      </c>
      <c r="O667" s="24">
        <v>2</v>
      </c>
      <c r="P667" s="24">
        <v>20</v>
      </c>
      <c r="Q667" s="23" t="s">
        <v>66</v>
      </c>
      <c r="R667" s="23"/>
      <c r="S667" s="47"/>
    </row>
    <row r="668" spans="2:19" x14ac:dyDescent="0.25">
      <c r="B668" s="181"/>
      <c r="C668" s="178"/>
      <c r="D668" s="23" t="s">
        <v>80</v>
      </c>
      <c r="E668" s="26">
        <v>3</v>
      </c>
      <c r="F668" s="24">
        <v>21</v>
      </c>
      <c r="G668" s="23" t="s">
        <v>66</v>
      </c>
      <c r="H668" s="23"/>
      <c r="I668" s="47"/>
      <c r="L668" s="181"/>
      <c r="M668" s="178"/>
      <c r="N668" s="23" t="s">
        <v>80</v>
      </c>
      <c r="O668" s="26">
        <v>3</v>
      </c>
      <c r="P668" s="24">
        <v>21</v>
      </c>
      <c r="Q668" s="23" t="s">
        <v>66</v>
      </c>
      <c r="R668" s="23"/>
      <c r="S668" s="47"/>
    </row>
    <row r="669" spans="2:19" x14ac:dyDescent="0.25">
      <c r="B669" s="181"/>
      <c r="C669" s="178"/>
      <c r="D669" s="23" t="s">
        <v>81</v>
      </c>
      <c r="E669" s="24">
        <v>4</v>
      </c>
      <c r="F669" s="24">
        <v>22</v>
      </c>
      <c r="G669" s="23" t="s">
        <v>66</v>
      </c>
      <c r="H669" s="23"/>
      <c r="I669" s="47"/>
      <c r="L669" s="181"/>
      <c r="M669" s="178"/>
      <c r="N669" s="23" t="s">
        <v>81</v>
      </c>
      <c r="O669" s="24">
        <v>4</v>
      </c>
      <c r="P669" s="24">
        <v>22</v>
      </c>
      <c r="Q669" s="23" t="s">
        <v>66</v>
      </c>
      <c r="R669" s="23"/>
      <c r="S669" s="47"/>
    </row>
    <row r="670" spans="2:19" x14ac:dyDescent="0.25">
      <c r="B670" s="181"/>
      <c r="C670" s="178"/>
      <c r="D670" s="23" t="s">
        <v>82</v>
      </c>
      <c r="E670" s="24">
        <v>5</v>
      </c>
      <c r="F670" s="24">
        <v>23</v>
      </c>
      <c r="G670" s="23" t="s">
        <v>66</v>
      </c>
      <c r="H670" s="23"/>
      <c r="I670" s="47"/>
      <c r="L670" s="181"/>
      <c r="M670" s="178"/>
      <c r="N670" s="23" t="s">
        <v>82</v>
      </c>
      <c r="O670" s="24">
        <v>5</v>
      </c>
      <c r="P670" s="24">
        <v>23</v>
      </c>
      <c r="Q670" s="23" t="s">
        <v>66</v>
      </c>
      <c r="R670" s="23"/>
      <c r="S670" s="47"/>
    </row>
    <row r="671" spans="2:19" ht="15.75" thickBot="1" x14ac:dyDescent="0.3">
      <c r="B671" s="182"/>
      <c r="C671" s="179"/>
      <c r="D671" s="23" t="s">
        <v>83</v>
      </c>
      <c r="E671" s="24">
        <v>6</v>
      </c>
      <c r="F671" s="24">
        <v>24</v>
      </c>
      <c r="G671" s="23" t="s">
        <v>66</v>
      </c>
      <c r="H671" s="23"/>
      <c r="I671" s="47"/>
      <c r="L671" s="182"/>
      <c r="M671" s="179"/>
      <c r="N671" s="23" t="s">
        <v>83</v>
      </c>
      <c r="O671" s="24">
        <v>6</v>
      </c>
      <c r="P671" s="24">
        <v>24</v>
      </c>
      <c r="Q671" s="23" t="s">
        <v>66</v>
      </c>
      <c r="R671" s="23"/>
      <c r="S671" s="47"/>
    </row>
    <row r="672" spans="2:19" x14ac:dyDescent="0.25">
      <c r="B672" s="189" t="s">
        <v>80</v>
      </c>
      <c r="C672" s="192" t="s">
        <v>77</v>
      </c>
      <c r="D672" s="27" t="s">
        <v>2</v>
      </c>
      <c r="E672" s="28">
        <v>1</v>
      </c>
      <c r="F672" s="28">
        <v>25</v>
      </c>
      <c r="G672" s="27" t="s">
        <v>66</v>
      </c>
      <c r="H672" s="27"/>
      <c r="I672" s="48"/>
      <c r="L672" s="189" t="s">
        <v>80</v>
      </c>
      <c r="M672" s="192" t="s">
        <v>77</v>
      </c>
      <c r="N672" s="27" t="s">
        <v>2</v>
      </c>
      <c r="O672" s="28">
        <v>1</v>
      </c>
      <c r="P672" s="28">
        <v>25</v>
      </c>
      <c r="Q672" s="27" t="s">
        <v>66</v>
      </c>
      <c r="R672" s="27"/>
      <c r="S672" s="48"/>
    </row>
    <row r="673" spans="2:19" x14ac:dyDescent="0.25">
      <c r="B673" s="190"/>
      <c r="C673" s="193"/>
      <c r="D673" s="27" t="s">
        <v>3</v>
      </c>
      <c r="E673" s="28">
        <v>2</v>
      </c>
      <c r="F673" s="28">
        <v>26</v>
      </c>
      <c r="G673" s="27" t="s">
        <v>66</v>
      </c>
      <c r="H673" s="27"/>
      <c r="I673" s="48"/>
      <c r="L673" s="190"/>
      <c r="M673" s="193"/>
      <c r="N673" s="27" t="s">
        <v>3</v>
      </c>
      <c r="O673" s="28">
        <v>2</v>
      </c>
      <c r="P673" s="28">
        <v>26</v>
      </c>
      <c r="Q673" s="27" t="s">
        <v>66</v>
      </c>
      <c r="R673" s="27"/>
      <c r="S673" s="48"/>
    </row>
    <row r="674" spans="2:19" x14ac:dyDescent="0.25">
      <c r="B674" s="190"/>
      <c r="C674" s="193"/>
      <c r="D674" s="27" t="s">
        <v>80</v>
      </c>
      <c r="E674" s="28">
        <v>3</v>
      </c>
      <c r="F674" s="28">
        <v>27</v>
      </c>
      <c r="G674" s="27" t="s">
        <v>66</v>
      </c>
      <c r="H674" s="27"/>
      <c r="I674" s="48"/>
      <c r="L674" s="190"/>
      <c r="M674" s="193"/>
      <c r="N674" s="27" t="s">
        <v>80</v>
      </c>
      <c r="O674" s="28">
        <v>3</v>
      </c>
      <c r="P674" s="28">
        <v>27</v>
      </c>
      <c r="Q674" s="27" t="s">
        <v>66</v>
      </c>
      <c r="R674" s="27"/>
      <c r="S674" s="48"/>
    </row>
    <row r="675" spans="2:19" x14ac:dyDescent="0.25">
      <c r="B675" s="190"/>
      <c r="C675" s="193"/>
      <c r="D675" s="27" t="s">
        <v>81</v>
      </c>
      <c r="E675" s="28">
        <v>4</v>
      </c>
      <c r="F675" s="28">
        <v>28</v>
      </c>
      <c r="G675" s="27" t="s">
        <v>66</v>
      </c>
      <c r="H675" s="27"/>
      <c r="I675" s="48"/>
      <c r="L675" s="190"/>
      <c r="M675" s="193"/>
      <c r="N675" s="27" t="s">
        <v>81</v>
      </c>
      <c r="O675" s="28">
        <v>4</v>
      </c>
      <c r="P675" s="28">
        <v>28</v>
      </c>
      <c r="Q675" s="27" t="s">
        <v>66</v>
      </c>
      <c r="R675" s="27"/>
      <c r="S675" s="48"/>
    </row>
    <row r="676" spans="2:19" x14ac:dyDescent="0.25">
      <c r="B676" s="190"/>
      <c r="C676" s="193"/>
      <c r="D676" s="27" t="s">
        <v>82</v>
      </c>
      <c r="E676" s="28">
        <v>5</v>
      </c>
      <c r="F676" s="28">
        <v>29</v>
      </c>
      <c r="G676" s="27" t="s">
        <v>66</v>
      </c>
      <c r="H676" s="27"/>
      <c r="I676" s="48"/>
      <c r="L676" s="190"/>
      <c r="M676" s="193"/>
      <c r="N676" s="27" t="s">
        <v>82</v>
      </c>
      <c r="O676" s="28">
        <v>5</v>
      </c>
      <c r="P676" s="28">
        <v>29</v>
      </c>
      <c r="Q676" s="27" t="s">
        <v>66</v>
      </c>
      <c r="R676" s="27"/>
      <c r="S676" s="48"/>
    </row>
    <row r="677" spans="2:19" ht="15.75" thickBot="1" x14ac:dyDescent="0.3">
      <c r="B677" s="190"/>
      <c r="C677" s="194"/>
      <c r="D677" s="27" t="s">
        <v>83</v>
      </c>
      <c r="E677" s="28">
        <v>6</v>
      </c>
      <c r="F677" s="28">
        <v>30</v>
      </c>
      <c r="G677" s="27" t="s">
        <v>66</v>
      </c>
      <c r="H677" s="27"/>
      <c r="I677" s="48"/>
      <c r="L677" s="190"/>
      <c r="M677" s="194"/>
      <c r="N677" s="27" t="s">
        <v>83</v>
      </c>
      <c r="O677" s="28">
        <v>6</v>
      </c>
      <c r="P677" s="28">
        <v>30</v>
      </c>
      <c r="Q677" s="27" t="s">
        <v>66</v>
      </c>
      <c r="R677" s="27"/>
      <c r="S677" s="48"/>
    </row>
    <row r="678" spans="2:19" x14ac:dyDescent="0.25">
      <c r="B678" s="190"/>
      <c r="C678" s="192" t="s">
        <v>84</v>
      </c>
      <c r="D678" s="27" t="s">
        <v>2</v>
      </c>
      <c r="E678" s="28">
        <v>1</v>
      </c>
      <c r="F678" s="28">
        <v>31</v>
      </c>
      <c r="G678" s="27" t="s">
        <v>66</v>
      </c>
      <c r="H678" s="27"/>
      <c r="I678" s="48"/>
      <c r="L678" s="190"/>
      <c r="M678" s="192" t="s">
        <v>84</v>
      </c>
      <c r="N678" s="27" t="s">
        <v>2</v>
      </c>
      <c r="O678" s="28">
        <v>1</v>
      </c>
      <c r="P678" s="28">
        <v>31</v>
      </c>
      <c r="Q678" s="27" t="s">
        <v>66</v>
      </c>
      <c r="R678" s="27"/>
      <c r="S678" s="48"/>
    </row>
    <row r="679" spans="2:19" x14ac:dyDescent="0.25">
      <c r="B679" s="190"/>
      <c r="C679" s="193"/>
      <c r="D679" s="27" t="s">
        <v>3</v>
      </c>
      <c r="E679" s="28">
        <v>2</v>
      </c>
      <c r="F679" s="28">
        <v>32</v>
      </c>
      <c r="G679" s="27" t="s">
        <v>66</v>
      </c>
      <c r="H679" s="27"/>
      <c r="I679" s="48"/>
      <c r="L679" s="190"/>
      <c r="M679" s="193"/>
      <c r="N679" s="27" t="s">
        <v>3</v>
      </c>
      <c r="O679" s="28">
        <v>2</v>
      </c>
      <c r="P679" s="28">
        <v>32</v>
      </c>
      <c r="Q679" s="27" t="s">
        <v>66</v>
      </c>
      <c r="R679" s="27"/>
      <c r="S679" s="48"/>
    </row>
    <row r="680" spans="2:19" x14ac:dyDescent="0.25">
      <c r="B680" s="190"/>
      <c r="C680" s="193"/>
      <c r="D680" s="27" t="s">
        <v>80</v>
      </c>
      <c r="E680" s="28">
        <v>3</v>
      </c>
      <c r="F680" s="28">
        <v>33</v>
      </c>
      <c r="G680" s="27" t="s">
        <v>66</v>
      </c>
      <c r="H680" s="27"/>
      <c r="I680" s="48"/>
      <c r="L680" s="190"/>
      <c r="M680" s="193"/>
      <c r="N680" s="27" t="s">
        <v>80</v>
      </c>
      <c r="O680" s="28">
        <v>3</v>
      </c>
      <c r="P680" s="28">
        <v>33</v>
      </c>
      <c r="Q680" s="27" t="s">
        <v>66</v>
      </c>
      <c r="R680" s="27"/>
      <c r="S680" s="48"/>
    </row>
    <row r="681" spans="2:19" x14ac:dyDescent="0.25">
      <c r="B681" s="190"/>
      <c r="C681" s="193"/>
      <c r="D681" s="27" t="s">
        <v>81</v>
      </c>
      <c r="E681" s="28">
        <v>4</v>
      </c>
      <c r="F681" s="28">
        <v>34</v>
      </c>
      <c r="G681" s="27" t="s">
        <v>66</v>
      </c>
      <c r="H681" s="27"/>
      <c r="I681" s="48"/>
      <c r="L681" s="190"/>
      <c r="M681" s="193"/>
      <c r="N681" s="27" t="s">
        <v>81</v>
      </c>
      <c r="O681" s="28">
        <v>4</v>
      </c>
      <c r="P681" s="28">
        <v>34</v>
      </c>
      <c r="Q681" s="27" t="s">
        <v>66</v>
      </c>
      <c r="R681" s="27"/>
      <c r="S681" s="48"/>
    </row>
    <row r="682" spans="2:19" x14ac:dyDescent="0.25">
      <c r="B682" s="190"/>
      <c r="C682" s="193"/>
      <c r="D682" s="27" t="s">
        <v>82</v>
      </c>
      <c r="E682" s="28">
        <v>5</v>
      </c>
      <c r="F682" s="28">
        <v>35</v>
      </c>
      <c r="G682" s="27" t="s">
        <v>66</v>
      </c>
      <c r="H682" s="27"/>
      <c r="I682" s="48"/>
      <c r="L682" s="190"/>
      <c r="M682" s="193"/>
      <c r="N682" s="27" t="s">
        <v>82</v>
      </c>
      <c r="O682" s="28">
        <v>5</v>
      </c>
      <c r="P682" s="28">
        <v>35</v>
      </c>
      <c r="Q682" s="27" t="s">
        <v>66</v>
      </c>
      <c r="R682" s="27"/>
      <c r="S682" s="48"/>
    </row>
    <row r="683" spans="2:19" ht="15.75" thickBot="1" x14ac:dyDescent="0.3">
      <c r="B683" s="191"/>
      <c r="C683" s="194"/>
      <c r="D683" s="27" t="s">
        <v>83</v>
      </c>
      <c r="E683" s="28">
        <v>6</v>
      </c>
      <c r="F683" s="28">
        <v>36</v>
      </c>
      <c r="G683" s="27" t="s">
        <v>66</v>
      </c>
      <c r="H683" s="27"/>
      <c r="I683" s="48"/>
      <c r="L683" s="191"/>
      <c r="M683" s="194"/>
      <c r="N683" s="27" t="s">
        <v>83</v>
      </c>
      <c r="O683" s="28">
        <v>6</v>
      </c>
      <c r="P683" s="28">
        <v>36</v>
      </c>
      <c r="Q683" s="27" t="s">
        <v>66</v>
      </c>
      <c r="R683" s="27"/>
      <c r="S683" s="48"/>
    </row>
    <row r="684" spans="2:19" x14ac:dyDescent="0.25">
      <c r="B684" s="183" t="s">
        <v>81</v>
      </c>
      <c r="C684" s="186" t="s">
        <v>77</v>
      </c>
      <c r="D684" s="29" t="s">
        <v>2</v>
      </c>
      <c r="E684" s="30">
        <v>1</v>
      </c>
      <c r="F684" s="30">
        <v>37</v>
      </c>
      <c r="G684" s="29" t="s">
        <v>66</v>
      </c>
      <c r="H684" s="29"/>
      <c r="I684" s="49"/>
      <c r="L684" s="183" t="s">
        <v>81</v>
      </c>
      <c r="M684" s="186" t="s">
        <v>77</v>
      </c>
      <c r="N684" s="29" t="s">
        <v>2</v>
      </c>
      <c r="O684" s="30">
        <v>1</v>
      </c>
      <c r="P684" s="30">
        <v>37</v>
      </c>
      <c r="Q684" s="29" t="s">
        <v>66</v>
      </c>
      <c r="R684" s="29"/>
      <c r="S684" s="49"/>
    </row>
    <row r="685" spans="2:19" x14ac:dyDescent="0.25">
      <c r="B685" s="184"/>
      <c r="C685" s="187"/>
      <c r="D685" s="29" t="s">
        <v>3</v>
      </c>
      <c r="E685" s="30">
        <v>2</v>
      </c>
      <c r="F685" s="30">
        <v>38</v>
      </c>
      <c r="G685" s="29" t="s">
        <v>66</v>
      </c>
      <c r="H685" s="29"/>
      <c r="I685" s="49"/>
      <c r="L685" s="184"/>
      <c r="M685" s="187"/>
      <c r="N685" s="29" t="s">
        <v>3</v>
      </c>
      <c r="O685" s="30">
        <v>2</v>
      </c>
      <c r="P685" s="30">
        <v>38</v>
      </c>
      <c r="Q685" s="29" t="s">
        <v>66</v>
      </c>
      <c r="R685" s="29"/>
      <c r="S685" s="49"/>
    </row>
    <row r="686" spans="2:19" x14ac:dyDescent="0.25">
      <c r="B686" s="184"/>
      <c r="C686" s="187"/>
      <c r="D686" s="29" t="s">
        <v>80</v>
      </c>
      <c r="E686" s="30">
        <v>3</v>
      </c>
      <c r="F686" s="30">
        <v>39</v>
      </c>
      <c r="G686" s="29" t="s">
        <v>66</v>
      </c>
      <c r="H686" s="29"/>
      <c r="I686" s="49"/>
      <c r="L686" s="184"/>
      <c r="M686" s="187"/>
      <c r="N686" s="29" t="s">
        <v>80</v>
      </c>
      <c r="O686" s="30">
        <v>3</v>
      </c>
      <c r="P686" s="30">
        <v>39</v>
      </c>
      <c r="Q686" s="29" t="s">
        <v>66</v>
      </c>
      <c r="R686" s="29"/>
      <c r="S686" s="49"/>
    </row>
    <row r="687" spans="2:19" x14ac:dyDescent="0.25">
      <c r="B687" s="184"/>
      <c r="C687" s="187"/>
      <c r="D687" s="29" t="s">
        <v>81</v>
      </c>
      <c r="E687" s="30">
        <v>4</v>
      </c>
      <c r="F687" s="30">
        <v>40</v>
      </c>
      <c r="G687" s="29" t="s">
        <v>66</v>
      </c>
      <c r="H687" s="29"/>
      <c r="I687" s="49"/>
      <c r="L687" s="184"/>
      <c r="M687" s="187"/>
      <c r="N687" s="29" t="s">
        <v>81</v>
      </c>
      <c r="O687" s="30">
        <v>4</v>
      </c>
      <c r="P687" s="30">
        <v>40</v>
      </c>
      <c r="Q687" s="29" t="s">
        <v>66</v>
      </c>
      <c r="R687" s="29"/>
      <c r="S687" s="49"/>
    </row>
    <row r="688" spans="2:19" x14ac:dyDescent="0.25">
      <c r="B688" s="184"/>
      <c r="C688" s="187"/>
      <c r="D688" s="29" t="s">
        <v>82</v>
      </c>
      <c r="E688" s="30">
        <v>5</v>
      </c>
      <c r="F688" s="30">
        <v>41</v>
      </c>
      <c r="G688" s="29" t="s">
        <v>66</v>
      </c>
      <c r="H688" s="29"/>
      <c r="I688" s="49"/>
      <c r="L688" s="184"/>
      <c r="M688" s="187"/>
      <c r="N688" s="29" t="s">
        <v>82</v>
      </c>
      <c r="O688" s="30">
        <v>5</v>
      </c>
      <c r="P688" s="30">
        <v>41</v>
      </c>
      <c r="Q688" s="29" t="s">
        <v>66</v>
      </c>
      <c r="R688" s="29"/>
      <c r="S688" s="49"/>
    </row>
    <row r="689" spans="2:19" ht="15.75" thickBot="1" x14ac:dyDescent="0.3">
      <c r="B689" s="184"/>
      <c r="C689" s="188"/>
      <c r="D689" s="29" t="s">
        <v>83</v>
      </c>
      <c r="E689" s="30">
        <v>6</v>
      </c>
      <c r="F689" s="30">
        <v>42</v>
      </c>
      <c r="G689" s="29" t="s">
        <v>66</v>
      </c>
      <c r="H689" s="29"/>
      <c r="I689" s="49"/>
      <c r="L689" s="184"/>
      <c r="M689" s="188"/>
      <c r="N689" s="29" t="s">
        <v>83</v>
      </c>
      <c r="O689" s="30">
        <v>6</v>
      </c>
      <c r="P689" s="30">
        <v>42</v>
      </c>
      <c r="Q689" s="29" t="s">
        <v>66</v>
      </c>
      <c r="R689" s="29"/>
      <c r="S689" s="49"/>
    </row>
    <row r="690" spans="2:19" x14ac:dyDescent="0.25">
      <c r="B690" s="184"/>
      <c r="C690" s="186" t="s">
        <v>84</v>
      </c>
      <c r="D690" s="29" t="s">
        <v>2</v>
      </c>
      <c r="E690" s="30">
        <v>1</v>
      </c>
      <c r="F690" s="30">
        <v>43</v>
      </c>
      <c r="G690" s="29" t="s">
        <v>66</v>
      </c>
      <c r="H690" s="29"/>
      <c r="I690" s="49"/>
      <c r="L690" s="184"/>
      <c r="M690" s="186" t="s">
        <v>84</v>
      </c>
      <c r="N690" s="29" t="s">
        <v>2</v>
      </c>
      <c r="O690" s="30">
        <v>1</v>
      </c>
      <c r="P690" s="30">
        <v>43</v>
      </c>
      <c r="Q690" s="29" t="s">
        <v>66</v>
      </c>
      <c r="R690" s="29"/>
      <c r="S690" s="49"/>
    </row>
    <row r="691" spans="2:19" x14ac:dyDescent="0.25">
      <c r="B691" s="184"/>
      <c r="C691" s="187"/>
      <c r="D691" s="29" t="s">
        <v>3</v>
      </c>
      <c r="E691" s="30">
        <v>2</v>
      </c>
      <c r="F691" s="30">
        <v>44</v>
      </c>
      <c r="G691" s="29" t="s">
        <v>66</v>
      </c>
      <c r="H691" s="29"/>
      <c r="I691" s="49"/>
      <c r="L691" s="184"/>
      <c r="M691" s="187"/>
      <c r="N691" s="29" t="s">
        <v>3</v>
      </c>
      <c r="O691" s="30">
        <v>2</v>
      </c>
      <c r="P691" s="30">
        <v>44</v>
      </c>
      <c r="Q691" s="29" t="s">
        <v>66</v>
      </c>
      <c r="R691" s="29"/>
      <c r="S691" s="49"/>
    </row>
    <row r="692" spans="2:19" x14ac:dyDescent="0.25">
      <c r="B692" s="184"/>
      <c r="C692" s="187"/>
      <c r="D692" s="29" t="s">
        <v>80</v>
      </c>
      <c r="E692" s="30">
        <v>3</v>
      </c>
      <c r="F692" s="30">
        <v>45</v>
      </c>
      <c r="G692" s="29" t="s">
        <v>66</v>
      </c>
      <c r="H692" s="29"/>
      <c r="I692" s="49"/>
      <c r="L692" s="184"/>
      <c r="M692" s="187"/>
      <c r="N692" s="29" t="s">
        <v>80</v>
      </c>
      <c r="O692" s="30">
        <v>3</v>
      </c>
      <c r="P692" s="30">
        <v>45</v>
      </c>
      <c r="Q692" s="29" t="s">
        <v>66</v>
      </c>
      <c r="R692" s="29"/>
      <c r="S692" s="49"/>
    </row>
    <row r="693" spans="2:19" x14ac:dyDescent="0.25">
      <c r="B693" s="184"/>
      <c r="C693" s="187"/>
      <c r="D693" s="29" t="s">
        <v>81</v>
      </c>
      <c r="E693" s="30">
        <v>4</v>
      </c>
      <c r="F693" s="30">
        <v>46</v>
      </c>
      <c r="G693" s="29" t="s">
        <v>66</v>
      </c>
      <c r="H693" s="29"/>
      <c r="I693" s="49"/>
      <c r="L693" s="184"/>
      <c r="M693" s="187"/>
      <c r="N693" s="29" t="s">
        <v>81</v>
      </c>
      <c r="O693" s="30">
        <v>4</v>
      </c>
      <c r="P693" s="30">
        <v>46</v>
      </c>
      <c r="Q693" s="29" t="s">
        <v>66</v>
      </c>
      <c r="R693" s="29"/>
      <c r="S693" s="49"/>
    </row>
    <row r="694" spans="2:19" x14ac:dyDescent="0.25">
      <c r="B694" s="184"/>
      <c r="C694" s="187"/>
      <c r="D694" s="29" t="s">
        <v>82</v>
      </c>
      <c r="E694" s="30">
        <v>5</v>
      </c>
      <c r="F694" s="30">
        <v>47</v>
      </c>
      <c r="G694" s="29" t="s">
        <v>66</v>
      </c>
      <c r="H694" s="29"/>
      <c r="I694" s="49"/>
      <c r="L694" s="184"/>
      <c r="M694" s="187"/>
      <c r="N694" s="29" t="s">
        <v>82</v>
      </c>
      <c r="O694" s="30">
        <v>5</v>
      </c>
      <c r="P694" s="30">
        <v>47</v>
      </c>
      <c r="Q694" s="29" t="s">
        <v>66</v>
      </c>
      <c r="R694" s="29"/>
      <c r="S694" s="49"/>
    </row>
    <row r="695" spans="2:19" ht="15.75" thickBot="1" x14ac:dyDescent="0.3">
      <c r="B695" s="185"/>
      <c r="C695" s="188"/>
      <c r="D695" s="29" t="s">
        <v>83</v>
      </c>
      <c r="E695" s="30">
        <v>6</v>
      </c>
      <c r="F695" s="30">
        <v>48</v>
      </c>
      <c r="G695" s="29" t="s">
        <v>66</v>
      </c>
      <c r="H695" s="29"/>
      <c r="I695" s="49"/>
      <c r="L695" s="185"/>
      <c r="M695" s="188"/>
      <c r="N695" s="29" t="s">
        <v>83</v>
      </c>
      <c r="O695" s="30">
        <v>6</v>
      </c>
      <c r="P695" s="30">
        <v>48</v>
      </c>
      <c r="Q695" s="29" t="s">
        <v>66</v>
      </c>
      <c r="R695" s="29"/>
      <c r="S695" s="49"/>
    </row>
    <row r="697" spans="2:19" ht="15.75" thickBot="1" x14ac:dyDescent="0.3"/>
    <row r="698" spans="2:19" ht="15.75" thickBot="1" x14ac:dyDescent="0.3">
      <c r="B698" s="171" t="s">
        <v>278</v>
      </c>
      <c r="C698" s="172"/>
      <c r="D698" s="172"/>
      <c r="E698" s="172"/>
      <c r="F698" s="172"/>
      <c r="G698" s="172"/>
      <c r="H698" s="172"/>
      <c r="I698" s="173"/>
      <c r="L698" s="171" t="s">
        <v>279</v>
      </c>
      <c r="M698" s="172"/>
      <c r="N698" s="172"/>
      <c r="O698" s="172"/>
      <c r="P698" s="172"/>
      <c r="Q698" s="172"/>
      <c r="R698" s="172"/>
      <c r="S698" s="173"/>
    </row>
    <row r="700" spans="2:19" ht="26.25" thickBot="1" x14ac:dyDescent="0.3">
      <c r="B700" s="15" t="s">
        <v>70</v>
      </c>
      <c r="C700" s="16" t="s">
        <v>71</v>
      </c>
      <c r="D700" s="15" t="s">
        <v>72</v>
      </c>
      <c r="E700" s="17" t="s">
        <v>73</v>
      </c>
      <c r="F700" s="17" t="s">
        <v>74</v>
      </c>
      <c r="G700" s="15" t="s">
        <v>75</v>
      </c>
      <c r="H700" s="15" t="s">
        <v>55</v>
      </c>
      <c r="I700" s="15" t="s">
        <v>76</v>
      </c>
      <c r="L700" s="15" t="s">
        <v>70</v>
      </c>
      <c r="M700" s="16" t="s">
        <v>71</v>
      </c>
      <c r="N700" s="15" t="s">
        <v>72</v>
      </c>
      <c r="O700" s="17" t="s">
        <v>73</v>
      </c>
      <c r="P700" s="17" t="s">
        <v>74</v>
      </c>
      <c r="Q700" s="15" t="s">
        <v>75</v>
      </c>
      <c r="R700" s="15" t="s">
        <v>55</v>
      </c>
      <c r="S700" s="15" t="s">
        <v>76</v>
      </c>
    </row>
    <row r="701" spans="2:19" x14ac:dyDescent="0.25">
      <c r="B701" s="174" t="s">
        <v>2</v>
      </c>
      <c r="C701" s="168" t="s">
        <v>77</v>
      </c>
      <c r="D701" s="18" t="s">
        <v>2</v>
      </c>
      <c r="E701" s="19">
        <v>1</v>
      </c>
      <c r="F701" s="19">
        <v>1</v>
      </c>
      <c r="G701" s="18" t="s">
        <v>66</v>
      </c>
      <c r="H701" s="32"/>
      <c r="I701" s="50"/>
      <c r="L701" s="174" t="s">
        <v>2</v>
      </c>
      <c r="M701" s="168" t="s">
        <v>77</v>
      </c>
      <c r="N701" s="18" t="s">
        <v>2</v>
      </c>
      <c r="O701" s="19">
        <v>1</v>
      </c>
      <c r="P701" s="19">
        <v>1</v>
      </c>
      <c r="Q701" s="18" t="s">
        <v>66</v>
      </c>
      <c r="R701" s="32"/>
      <c r="S701" s="50"/>
    </row>
    <row r="702" spans="2:19" x14ac:dyDescent="0.25">
      <c r="B702" s="175"/>
      <c r="C702" s="169"/>
      <c r="D702" s="18" t="s">
        <v>3</v>
      </c>
      <c r="E702" s="19">
        <v>2</v>
      </c>
      <c r="F702" s="19">
        <v>2</v>
      </c>
      <c r="G702" s="18" t="s">
        <v>66</v>
      </c>
      <c r="H702" s="32"/>
      <c r="I702" s="50"/>
      <c r="L702" s="175"/>
      <c r="M702" s="169"/>
      <c r="N702" s="18" t="s">
        <v>3</v>
      </c>
      <c r="O702" s="19">
        <v>2</v>
      </c>
      <c r="P702" s="19">
        <v>2</v>
      </c>
      <c r="Q702" s="18" t="s">
        <v>66</v>
      </c>
      <c r="R702" s="32"/>
      <c r="S702" s="50"/>
    </row>
    <row r="703" spans="2:19" x14ac:dyDescent="0.25">
      <c r="B703" s="175"/>
      <c r="C703" s="169"/>
      <c r="D703" s="18" t="s">
        <v>80</v>
      </c>
      <c r="E703" s="20">
        <v>3</v>
      </c>
      <c r="F703" s="20">
        <v>3</v>
      </c>
      <c r="G703" s="18" t="s">
        <v>66</v>
      </c>
      <c r="H703" s="32"/>
      <c r="I703" s="50"/>
      <c r="L703" s="175"/>
      <c r="M703" s="169"/>
      <c r="N703" s="18" t="s">
        <v>80</v>
      </c>
      <c r="O703" s="20">
        <v>3</v>
      </c>
      <c r="P703" s="20">
        <v>3</v>
      </c>
      <c r="Q703" s="18" t="s">
        <v>66</v>
      </c>
      <c r="R703" s="32"/>
      <c r="S703" s="50"/>
    </row>
    <row r="704" spans="2:19" x14ac:dyDescent="0.25">
      <c r="B704" s="175"/>
      <c r="C704" s="169"/>
      <c r="D704" s="18" t="s">
        <v>81</v>
      </c>
      <c r="E704" s="20">
        <v>4</v>
      </c>
      <c r="F704" s="20">
        <v>4</v>
      </c>
      <c r="G704" s="18" t="s">
        <v>66</v>
      </c>
      <c r="H704" s="32"/>
      <c r="I704" s="50"/>
      <c r="L704" s="175"/>
      <c r="M704" s="169"/>
      <c r="N704" s="18" t="s">
        <v>81</v>
      </c>
      <c r="O704" s="20">
        <v>4</v>
      </c>
      <c r="P704" s="20">
        <v>4</v>
      </c>
      <c r="Q704" s="18" t="s">
        <v>66</v>
      </c>
      <c r="R704" s="32"/>
      <c r="S704" s="50"/>
    </row>
    <row r="705" spans="2:19" x14ac:dyDescent="0.25">
      <c r="B705" s="175"/>
      <c r="C705" s="169"/>
      <c r="D705" s="18" t="s">
        <v>82</v>
      </c>
      <c r="E705" s="20">
        <v>5</v>
      </c>
      <c r="F705" s="20">
        <v>5</v>
      </c>
      <c r="G705" s="18" t="s">
        <v>66</v>
      </c>
      <c r="H705" s="32"/>
      <c r="I705" s="50"/>
      <c r="L705" s="175"/>
      <c r="M705" s="169"/>
      <c r="N705" s="18" t="s">
        <v>82</v>
      </c>
      <c r="O705" s="20">
        <v>5</v>
      </c>
      <c r="P705" s="20">
        <v>5</v>
      </c>
      <c r="Q705" s="18" t="s">
        <v>66</v>
      </c>
      <c r="R705" s="32"/>
      <c r="S705" s="50"/>
    </row>
    <row r="706" spans="2:19" ht="15.75" thickBot="1" x14ac:dyDescent="0.3">
      <c r="B706" s="175"/>
      <c r="C706" s="170"/>
      <c r="D706" s="18" t="s">
        <v>83</v>
      </c>
      <c r="E706" s="20">
        <v>6</v>
      </c>
      <c r="F706" s="20">
        <v>6</v>
      </c>
      <c r="G706" s="18" t="s">
        <v>66</v>
      </c>
      <c r="H706" s="32"/>
      <c r="I706" s="50"/>
      <c r="L706" s="175"/>
      <c r="M706" s="170"/>
      <c r="N706" s="18" t="s">
        <v>83</v>
      </c>
      <c r="O706" s="20">
        <v>6</v>
      </c>
      <c r="P706" s="20">
        <v>6</v>
      </c>
      <c r="Q706" s="18" t="s">
        <v>66</v>
      </c>
      <c r="R706" s="32"/>
      <c r="S706" s="50"/>
    </row>
    <row r="707" spans="2:19" x14ac:dyDescent="0.25">
      <c r="B707" s="175"/>
      <c r="C707" s="168" t="s">
        <v>84</v>
      </c>
      <c r="D707" s="18" t="s">
        <v>2</v>
      </c>
      <c r="E707" s="19">
        <v>1</v>
      </c>
      <c r="F707" s="19">
        <v>7</v>
      </c>
      <c r="G707" s="18" t="s">
        <v>78</v>
      </c>
      <c r="H707" s="156" t="s">
        <v>85</v>
      </c>
      <c r="I707" s="165" t="s">
        <v>168</v>
      </c>
      <c r="L707" s="175"/>
      <c r="M707" s="168" t="s">
        <v>84</v>
      </c>
      <c r="N707" s="18" t="s">
        <v>2</v>
      </c>
      <c r="O707" s="19">
        <v>1</v>
      </c>
      <c r="P707" s="19">
        <v>7</v>
      </c>
      <c r="Q707" s="18" t="s">
        <v>78</v>
      </c>
      <c r="R707" s="156" t="s">
        <v>85</v>
      </c>
      <c r="S707" s="165" t="s">
        <v>156</v>
      </c>
    </row>
    <row r="708" spans="2:19" x14ac:dyDescent="0.25">
      <c r="B708" s="175"/>
      <c r="C708" s="169"/>
      <c r="D708" s="18" t="s">
        <v>3</v>
      </c>
      <c r="E708" s="19">
        <v>2</v>
      </c>
      <c r="F708" s="19">
        <v>8</v>
      </c>
      <c r="G708" s="18" t="s">
        <v>78</v>
      </c>
      <c r="H708" s="157"/>
      <c r="I708" s="166"/>
      <c r="L708" s="175"/>
      <c r="M708" s="169"/>
      <c r="N708" s="18" t="s">
        <v>3</v>
      </c>
      <c r="O708" s="19">
        <v>2</v>
      </c>
      <c r="P708" s="19">
        <v>8</v>
      </c>
      <c r="Q708" s="18" t="s">
        <v>78</v>
      </c>
      <c r="R708" s="157"/>
      <c r="S708" s="166"/>
    </row>
    <row r="709" spans="2:19" x14ac:dyDescent="0.25">
      <c r="B709" s="175"/>
      <c r="C709" s="169"/>
      <c r="D709" s="18" t="s">
        <v>80</v>
      </c>
      <c r="E709" s="20">
        <v>3</v>
      </c>
      <c r="F709" s="20">
        <v>9</v>
      </c>
      <c r="G709" s="18" t="s">
        <v>66</v>
      </c>
      <c r="H709" s="157"/>
      <c r="I709" s="166"/>
      <c r="L709" s="175"/>
      <c r="M709" s="169"/>
      <c r="N709" s="18" t="s">
        <v>80</v>
      </c>
      <c r="O709" s="20">
        <v>3</v>
      </c>
      <c r="P709" s="20">
        <v>9</v>
      </c>
      <c r="Q709" s="18" t="s">
        <v>66</v>
      </c>
      <c r="R709" s="157"/>
      <c r="S709" s="166"/>
    </row>
    <row r="710" spans="2:19" x14ac:dyDescent="0.25">
      <c r="B710" s="175"/>
      <c r="C710" s="169"/>
      <c r="D710" s="18" t="s">
        <v>81</v>
      </c>
      <c r="E710" s="20">
        <v>4</v>
      </c>
      <c r="F710" s="20">
        <v>10</v>
      </c>
      <c r="G710" s="18" t="s">
        <v>66</v>
      </c>
      <c r="H710" s="157"/>
      <c r="I710" s="166"/>
      <c r="L710" s="175"/>
      <c r="M710" s="169"/>
      <c r="N710" s="18" t="s">
        <v>81</v>
      </c>
      <c r="O710" s="20">
        <v>4</v>
      </c>
      <c r="P710" s="20">
        <v>10</v>
      </c>
      <c r="Q710" s="18" t="s">
        <v>66</v>
      </c>
      <c r="R710" s="157"/>
      <c r="S710" s="166"/>
    </row>
    <row r="711" spans="2:19" x14ac:dyDescent="0.25">
      <c r="B711" s="175"/>
      <c r="C711" s="169"/>
      <c r="D711" s="18" t="s">
        <v>82</v>
      </c>
      <c r="E711" s="20">
        <v>5</v>
      </c>
      <c r="F711" s="20">
        <v>11</v>
      </c>
      <c r="G711" s="18" t="s">
        <v>66</v>
      </c>
      <c r="H711" s="157"/>
      <c r="I711" s="166"/>
      <c r="L711" s="175"/>
      <c r="M711" s="169"/>
      <c r="N711" s="18" t="s">
        <v>82</v>
      </c>
      <c r="O711" s="20">
        <v>5</v>
      </c>
      <c r="P711" s="20">
        <v>11</v>
      </c>
      <c r="Q711" s="18" t="s">
        <v>66</v>
      </c>
      <c r="R711" s="157"/>
      <c r="S711" s="166"/>
    </row>
    <row r="712" spans="2:19" ht="15.75" thickBot="1" x14ac:dyDescent="0.3">
      <c r="B712" s="176"/>
      <c r="C712" s="170"/>
      <c r="D712" s="18" t="s">
        <v>83</v>
      </c>
      <c r="E712" s="20">
        <v>6</v>
      </c>
      <c r="F712" s="20">
        <v>12</v>
      </c>
      <c r="G712" s="18" t="s">
        <v>66</v>
      </c>
      <c r="H712" s="158"/>
      <c r="I712" s="167"/>
      <c r="L712" s="176"/>
      <c r="M712" s="170"/>
      <c r="N712" s="18" t="s">
        <v>83</v>
      </c>
      <c r="O712" s="20">
        <v>6</v>
      </c>
      <c r="P712" s="20">
        <v>12</v>
      </c>
      <c r="Q712" s="18" t="s">
        <v>66</v>
      </c>
      <c r="R712" s="158"/>
      <c r="S712" s="167"/>
    </row>
    <row r="713" spans="2:19" x14ac:dyDescent="0.25">
      <c r="B713" s="180" t="s">
        <v>3</v>
      </c>
      <c r="C713" s="177" t="s">
        <v>77</v>
      </c>
      <c r="D713" s="21" t="s">
        <v>2</v>
      </c>
      <c r="E713" s="22">
        <v>1</v>
      </c>
      <c r="F713" s="22">
        <v>13</v>
      </c>
      <c r="G713" s="21" t="s">
        <v>66</v>
      </c>
      <c r="H713" s="21"/>
      <c r="I713" s="51"/>
      <c r="L713" s="180" t="s">
        <v>3</v>
      </c>
      <c r="M713" s="177" t="s">
        <v>77</v>
      </c>
      <c r="N713" s="21" t="s">
        <v>2</v>
      </c>
      <c r="O713" s="22">
        <v>1</v>
      </c>
      <c r="P713" s="22">
        <v>13</v>
      </c>
      <c r="Q713" s="21" t="s">
        <v>66</v>
      </c>
      <c r="R713" s="21"/>
      <c r="S713" s="51"/>
    </row>
    <row r="714" spans="2:19" x14ac:dyDescent="0.25">
      <c r="B714" s="181"/>
      <c r="C714" s="178"/>
      <c r="D714" s="23" t="s">
        <v>3</v>
      </c>
      <c r="E714" s="24">
        <v>2</v>
      </c>
      <c r="F714" s="24">
        <v>14</v>
      </c>
      <c r="G714" s="23" t="s">
        <v>66</v>
      </c>
      <c r="H714" s="23"/>
      <c r="I714" s="47"/>
      <c r="L714" s="181"/>
      <c r="M714" s="178"/>
      <c r="N714" s="23" t="s">
        <v>3</v>
      </c>
      <c r="O714" s="24">
        <v>2</v>
      </c>
      <c r="P714" s="24">
        <v>14</v>
      </c>
      <c r="Q714" s="23" t="s">
        <v>66</v>
      </c>
      <c r="R714" s="23"/>
      <c r="S714" s="47"/>
    </row>
    <row r="715" spans="2:19" x14ac:dyDescent="0.25">
      <c r="B715" s="181"/>
      <c r="C715" s="178"/>
      <c r="D715" s="23" t="s">
        <v>80</v>
      </c>
      <c r="E715" s="24">
        <v>3</v>
      </c>
      <c r="F715" s="24">
        <v>15</v>
      </c>
      <c r="G715" s="23" t="s">
        <v>66</v>
      </c>
      <c r="H715" s="23"/>
      <c r="I715" s="47"/>
      <c r="L715" s="181"/>
      <c r="M715" s="178"/>
      <c r="N715" s="23" t="s">
        <v>80</v>
      </c>
      <c r="O715" s="24">
        <v>3</v>
      </c>
      <c r="P715" s="24">
        <v>15</v>
      </c>
      <c r="Q715" s="23" t="s">
        <v>66</v>
      </c>
      <c r="R715" s="23"/>
      <c r="S715" s="47"/>
    </row>
    <row r="716" spans="2:19" x14ac:dyDescent="0.25">
      <c r="B716" s="181"/>
      <c r="C716" s="178"/>
      <c r="D716" s="23" t="s">
        <v>81</v>
      </c>
      <c r="E716" s="24">
        <v>4</v>
      </c>
      <c r="F716" s="24">
        <v>16</v>
      </c>
      <c r="G716" s="23" t="s">
        <v>66</v>
      </c>
      <c r="H716" s="23"/>
      <c r="I716" s="47"/>
      <c r="L716" s="181"/>
      <c r="M716" s="178"/>
      <c r="N716" s="23" t="s">
        <v>81</v>
      </c>
      <c r="O716" s="24">
        <v>4</v>
      </c>
      <c r="P716" s="24">
        <v>16</v>
      </c>
      <c r="Q716" s="23" t="s">
        <v>66</v>
      </c>
      <c r="R716" s="23"/>
      <c r="S716" s="47"/>
    </row>
    <row r="717" spans="2:19" x14ac:dyDescent="0.25">
      <c r="B717" s="181"/>
      <c r="C717" s="178"/>
      <c r="D717" s="23" t="s">
        <v>82</v>
      </c>
      <c r="E717" s="24">
        <v>5</v>
      </c>
      <c r="F717" s="24">
        <v>17</v>
      </c>
      <c r="G717" s="23" t="s">
        <v>66</v>
      </c>
      <c r="H717" s="23"/>
      <c r="I717" s="47"/>
      <c r="L717" s="181"/>
      <c r="M717" s="178"/>
      <c r="N717" s="23" t="s">
        <v>82</v>
      </c>
      <c r="O717" s="24">
        <v>5</v>
      </c>
      <c r="P717" s="24">
        <v>17</v>
      </c>
      <c r="Q717" s="23" t="s">
        <v>66</v>
      </c>
      <c r="R717" s="23"/>
      <c r="S717" s="47"/>
    </row>
    <row r="718" spans="2:19" ht="15.75" thickBot="1" x14ac:dyDescent="0.3">
      <c r="B718" s="181"/>
      <c r="C718" s="179"/>
      <c r="D718" s="23" t="s">
        <v>83</v>
      </c>
      <c r="E718" s="24">
        <v>6</v>
      </c>
      <c r="F718" s="24">
        <v>18</v>
      </c>
      <c r="G718" s="23" t="s">
        <v>66</v>
      </c>
      <c r="H718" s="23"/>
      <c r="I718" s="47"/>
      <c r="L718" s="181"/>
      <c r="M718" s="179"/>
      <c r="N718" s="23" t="s">
        <v>83</v>
      </c>
      <c r="O718" s="24">
        <v>6</v>
      </c>
      <c r="P718" s="24">
        <v>18</v>
      </c>
      <c r="Q718" s="23" t="s">
        <v>66</v>
      </c>
      <c r="R718" s="23"/>
      <c r="S718" s="47"/>
    </row>
    <row r="719" spans="2:19" x14ac:dyDescent="0.25">
      <c r="B719" s="181"/>
      <c r="C719" s="177" t="s">
        <v>84</v>
      </c>
      <c r="D719" s="23" t="s">
        <v>2</v>
      </c>
      <c r="E719" s="24">
        <v>1</v>
      </c>
      <c r="F719" s="24">
        <v>19</v>
      </c>
      <c r="G719" s="23" t="s">
        <v>66</v>
      </c>
      <c r="H719" s="23"/>
      <c r="I719" s="47"/>
      <c r="L719" s="181"/>
      <c r="M719" s="177" t="s">
        <v>84</v>
      </c>
      <c r="N719" s="23" t="s">
        <v>2</v>
      </c>
      <c r="O719" s="24">
        <v>1</v>
      </c>
      <c r="P719" s="24">
        <v>19</v>
      </c>
      <c r="Q719" s="23" t="s">
        <v>66</v>
      </c>
      <c r="R719" s="23"/>
      <c r="S719" s="47"/>
    </row>
    <row r="720" spans="2:19" x14ac:dyDescent="0.25">
      <c r="B720" s="181"/>
      <c r="C720" s="178"/>
      <c r="D720" s="23" t="s">
        <v>3</v>
      </c>
      <c r="E720" s="24">
        <v>2</v>
      </c>
      <c r="F720" s="24">
        <v>20</v>
      </c>
      <c r="G720" s="23" t="s">
        <v>66</v>
      </c>
      <c r="H720" s="23"/>
      <c r="I720" s="47"/>
      <c r="L720" s="181"/>
      <c r="M720" s="178"/>
      <c r="N720" s="23" t="s">
        <v>3</v>
      </c>
      <c r="O720" s="24">
        <v>2</v>
      </c>
      <c r="P720" s="24">
        <v>20</v>
      </c>
      <c r="Q720" s="23" t="s">
        <v>66</v>
      </c>
      <c r="R720" s="23"/>
      <c r="S720" s="47"/>
    </row>
    <row r="721" spans="2:19" x14ac:dyDescent="0.25">
      <c r="B721" s="181"/>
      <c r="C721" s="178"/>
      <c r="D721" s="23" t="s">
        <v>80</v>
      </c>
      <c r="E721" s="26">
        <v>3</v>
      </c>
      <c r="F721" s="24">
        <v>21</v>
      </c>
      <c r="G721" s="23" t="s">
        <v>66</v>
      </c>
      <c r="H721" s="23"/>
      <c r="I721" s="47"/>
      <c r="L721" s="181"/>
      <c r="M721" s="178"/>
      <c r="N721" s="23" t="s">
        <v>80</v>
      </c>
      <c r="O721" s="26">
        <v>3</v>
      </c>
      <c r="P721" s="24">
        <v>21</v>
      </c>
      <c r="Q721" s="23" t="s">
        <v>66</v>
      </c>
      <c r="R721" s="23"/>
      <c r="S721" s="47"/>
    </row>
    <row r="722" spans="2:19" x14ac:dyDescent="0.25">
      <c r="B722" s="181"/>
      <c r="C722" s="178"/>
      <c r="D722" s="23" t="s">
        <v>81</v>
      </c>
      <c r="E722" s="24">
        <v>4</v>
      </c>
      <c r="F722" s="24">
        <v>22</v>
      </c>
      <c r="G722" s="23" t="s">
        <v>66</v>
      </c>
      <c r="H722" s="23"/>
      <c r="I722" s="47"/>
      <c r="L722" s="181"/>
      <c r="M722" s="178"/>
      <c r="N722" s="23" t="s">
        <v>81</v>
      </c>
      <c r="O722" s="24">
        <v>4</v>
      </c>
      <c r="P722" s="24">
        <v>22</v>
      </c>
      <c r="Q722" s="23" t="s">
        <v>66</v>
      </c>
      <c r="R722" s="23"/>
      <c r="S722" s="47"/>
    </row>
    <row r="723" spans="2:19" x14ac:dyDescent="0.25">
      <c r="B723" s="181"/>
      <c r="C723" s="178"/>
      <c r="D723" s="23" t="s">
        <v>82</v>
      </c>
      <c r="E723" s="24">
        <v>5</v>
      </c>
      <c r="F723" s="24">
        <v>23</v>
      </c>
      <c r="G723" s="23" t="s">
        <v>66</v>
      </c>
      <c r="H723" s="23"/>
      <c r="I723" s="47"/>
      <c r="L723" s="181"/>
      <c r="M723" s="178"/>
      <c r="N723" s="23" t="s">
        <v>82</v>
      </c>
      <c r="O723" s="24">
        <v>5</v>
      </c>
      <c r="P723" s="24">
        <v>23</v>
      </c>
      <c r="Q723" s="23" t="s">
        <v>66</v>
      </c>
      <c r="R723" s="23"/>
      <c r="S723" s="47"/>
    </row>
    <row r="724" spans="2:19" ht="15.75" thickBot="1" x14ac:dyDescent="0.3">
      <c r="B724" s="182"/>
      <c r="C724" s="179"/>
      <c r="D724" s="23" t="s">
        <v>83</v>
      </c>
      <c r="E724" s="24">
        <v>6</v>
      </c>
      <c r="F724" s="24">
        <v>24</v>
      </c>
      <c r="G724" s="23" t="s">
        <v>66</v>
      </c>
      <c r="H724" s="23"/>
      <c r="I724" s="47"/>
      <c r="L724" s="182"/>
      <c r="M724" s="179"/>
      <c r="N724" s="23" t="s">
        <v>83</v>
      </c>
      <c r="O724" s="24">
        <v>6</v>
      </c>
      <c r="P724" s="24">
        <v>24</v>
      </c>
      <c r="Q724" s="23" t="s">
        <v>66</v>
      </c>
      <c r="R724" s="23"/>
      <c r="S724" s="47"/>
    </row>
    <row r="725" spans="2:19" x14ac:dyDescent="0.25">
      <c r="B725" s="189" t="s">
        <v>80</v>
      </c>
      <c r="C725" s="192" t="s">
        <v>77</v>
      </c>
      <c r="D725" s="27" t="s">
        <v>2</v>
      </c>
      <c r="E725" s="28">
        <v>1</v>
      </c>
      <c r="F725" s="28">
        <v>25</v>
      </c>
      <c r="G725" s="27" t="s">
        <v>66</v>
      </c>
      <c r="H725" s="27"/>
      <c r="I725" s="48"/>
      <c r="L725" s="189" t="s">
        <v>80</v>
      </c>
      <c r="M725" s="192" t="s">
        <v>77</v>
      </c>
      <c r="N725" s="27" t="s">
        <v>2</v>
      </c>
      <c r="O725" s="28">
        <v>1</v>
      </c>
      <c r="P725" s="28">
        <v>25</v>
      </c>
      <c r="Q725" s="27" t="s">
        <v>66</v>
      </c>
      <c r="R725" s="27"/>
      <c r="S725" s="48"/>
    </row>
    <row r="726" spans="2:19" x14ac:dyDescent="0.25">
      <c r="B726" s="190"/>
      <c r="C726" s="193"/>
      <c r="D726" s="27" t="s">
        <v>3</v>
      </c>
      <c r="E726" s="28">
        <v>2</v>
      </c>
      <c r="F726" s="28">
        <v>26</v>
      </c>
      <c r="G726" s="27" t="s">
        <v>66</v>
      </c>
      <c r="H726" s="27"/>
      <c r="I726" s="48"/>
      <c r="L726" s="190"/>
      <c r="M726" s="193"/>
      <c r="N726" s="27" t="s">
        <v>3</v>
      </c>
      <c r="O726" s="28">
        <v>2</v>
      </c>
      <c r="P726" s="28">
        <v>26</v>
      </c>
      <c r="Q726" s="27" t="s">
        <v>66</v>
      </c>
      <c r="R726" s="27"/>
      <c r="S726" s="48"/>
    </row>
    <row r="727" spans="2:19" x14ac:dyDescent="0.25">
      <c r="B727" s="190"/>
      <c r="C727" s="193"/>
      <c r="D727" s="27" t="s">
        <v>80</v>
      </c>
      <c r="E727" s="28">
        <v>3</v>
      </c>
      <c r="F727" s="28">
        <v>27</v>
      </c>
      <c r="G727" s="27" t="s">
        <v>66</v>
      </c>
      <c r="H727" s="27"/>
      <c r="I727" s="48"/>
      <c r="L727" s="190"/>
      <c r="M727" s="193"/>
      <c r="N727" s="27" t="s">
        <v>80</v>
      </c>
      <c r="O727" s="28">
        <v>3</v>
      </c>
      <c r="P727" s="28">
        <v>27</v>
      </c>
      <c r="Q727" s="27" t="s">
        <v>66</v>
      </c>
      <c r="R727" s="27"/>
      <c r="S727" s="48"/>
    </row>
    <row r="728" spans="2:19" x14ac:dyDescent="0.25">
      <c r="B728" s="190"/>
      <c r="C728" s="193"/>
      <c r="D728" s="27" t="s">
        <v>81</v>
      </c>
      <c r="E728" s="28">
        <v>4</v>
      </c>
      <c r="F728" s="28">
        <v>28</v>
      </c>
      <c r="G728" s="27" t="s">
        <v>66</v>
      </c>
      <c r="H728" s="27"/>
      <c r="I728" s="48"/>
      <c r="L728" s="190"/>
      <c r="M728" s="193"/>
      <c r="N728" s="27" t="s">
        <v>81</v>
      </c>
      <c r="O728" s="28">
        <v>4</v>
      </c>
      <c r="P728" s="28">
        <v>28</v>
      </c>
      <c r="Q728" s="27" t="s">
        <v>66</v>
      </c>
      <c r="R728" s="27"/>
      <c r="S728" s="48"/>
    </row>
    <row r="729" spans="2:19" x14ac:dyDescent="0.25">
      <c r="B729" s="190"/>
      <c r="C729" s="193"/>
      <c r="D729" s="27" t="s">
        <v>82</v>
      </c>
      <c r="E729" s="28">
        <v>5</v>
      </c>
      <c r="F729" s="28">
        <v>29</v>
      </c>
      <c r="G729" s="27" t="s">
        <v>66</v>
      </c>
      <c r="H729" s="27"/>
      <c r="I729" s="48"/>
      <c r="L729" s="190"/>
      <c r="M729" s="193"/>
      <c r="N729" s="27" t="s">
        <v>82</v>
      </c>
      <c r="O729" s="28">
        <v>5</v>
      </c>
      <c r="P729" s="28">
        <v>29</v>
      </c>
      <c r="Q729" s="27" t="s">
        <v>66</v>
      </c>
      <c r="R729" s="27"/>
      <c r="S729" s="48"/>
    </row>
    <row r="730" spans="2:19" ht="15.75" thickBot="1" x14ac:dyDescent="0.3">
      <c r="B730" s="190"/>
      <c r="C730" s="194"/>
      <c r="D730" s="27" t="s">
        <v>83</v>
      </c>
      <c r="E730" s="28">
        <v>6</v>
      </c>
      <c r="F730" s="28">
        <v>30</v>
      </c>
      <c r="G730" s="27" t="s">
        <v>66</v>
      </c>
      <c r="H730" s="27"/>
      <c r="I730" s="48"/>
      <c r="L730" s="190"/>
      <c r="M730" s="194"/>
      <c r="N730" s="27" t="s">
        <v>83</v>
      </c>
      <c r="O730" s="28">
        <v>6</v>
      </c>
      <c r="P730" s="28">
        <v>30</v>
      </c>
      <c r="Q730" s="27" t="s">
        <v>66</v>
      </c>
      <c r="R730" s="27"/>
      <c r="S730" s="48"/>
    </row>
    <row r="731" spans="2:19" x14ac:dyDescent="0.25">
      <c r="B731" s="190"/>
      <c r="C731" s="192" t="s">
        <v>84</v>
      </c>
      <c r="D731" s="27" t="s">
        <v>2</v>
      </c>
      <c r="E731" s="28">
        <v>1</v>
      </c>
      <c r="F731" s="28">
        <v>31</v>
      </c>
      <c r="G731" s="27" t="s">
        <v>66</v>
      </c>
      <c r="H731" s="27"/>
      <c r="I731" s="48"/>
      <c r="L731" s="190"/>
      <c r="M731" s="192" t="s">
        <v>84</v>
      </c>
      <c r="N731" s="27" t="s">
        <v>2</v>
      </c>
      <c r="O731" s="28">
        <v>1</v>
      </c>
      <c r="P731" s="28">
        <v>31</v>
      </c>
      <c r="Q731" s="27" t="s">
        <v>66</v>
      </c>
      <c r="R731" s="27"/>
      <c r="S731" s="48"/>
    </row>
    <row r="732" spans="2:19" x14ac:dyDescent="0.25">
      <c r="B732" s="190"/>
      <c r="C732" s="193"/>
      <c r="D732" s="27" t="s">
        <v>3</v>
      </c>
      <c r="E732" s="28">
        <v>2</v>
      </c>
      <c r="F732" s="28">
        <v>32</v>
      </c>
      <c r="G732" s="27" t="s">
        <v>66</v>
      </c>
      <c r="H732" s="27"/>
      <c r="I732" s="48"/>
      <c r="L732" s="190"/>
      <c r="M732" s="193"/>
      <c r="N732" s="27" t="s">
        <v>3</v>
      </c>
      <c r="O732" s="28">
        <v>2</v>
      </c>
      <c r="P732" s="28">
        <v>32</v>
      </c>
      <c r="Q732" s="27" t="s">
        <v>66</v>
      </c>
      <c r="R732" s="27"/>
      <c r="S732" s="48"/>
    </row>
    <row r="733" spans="2:19" x14ac:dyDescent="0.25">
      <c r="B733" s="190"/>
      <c r="C733" s="193"/>
      <c r="D733" s="27" t="s">
        <v>80</v>
      </c>
      <c r="E733" s="28">
        <v>3</v>
      </c>
      <c r="F733" s="28">
        <v>33</v>
      </c>
      <c r="G733" s="27" t="s">
        <v>66</v>
      </c>
      <c r="H733" s="27"/>
      <c r="I733" s="48"/>
      <c r="L733" s="190"/>
      <c r="M733" s="193"/>
      <c r="N733" s="27" t="s">
        <v>80</v>
      </c>
      <c r="O733" s="28">
        <v>3</v>
      </c>
      <c r="P733" s="28">
        <v>33</v>
      </c>
      <c r="Q733" s="27" t="s">
        <v>66</v>
      </c>
      <c r="R733" s="27"/>
      <c r="S733" s="48"/>
    </row>
    <row r="734" spans="2:19" x14ac:dyDescent="0.25">
      <c r="B734" s="190"/>
      <c r="C734" s="193"/>
      <c r="D734" s="27" t="s">
        <v>81</v>
      </c>
      <c r="E734" s="28">
        <v>4</v>
      </c>
      <c r="F734" s="28">
        <v>34</v>
      </c>
      <c r="G734" s="27" t="s">
        <v>66</v>
      </c>
      <c r="H734" s="27"/>
      <c r="I734" s="48"/>
      <c r="L734" s="190"/>
      <c r="M734" s="193"/>
      <c r="N734" s="27" t="s">
        <v>81</v>
      </c>
      <c r="O734" s="28">
        <v>4</v>
      </c>
      <c r="P734" s="28">
        <v>34</v>
      </c>
      <c r="Q734" s="27" t="s">
        <v>66</v>
      </c>
      <c r="R734" s="27"/>
      <c r="S734" s="48"/>
    </row>
    <row r="735" spans="2:19" x14ac:dyDescent="0.25">
      <c r="B735" s="190"/>
      <c r="C735" s="193"/>
      <c r="D735" s="27" t="s">
        <v>82</v>
      </c>
      <c r="E735" s="28">
        <v>5</v>
      </c>
      <c r="F735" s="28">
        <v>35</v>
      </c>
      <c r="G735" s="27" t="s">
        <v>66</v>
      </c>
      <c r="H735" s="27"/>
      <c r="I735" s="48"/>
      <c r="L735" s="190"/>
      <c r="M735" s="193"/>
      <c r="N735" s="27" t="s">
        <v>82</v>
      </c>
      <c r="O735" s="28">
        <v>5</v>
      </c>
      <c r="P735" s="28">
        <v>35</v>
      </c>
      <c r="Q735" s="27" t="s">
        <v>66</v>
      </c>
      <c r="R735" s="27"/>
      <c r="S735" s="48"/>
    </row>
    <row r="736" spans="2:19" ht="15.75" thickBot="1" x14ac:dyDescent="0.3">
      <c r="B736" s="191"/>
      <c r="C736" s="194"/>
      <c r="D736" s="27" t="s">
        <v>83</v>
      </c>
      <c r="E736" s="28">
        <v>6</v>
      </c>
      <c r="F736" s="28">
        <v>36</v>
      </c>
      <c r="G736" s="27" t="s">
        <v>66</v>
      </c>
      <c r="H736" s="27"/>
      <c r="I736" s="48"/>
      <c r="L736" s="191"/>
      <c r="M736" s="194"/>
      <c r="N736" s="27" t="s">
        <v>83</v>
      </c>
      <c r="O736" s="28">
        <v>6</v>
      </c>
      <c r="P736" s="28">
        <v>36</v>
      </c>
      <c r="Q736" s="27" t="s">
        <v>66</v>
      </c>
      <c r="R736" s="27"/>
      <c r="S736" s="48"/>
    </row>
    <row r="737" spans="2:19" x14ac:dyDescent="0.25">
      <c r="B737" s="183" t="s">
        <v>81</v>
      </c>
      <c r="C737" s="186" t="s">
        <v>77</v>
      </c>
      <c r="D737" s="29" t="s">
        <v>2</v>
      </c>
      <c r="E737" s="30">
        <v>1</v>
      </c>
      <c r="F737" s="30">
        <v>37</v>
      </c>
      <c r="G737" s="29" t="s">
        <v>66</v>
      </c>
      <c r="H737" s="29"/>
      <c r="I737" s="49"/>
      <c r="L737" s="183" t="s">
        <v>81</v>
      </c>
      <c r="M737" s="186" t="s">
        <v>77</v>
      </c>
      <c r="N737" s="29" t="s">
        <v>2</v>
      </c>
      <c r="O737" s="30">
        <v>1</v>
      </c>
      <c r="P737" s="30">
        <v>37</v>
      </c>
      <c r="Q737" s="29" t="s">
        <v>66</v>
      </c>
      <c r="R737" s="29"/>
      <c r="S737" s="49"/>
    </row>
    <row r="738" spans="2:19" x14ac:dyDescent="0.25">
      <c r="B738" s="184"/>
      <c r="C738" s="187"/>
      <c r="D738" s="29" t="s">
        <v>3</v>
      </c>
      <c r="E738" s="30">
        <v>2</v>
      </c>
      <c r="F738" s="30">
        <v>38</v>
      </c>
      <c r="G738" s="29" t="s">
        <v>66</v>
      </c>
      <c r="H738" s="29"/>
      <c r="I738" s="49"/>
      <c r="L738" s="184"/>
      <c r="M738" s="187"/>
      <c r="N738" s="29" t="s">
        <v>3</v>
      </c>
      <c r="O738" s="30">
        <v>2</v>
      </c>
      <c r="P738" s="30">
        <v>38</v>
      </c>
      <c r="Q738" s="29" t="s">
        <v>66</v>
      </c>
      <c r="R738" s="29"/>
      <c r="S738" s="49"/>
    </row>
    <row r="739" spans="2:19" x14ac:dyDescent="0.25">
      <c r="B739" s="184"/>
      <c r="C739" s="187"/>
      <c r="D739" s="29" t="s">
        <v>80</v>
      </c>
      <c r="E739" s="30">
        <v>3</v>
      </c>
      <c r="F739" s="30">
        <v>39</v>
      </c>
      <c r="G739" s="29" t="s">
        <v>66</v>
      </c>
      <c r="H739" s="29"/>
      <c r="I739" s="49"/>
      <c r="L739" s="184"/>
      <c r="M739" s="187"/>
      <c r="N739" s="29" t="s">
        <v>80</v>
      </c>
      <c r="O739" s="30">
        <v>3</v>
      </c>
      <c r="P739" s="30">
        <v>39</v>
      </c>
      <c r="Q739" s="29" t="s">
        <v>66</v>
      </c>
      <c r="R739" s="29"/>
      <c r="S739" s="49"/>
    </row>
    <row r="740" spans="2:19" x14ac:dyDescent="0.25">
      <c r="B740" s="184"/>
      <c r="C740" s="187"/>
      <c r="D740" s="29" t="s">
        <v>81</v>
      </c>
      <c r="E740" s="30">
        <v>4</v>
      </c>
      <c r="F740" s="30">
        <v>40</v>
      </c>
      <c r="G740" s="29" t="s">
        <v>66</v>
      </c>
      <c r="H740" s="29"/>
      <c r="I740" s="49"/>
      <c r="L740" s="184"/>
      <c r="M740" s="187"/>
      <c r="N740" s="29" t="s">
        <v>81</v>
      </c>
      <c r="O740" s="30">
        <v>4</v>
      </c>
      <c r="P740" s="30">
        <v>40</v>
      </c>
      <c r="Q740" s="29" t="s">
        <v>66</v>
      </c>
      <c r="R740" s="29"/>
      <c r="S740" s="49"/>
    </row>
    <row r="741" spans="2:19" x14ac:dyDescent="0.25">
      <c r="B741" s="184"/>
      <c r="C741" s="187"/>
      <c r="D741" s="29" t="s">
        <v>82</v>
      </c>
      <c r="E741" s="30">
        <v>5</v>
      </c>
      <c r="F741" s="30">
        <v>41</v>
      </c>
      <c r="G741" s="29" t="s">
        <v>66</v>
      </c>
      <c r="H741" s="29"/>
      <c r="I741" s="49"/>
      <c r="L741" s="184"/>
      <c r="M741" s="187"/>
      <c r="N741" s="29" t="s">
        <v>82</v>
      </c>
      <c r="O741" s="30">
        <v>5</v>
      </c>
      <c r="P741" s="30">
        <v>41</v>
      </c>
      <c r="Q741" s="29" t="s">
        <v>66</v>
      </c>
      <c r="R741" s="29"/>
      <c r="S741" s="49"/>
    </row>
    <row r="742" spans="2:19" ht="15.75" thickBot="1" x14ac:dyDescent="0.3">
      <c r="B742" s="184"/>
      <c r="C742" s="188"/>
      <c r="D742" s="29" t="s">
        <v>83</v>
      </c>
      <c r="E742" s="30">
        <v>6</v>
      </c>
      <c r="F742" s="30">
        <v>42</v>
      </c>
      <c r="G742" s="29" t="s">
        <v>66</v>
      </c>
      <c r="H742" s="29"/>
      <c r="I742" s="49"/>
      <c r="L742" s="184"/>
      <c r="M742" s="188"/>
      <c r="N742" s="29" t="s">
        <v>83</v>
      </c>
      <c r="O742" s="30">
        <v>6</v>
      </c>
      <c r="P742" s="30">
        <v>42</v>
      </c>
      <c r="Q742" s="29" t="s">
        <v>66</v>
      </c>
      <c r="R742" s="29"/>
      <c r="S742" s="49"/>
    </row>
    <row r="743" spans="2:19" x14ac:dyDescent="0.25">
      <c r="B743" s="184"/>
      <c r="C743" s="186" t="s">
        <v>84</v>
      </c>
      <c r="D743" s="29" t="s">
        <v>2</v>
      </c>
      <c r="E743" s="30">
        <v>1</v>
      </c>
      <c r="F743" s="30">
        <v>43</v>
      </c>
      <c r="G743" s="29" t="s">
        <v>66</v>
      </c>
      <c r="H743" s="29"/>
      <c r="I743" s="49"/>
      <c r="L743" s="184"/>
      <c r="M743" s="186" t="s">
        <v>84</v>
      </c>
      <c r="N743" s="29" t="s">
        <v>2</v>
      </c>
      <c r="O743" s="30">
        <v>1</v>
      </c>
      <c r="P743" s="30">
        <v>43</v>
      </c>
      <c r="Q743" s="29" t="s">
        <v>66</v>
      </c>
      <c r="R743" s="29"/>
      <c r="S743" s="49"/>
    </row>
    <row r="744" spans="2:19" x14ac:dyDescent="0.25">
      <c r="B744" s="184"/>
      <c r="C744" s="187"/>
      <c r="D744" s="29" t="s">
        <v>3</v>
      </c>
      <c r="E744" s="30">
        <v>2</v>
      </c>
      <c r="F744" s="30">
        <v>44</v>
      </c>
      <c r="G744" s="29" t="s">
        <v>66</v>
      </c>
      <c r="H744" s="29"/>
      <c r="I744" s="49"/>
      <c r="L744" s="184"/>
      <c r="M744" s="187"/>
      <c r="N744" s="29" t="s">
        <v>3</v>
      </c>
      <c r="O744" s="30">
        <v>2</v>
      </c>
      <c r="P744" s="30">
        <v>44</v>
      </c>
      <c r="Q744" s="29" t="s">
        <v>66</v>
      </c>
      <c r="R744" s="29"/>
      <c r="S744" s="49"/>
    </row>
    <row r="745" spans="2:19" x14ac:dyDescent="0.25">
      <c r="B745" s="184"/>
      <c r="C745" s="187"/>
      <c r="D745" s="29" t="s">
        <v>80</v>
      </c>
      <c r="E745" s="30">
        <v>3</v>
      </c>
      <c r="F745" s="30">
        <v>45</v>
      </c>
      <c r="G745" s="29" t="s">
        <v>66</v>
      </c>
      <c r="H745" s="29"/>
      <c r="I745" s="49"/>
      <c r="L745" s="184"/>
      <c r="M745" s="187"/>
      <c r="N745" s="29" t="s">
        <v>80</v>
      </c>
      <c r="O745" s="30">
        <v>3</v>
      </c>
      <c r="P745" s="30">
        <v>45</v>
      </c>
      <c r="Q745" s="29" t="s">
        <v>66</v>
      </c>
      <c r="R745" s="29"/>
      <c r="S745" s="49"/>
    </row>
    <row r="746" spans="2:19" x14ac:dyDescent="0.25">
      <c r="B746" s="184"/>
      <c r="C746" s="187"/>
      <c r="D746" s="29" t="s">
        <v>81</v>
      </c>
      <c r="E746" s="30">
        <v>4</v>
      </c>
      <c r="F746" s="30">
        <v>46</v>
      </c>
      <c r="G746" s="29" t="s">
        <v>66</v>
      </c>
      <c r="H746" s="29"/>
      <c r="I746" s="49"/>
      <c r="L746" s="184"/>
      <c r="M746" s="187"/>
      <c r="N746" s="29" t="s">
        <v>81</v>
      </c>
      <c r="O746" s="30">
        <v>4</v>
      </c>
      <c r="P746" s="30">
        <v>46</v>
      </c>
      <c r="Q746" s="29" t="s">
        <v>66</v>
      </c>
      <c r="R746" s="29"/>
      <c r="S746" s="49"/>
    </row>
    <row r="747" spans="2:19" x14ac:dyDescent="0.25">
      <c r="B747" s="184"/>
      <c r="C747" s="187"/>
      <c r="D747" s="29" t="s">
        <v>82</v>
      </c>
      <c r="E747" s="30">
        <v>5</v>
      </c>
      <c r="F747" s="30">
        <v>47</v>
      </c>
      <c r="G747" s="29" t="s">
        <v>66</v>
      </c>
      <c r="H747" s="29"/>
      <c r="I747" s="49"/>
      <c r="L747" s="184"/>
      <c r="M747" s="187"/>
      <c r="N747" s="29" t="s">
        <v>82</v>
      </c>
      <c r="O747" s="30">
        <v>5</v>
      </c>
      <c r="P747" s="30">
        <v>47</v>
      </c>
      <c r="Q747" s="29" t="s">
        <v>66</v>
      </c>
      <c r="R747" s="29"/>
      <c r="S747" s="49"/>
    </row>
    <row r="748" spans="2:19" ht="15.75" thickBot="1" x14ac:dyDescent="0.3">
      <c r="B748" s="185"/>
      <c r="C748" s="188"/>
      <c r="D748" s="29" t="s">
        <v>83</v>
      </c>
      <c r="E748" s="30">
        <v>6</v>
      </c>
      <c r="F748" s="30">
        <v>48</v>
      </c>
      <c r="G748" s="29" t="s">
        <v>66</v>
      </c>
      <c r="H748" s="29"/>
      <c r="I748" s="49"/>
      <c r="L748" s="185"/>
      <c r="M748" s="188"/>
      <c r="N748" s="29" t="s">
        <v>83</v>
      </c>
      <c r="O748" s="30">
        <v>6</v>
      </c>
      <c r="P748" s="30">
        <v>48</v>
      </c>
      <c r="Q748" s="29" t="s">
        <v>66</v>
      </c>
      <c r="R748" s="29"/>
      <c r="S748" s="49"/>
    </row>
    <row r="750" spans="2:19" ht="15.75" thickBot="1" x14ac:dyDescent="0.3"/>
    <row r="751" spans="2:19" ht="15.75" thickBot="1" x14ac:dyDescent="0.3">
      <c r="B751" s="171" t="s">
        <v>280</v>
      </c>
      <c r="C751" s="172"/>
      <c r="D751" s="172"/>
      <c r="E751" s="172"/>
      <c r="F751" s="172"/>
      <c r="G751" s="172"/>
      <c r="H751" s="172"/>
      <c r="I751" s="173"/>
      <c r="L751" s="171" t="s">
        <v>281</v>
      </c>
      <c r="M751" s="172"/>
      <c r="N751" s="172"/>
      <c r="O751" s="172"/>
      <c r="P751" s="172"/>
      <c r="Q751" s="172"/>
      <c r="R751" s="172"/>
      <c r="S751" s="173"/>
    </row>
    <row r="753" spans="2:19" ht="26.25" thickBot="1" x14ac:dyDescent="0.3">
      <c r="B753" s="15" t="s">
        <v>70</v>
      </c>
      <c r="C753" s="16" t="s">
        <v>71</v>
      </c>
      <c r="D753" s="15" t="s">
        <v>72</v>
      </c>
      <c r="E753" s="17" t="s">
        <v>73</v>
      </c>
      <c r="F753" s="17" t="s">
        <v>74</v>
      </c>
      <c r="G753" s="15" t="s">
        <v>75</v>
      </c>
      <c r="H753" s="15" t="s">
        <v>55</v>
      </c>
      <c r="I753" s="15" t="s">
        <v>76</v>
      </c>
      <c r="L753" s="15" t="s">
        <v>70</v>
      </c>
      <c r="M753" s="16" t="s">
        <v>71</v>
      </c>
      <c r="N753" s="15" t="s">
        <v>72</v>
      </c>
      <c r="O753" s="17" t="s">
        <v>73</v>
      </c>
      <c r="P753" s="17" t="s">
        <v>74</v>
      </c>
      <c r="Q753" s="15" t="s">
        <v>75</v>
      </c>
      <c r="R753" s="15" t="s">
        <v>55</v>
      </c>
      <c r="S753" s="15" t="s">
        <v>76</v>
      </c>
    </row>
    <row r="754" spans="2:19" ht="15" customHeight="1" x14ac:dyDescent="0.25">
      <c r="B754" s="174" t="s">
        <v>2</v>
      </c>
      <c r="C754" s="168" t="s">
        <v>77</v>
      </c>
      <c r="D754" s="18" t="s">
        <v>2</v>
      </c>
      <c r="E754" s="19">
        <v>1</v>
      </c>
      <c r="F754" s="19">
        <v>1</v>
      </c>
      <c r="G754" s="18" t="s">
        <v>66</v>
      </c>
      <c r="H754" s="32"/>
      <c r="I754" s="50"/>
      <c r="L754" s="174" t="s">
        <v>2</v>
      </c>
      <c r="M754" s="168" t="s">
        <v>77</v>
      </c>
      <c r="N754" s="18" t="s">
        <v>2</v>
      </c>
      <c r="O754" s="19">
        <v>1</v>
      </c>
      <c r="P754" s="19">
        <v>1</v>
      </c>
      <c r="Q754" s="18" t="s">
        <v>66</v>
      </c>
      <c r="R754" s="32"/>
      <c r="S754" s="50"/>
    </row>
    <row r="755" spans="2:19" x14ac:dyDescent="0.25">
      <c r="B755" s="175"/>
      <c r="C755" s="169"/>
      <c r="D755" s="18" t="s">
        <v>3</v>
      </c>
      <c r="E755" s="19">
        <v>2</v>
      </c>
      <c r="F755" s="19">
        <v>2</v>
      </c>
      <c r="G755" s="18" t="s">
        <v>66</v>
      </c>
      <c r="H755" s="32"/>
      <c r="I755" s="50"/>
      <c r="L755" s="175"/>
      <c r="M755" s="169"/>
      <c r="N755" s="18" t="s">
        <v>3</v>
      </c>
      <c r="O755" s="19">
        <v>2</v>
      </c>
      <c r="P755" s="19">
        <v>2</v>
      </c>
      <c r="Q755" s="18" t="s">
        <v>66</v>
      </c>
      <c r="R755" s="32"/>
      <c r="S755" s="50"/>
    </row>
    <row r="756" spans="2:19" x14ac:dyDescent="0.25">
      <c r="B756" s="175"/>
      <c r="C756" s="169"/>
      <c r="D756" s="18" t="s">
        <v>80</v>
      </c>
      <c r="E756" s="20">
        <v>3</v>
      </c>
      <c r="F756" s="20">
        <v>3</v>
      </c>
      <c r="G756" s="18" t="s">
        <v>66</v>
      </c>
      <c r="H756" s="32"/>
      <c r="I756" s="50"/>
      <c r="L756" s="175"/>
      <c r="M756" s="169"/>
      <c r="N756" s="18" t="s">
        <v>80</v>
      </c>
      <c r="O756" s="20">
        <v>3</v>
      </c>
      <c r="P756" s="20">
        <v>3</v>
      </c>
      <c r="Q756" s="18" t="s">
        <v>66</v>
      </c>
      <c r="R756" s="32"/>
      <c r="S756" s="50"/>
    </row>
    <row r="757" spans="2:19" x14ac:dyDescent="0.25">
      <c r="B757" s="175"/>
      <c r="C757" s="169"/>
      <c r="D757" s="18" t="s">
        <v>81</v>
      </c>
      <c r="E757" s="20">
        <v>4</v>
      </c>
      <c r="F757" s="20">
        <v>4</v>
      </c>
      <c r="G757" s="18" t="s">
        <v>66</v>
      </c>
      <c r="H757" s="32"/>
      <c r="I757" s="50"/>
      <c r="L757" s="175"/>
      <c r="M757" s="169"/>
      <c r="N757" s="18" t="s">
        <v>81</v>
      </c>
      <c r="O757" s="20">
        <v>4</v>
      </c>
      <c r="P757" s="20">
        <v>4</v>
      </c>
      <c r="Q757" s="18" t="s">
        <v>66</v>
      </c>
      <c r="R757" s="32"/>
      <c r="S757" s="50"/>
    </row>
    <row r="758" spans="2:19" x14ac:dyDescent="0.25">
      <c r="B758" s="175"/>
      <c r="C758" s="169"/>
      <c r="D758" s="18" t="s">
        <v>82</v>
      </c>
      <c r="E758" s="20">
        <v>5</v>
      </c>
      <c r="F758" s="20">
        <v>5</v>
      </c>
      <c r="G758" s="18" t="s">
        <v>66</v>
      </c>
      <c r="H758" s="32"/>
      <c r="I758" s="50"/>
      <c r="L758" s="175"/>
      <c r="M758" s="169"/>
      <c r="N758" s="18" t="s">
        <v>82</v>
      </c>
      <c r="O758" s="20">
        <v>5</v>
      </c>
      <c r="P758" s="20">
        <v>5</v>
      </c>
      <c r="Q758" s="18" t="s">
        <v>66</v>
      </c>
      <c r="R758" s="32"/>
      <c r="S758" s="50"/>
    </row>
    <row r="759" spans="2:19" ht="15.75" thickBot="1" x14ac:dyDescent="0.3">
      <c r="B759" s="175"/>
      <c r="C759" s="170"/>
      <c r="D759" s="18" t="s">
        <v>83</v>
      </c>
      <c r="E759" s="20">
        <v>6</v>
      </c>
      <c r="F759" s="20">
        <v>6</v>
      </c>
      <c r="G759" s="18" t="s">
        <v>66</v>
      </c>
      <c r="H759" s="32"/>
      <c r="I759" s="50"/>
      <c r="L759" s="175"/>
      <c r="M759" s="170"/>
      <c r="N759" s="18" t="s">
        <v>83</v>
      </c>
      <c r="O759" s="20">
        <v>6</v>
      </c>
      <c r="P759" s="20">
        <v>6</v>
      </c>
      <c r="Q759" s="18" t="s">
        <v>66</v>
      </c>
      <c r="R759" s="32"/>
      <c r="S759" s="50"/>
    </row>
    <row r="760" spans="2:19" x14ac:dyDescent="0.25">
      <c r="B760" s="175"/>
      <c r="C760" s="168" t="s">
        <v>84</v>
      </c>
      <c r="D760" s="18" t="s">
        <v>2</v>
      </c>
      <c r="E760" s="19">
        <v>1</v>
      </c>
      <c r="F760" s="19">
        <v>7</v>
      </c>
      <c r="G760" s="18" t="s">
        <v>66</v>
      </c>
      <c r="H760" s="32"/>
      <c r="I760" s="50"/>
      <c r="L760" s="175"/>
      <c r="M760" s="168" t="s">
        <v>84</v>
      </c>
      <c r="N760" s="18" t="s">
        <v>2</v>
      </c>
      <c r="O760" s="19">
        <v>1</v>
      </c>
      <c r="P760" s="19">
        <v>7</v>
      </c>
      <c r="Q760" s="18" t="s">
        <v>66</v>
      </c>
      <c r="R760" s="32"/>
      <c r="S760" s="50"/>
    </row>
    <row r="761" spans="2:19" x14ac:dyDescent="0.25">
      <c r="B761" s="175"/>
      <c r="C761" s="169"/>
      <c r="D761" s="18" t="s">
        <v>3</v>
      </c>
      <c r="E761" s="19">
        <v>2</v>
      </c>
      <c r="F761" s="19">
        <v>8</v>
      </c>
      <c r="G761" s="18" t="s">
        <v>66</v>
      </c>
      <c r="H761" s="32"/>
      <c r="I761" s="50"/>
      <c r="L761" s="175"/>
      <c r="M761" s="169"/>
      <c r="N761" s="18" t="s">
        <v>3</v>
      </c>
      <c r="O761" s="19">
        <v>2</v>
      </c>
      <c r="P761" s="19">
        <v>8</v>
      </c>
      <c r="Q761" s="18" t="s">
        <v>66</v>
      </c>
      <c r="R761" s="32"/>
      <c r="S761" s="50"/>
    </row>
    <row r="762" spans="2:19" x14ac:dyDescent="0.25">
      <c r="B762" s="175"/>
      <c r="C762" s="169"/>
      <c r="D762" s="18" t="s">
        <v>80</v>
      </c>
      <c r="E762" s="20">
        <v>3</v>
      </c>
      <c r="F762" s="20">
        <v>9</v>
      </c>
      <c r="G762" s="18" t="s">
        <v>66</v>
      </c>
      <c r="H762" s="32"/>
      <c r="I762" s="50"/>
      <c r="L762" s="175"/>
      <c r="M762" s="169"/>
      <c r="N762" s="18" t="s">
        <v>80</v>
      </c>
      <c r="O762" s="20">
        <v>3</v>
      </c>
      <c r="P762" s="20">
        <v>9</v>
      </c>
      <c r="Q762" s="18" t="s">
        <v>66</v>
      </c>
      <c r="R762" s="32"/>
      <c r="S762" s="50"/>
    </row>
    <row r="763" spans="2:19" x14ac:dyDescent="0.25">
      <c r="B763" s="175"/>
      <c r="C763" s="169"/>
      <c r="D763" s="18" t="s">
        <v>81</v>
      </c>
      <c r="E763" s="20">
        <v>4</v>
      </c>
      <c r="F763" s="20">
        <v>10</v>
      </c>
      <c r="G763" s="18" t="s">
        <v>66</v>
      </c>
      <c r="H763" s="32"/>
      <c r="I763" s="50"/>
      <c r="L763" s="175"/>
      <c r="M763" s="169"/>
      <c r="N763" s="18" t="s">
        <v>81</v>
      </c>
      <c r="O763" s="20">
        <v>4</v>
      </c>
      <c r="P763" s="20">
        <v>10</v>
      </c>
      <c r="Q763" s="18" t="s">
        <v>66</v>
      </c>
      <c r="R763" s="32"/>
      <c r="S763" s="50"/>
    </row>
    <row r="764" spans="2:19" x14ac:dyDescent="0.25">
      <c r="B764" s="175"/>
      <c r="C764" s="169"/>
      <c r="D764" s="18" t="s">
        <v>82</v>
      </c>
      <c r="E764" s="20">
        <v>5</v>
      </c>
      <c r="F764" s="20">
        <v>11</v>
      </c>
      <c r="G764" s="18" t="s">
        <v>66</v>
      </c>
      <c r="H764" s="32"/>
      <c r="I764" s="50"/>
      <c r="L764" s="175"/>
      <c r="M764" s="169"/>
      <c r="N764" s="18" t="s">
        <v>82</v>
      </c>
      <c r="O764" s="20">
        <v>5</v>
      </c>
      <c r="P764" s="20">
        <v>11</v>
      </c>
      <c r="Q764" s="18" t="s">
        <v>66</v>
      </c>
      <c r="R764" s="32"/>
      <c r="S764" s="50"/>
    </row>
    <row r="765" spans="2:19" ht="15.75" thickBot="1" x14ac:dyDescent="0.3">
      <c r="B765" s="176"/>
      <c r="C765" s="170"/>
      <c r="D765" s="18" t="s">
        <v>83</v>
      </c>
      <c r="E765" s="20">
        <v>6</v>
      </c>
      <c r="F765" s="20">
        <v>12</v>
      </c>
      <c r="G765" s="18" t="s">
        <v>66</v>
      </c>
      <c r="H765" s="32"/>
      <c r="I765" s="50"/>
      <c r="L765" s="176"/>
      <c r="M765" s="170"/>
      <c r="N765" s="18" t="s">
        <v>83</v>
      </c>
      <c r="O765" s="20">
        <v>6</v>
      </c>
      <c r="P765" s="20">
        <v>12</v>
      </c>
      <c r="Q765" s="18" t="s">
        <v>66</v>
      </c>
      <c r="R765" s="32"/>
      <c r="S765" s="50"/>
    </row>
    <row r="766" spans="2:19" ht="15" customHeight="1" x14ac:dyDescent="0.25">
      <c r="B766" s="180" t="s">
        <v>3</v>
      </c>
      <c r="C766" s="177" t="s">
        <v>77</v>
      </c>
      <c r="D766" s="21" t="s">
        <v>2</v>
      </c>
      <c r="E766" s="22">
        <v>1</v>
      </c>
      <c r="F766" s="22">
        <v>13</v>
      </c>
      <c r="G766" s="21" t="s">
        <v>78</v>
      </c>
      <c r="H766" s="159" t="s">
        <v>126</v>
      </c>
      <c r="I766" s="162" t="s">
        <v>156</v>
      </c>
      <c r="L766" s="180" t="s">
        <v>3</v>
      </c>
      <c r="M766" s="177" t="s">
        <v>77</v>
      </c>
      <c r="N766" s="21" t="s">
        <v>2</v>
      </c>
      <c r="O766" s="22">
        <v>1</v>
      </c>
      <c r="P766" s="22">
        <v>13</v>
      </c>
      <c r="Q766" s="21" t="s">
        <v>78</v>
      </c>
      <c r="R766" s="159" t="s">
        <v>126</v>
      </c>
      <c r="S766" s="162" t="s">
        <v>171</v>
      </c>
    </row>
    <row r="767" spans="2:19" x14ac:dyDescent="0.25">
      <c r="B767" s="181"/>
      <c r="C767" s="178"/>
      <c r="D767" s="23" t="s">
        <v>3</v>
      </c>
      <c r="E767" s="24">
        <v>2</v>
      </c>
      <c r="F767" s="24">
        <v>14</v>
      </c>
      <c r="G767" s="23" t="s">
        <v>78</v>
      </c>
      <c r="H767" s="160"/>
      <c r="I767" s="163"/>
      <c r="L767" s="181"/>
      <c r="M767" s="178"/>
      <c r="N767" s="23" t="s">
        <v>3</v>
      </c>
      <c r="O767" s="24">
        <v>2</v>
      </c>
      <c r="P767" s="24">
        <v>14</v>
      </c>
      <c r="Q767" s="23" t="s">
        <v>78</v>
      </c>
      <c r="R767" s="160"/>
      <c r="S767" s="163"/>
    </row>
    <row r="768" spans="2:19" x14ac:dyDescent="0.25">
      <c r="B768" s="181"/>
      <c r="C768" s="178"/>
      <c r="D768" s="23" t="s">
        <v>80</v>
      </c>
      <c r="E768" s="24">
        <v>3</v>
      </c>
      <c r="F768" s="24">
        <v>15</v>
      </c>
      <c r="G768" s="23" t="s">
        <v>66</v>
      </c>
      <c r="H768" s="160"/>
      <c r="I768" s="163"/>
      <c r="L768" s="181"/>
      <c r="M768" s="178"/>
      <c r="N768" s="23" t="s">
        <v>80</v>
      </c>
      <c r="O768" s="24">
        <v>3</v>
      </c>
      <c r="P768" s="24">
        <v>15</v>
      </c>
      <c r="Q768" s="23" t="s">
        <v>66</v>
      </c>
      <c r="R768" s="160"/>
      <c r="S768" s="163"/>
    </row>
    <row r="769" spans="2:19" x14ac:dyDescent="0.25">
      <c r="B769" s="181"/>
      <c r="C769" s="178"/>
      <c r="D769" s="23" t="s">
        <v>81</v>
      </c>
      <c r="E769" s="24">
        <v>4</v>
      </c>
      <c r="F769" s="24">
        <v>16</v>
      </c>
      <c r="G769" s="23" t="s">
        <v>66</v>
      </c>
      <c r="H769" s="160"/>
      <c r="I769" s="163"/>
      <c r="L769" s="181"/>
      <c r="M769" s="178"/>
      <c r="N769" s="23" t="s">
        <v>81</v>
      </c>
      <c r="O769" s="24">
        <v>4</v>
      </c>
      <c r="P769" s="24">
        <v>16</v>
      </c>
      <c r="Q769" s="23" t="s">
        <v>66</v>
      </c>
      <c r="R769" s="160"/>
      <c r="S769" s="163"/>
    </row>
    <row r="770" spans="2:19" x14ac:dyDescent="0.25">
      <c r="B770" s="181"/>
      <c r="C770" s="178"/>
      <c r="D770" s="23" t="s">
        <v>82</v>
      </c>
      <c r="E770" s="24">
        <v>5</v>
      </c>
      <c r="F770" s="24">
        <v>17</v>
      </c>
      <c r="G770" s="23" t="s">
        <v>66</v>
      </c>
      <c r="H770" s="160"/>
      <c r="I770" s="163"/>
      <c r="L770" s="181"/>
      <c r="M770" s="178"/>
      <c r="N770" s="23" t="s">
        <v>82</v>
      </c>
      <c r="O770" s="24">
        <v>5</v>
      </c>
      <c r="P770" s="24">
        <v>17</v>
      </c>
      <c r="Q770" s="23" t="s">
        <v>66</v>
      </c>
      <c r="R770" s="160"/>
      <c r="S770" s="163"/>
    </row>
    <row r="771" spans="2:19" ht="15.75" thickBot="1" x14ac:dyDescent="0.3">
      <c r="B771" s="181"/>
      <c r="C771" s="179"/>
      <c r="D771" s="23" t="s">
        <v>83</v>
      </c>
      <c r="E771" s="24">
        <v>6</v>
      </c>
      <c r="F771" s="24">
        <v>18</v>
      </c>
      <c r="G771" s="23" t="s">
        <v>66</v>
      </c>
      <c r="H771" s="161"/>
      <c r="I771" s="164"/>
      <c r="L771" s="181"/>
      <c r="M771" s="179"/>
      <c r="N771" s="23" t="s">
        <v>83</v>
      </c>
      <c r="O771" s="24">
        <v>6</v>
      </c>
      <c r="P771" s="24">
        <v>18</v>
      </c>
      <c r="Q771" s="23" t="s">
        <v>66</v>
      </c>
      <c r="R771" s="161"/>
      <c r="S771" s="164"/>
    </row>
    <row r="772" spans="2:19" x14ac:dyDescent="0.25">
      <c r="B772" s="181"/>
      <c r="C772" s="177" t="s">
        <v>84</v>
      </c>
      <c r="D772" s="23" t="s">
        <v>2</v>
      </c>
      <c r="E772" s="24">
        <v>1</v>
      </c>
      <c r="F772" s="24">
        <v>19</v>
      </c>
      <c r="G772" s="23" t="s">
        <v>66</v>
      </c>
      <c r="H772" s="23"/>
      <c r="I772" s="47"/>
      <c r="L772" s="181"/>
      <c r="M772" s="177" t="s">
        <v>84</v>
      </c>
      <c r="N772" s="23" t="s">
        <v>2</v>
      </c>
      <c r="O772" s="24">
        <v>1</v>
      </c>
      <c r="P772" s="24">
        <v>19</v>
      </c>
      <c r="Q772" s="23" t="s">
        <v>66</v>
      </c>
      <c r="R772" s="23"/>
      <c r="S772" s="47"/>
    </row>
    <row r="773" spans="2:19" x14ac:dyDescent="0.25">
      <c r="B773" s="181"/>
      <c r="C773" s="178"/>
      <c r="D773" s="23" t="s">
        <v>3</v>
      </c>
      <c r="E773" s="24">
        <v>2</v>
      </c>
      <c r="F773" s="24">
        <v>20</v>
      </c>
      <c r="G773" s="23" t="s">
        <v>66</v>
      </c>
      <c r="H773" s="23"/>
      <c r="I773" s="47"/>
      <c r="L773" s="181"/>
      <c r="M773" s="178"/>
      <c r="N773" s="23" t="s">
        <v>3</v>
      </c>
      <c r="O773" s="24">
        <v>2</v>
      </c>
      <c r="P773" s="24">
        <v>20</v>
      </c>
      <c r="Q773" s="23" t="s">
        <v>66</v>
      </c>
      <c r="R773" s="23"/>
      <c r="S773" s="47"/>
    </row>
    <row r="774" spans="2:19" x14ac:dyDescent="0.25">
      <c r="B774" s="181"/>
      <c r="C774" s="178"/>
      <c r="D774" s="23" t="s">
        <v>80</v>
      </c>
      <c r="E774" s="26">
        <v>3</v>
      </c>
      <c r="F774" s="24">
        <v>21</v>
      </c>
      <c r="G774" s="23" t="s">
        <v>66</v>
      </c>
      <c r="H774" s="23"/>
      <c r="I774" s="47"/>
      <c r="L774" s="181"/>
      <c r="M774" s="178"/>
      <c r="N774" s="23" t="s">
        <v>80</v>
      </c>
      <c r="O774" s="26">
        <v>3</v>
      </c>
      <c r="P774" s="24">
        <v>21</v>
      </c>
      <c r="Q774" s="23" t="s">
        <v>66</v>
      </c>
      <c r="R774" s="23"/>
      <c r="S774" s="47"/>
    </row>
    <row r="775" spans="2:19" x14ac:dyDescent="0.25">
      <c r="B775" s="181"/>
      <c r="C775" s="178"/>
      <c r="D775" s="23" t="s">
        <v>81</v>
      </c>
      <c r="E775" s="24">
        <v>4</v>
      </c>
      <c r="F775" s="24">
        <v>22</v>
      </c>
      <c r="G775" s="23" t="s">
        <v>66</v>
      </c>
      <c r="H775" s="23"/>
      <c r="I775" s="47"/>
      <c r="L775" s="181"/>
      <c r="M775" s="178"/>
      <c r="N775" s="23" t="s">
        <v>81</v>
      </c>
      <c r="O775" s="24">
        <v>4</v>
      </c>
      <c r="P775" s="24">
        <v>22</v>
      </c>
      <c r="Q775" s="23" t="s">
        <v>66</v>
      </c>
      <c r="R775" s="23"/>
      <c r="S775" s="47"/>
    </row>
    <row r="776" spans="2:19" x14ac:dyDescent="0.25">
      <c r="B776" s="181"/>
      <c r="C776" s="178"/>
      <c r="D776" s="23" t="s">
        <v>82</v>
      </c>
      <c r="E776" s="24">
        <v>5</v>
      </c>
      <c r="F776" s="24">
        <v>23</v>
      </c>
      <c r="G776" s="23" t="s">
        <v>66</v>
      </c>
      <c r="H776" s="23"/>
      <c r="I776" s="47"/>
      <c r="L776" s="181"/>
      <c r="M776" s="178"/>
      <c r="N776" s="23" t="s">
        <v>82</v>
      </c>
      <c r="O776" s="24">
        <v>5</v>
      </c>
      <c r="P776" s="24">
        <v>23</v>
      </c>
      <c r="Q776" s="23" t="s">
        <v>66</v>
      </c>
      <c r="R776" s="23"/>
      <c r="S776" s="47"/>
    </row>
    <row r="777" spans="2:19" ht="15.75" thickBot="1" x14ac:dyDescent="0.3">
      <c r="B777" s="182"/>
      <c r="C777" s="179"/>
      <c r="D777" s="23" t="s">
        <v>83</v>
      </c>
      <c r="E777" s="24">
        <v>6</v>
      </c>
      <c r="F777" s="24">
        <v>24</v>
      </c>
      <c r="G777" s="23" t="s">
        <v>66</v>
      </c>
      <c r="H777" s="23"/>
      <c r="I777" s="47"/>
      <c r="L777" s="182"/>
      <c r="M777" s="179"/>
      <c r="N777" s="23" t="s">
        <v>83</v>
      </c>
      <c r="O777" s="24">
        <v>6</v>
      </c>
      <c r="P777" s="24">
        <v>24</v>
      </c>
      <c r="Q777" s="23" t="s">
        <v>66</v>
      </c>
      <c r="R777" s="23"/>
      <c r="S777" s="47"/>
    </row>
    <row r="778" spans="2:19" x14ac:dyDescent="0.25">
      <c r="B778" s="189" t="s">
        <v>80</v>
      </c>
      <c r="C778" s="192" t="s">
        <v>77</v>
      </c>
      <c r="D778" s="27" t="s">
        <v>2</v>
      </c>
      <c r="E778" s="28">
        <v>1</v>
      </c>
      <c r="F778" s="28">
        <v>25</v>
      </c>
      <c r="G778" s="27" t="s">
        <v>66</v>
      </c>
      <c r="H778" s="27"/>
      <c r="I778" s="48"/>
      <c r="L778" s="189" t="s">
        <v>80</v>
      </c>
      <c r="M778" s="192" t="s">
        <v>77</v>
      </c>
      <c r="N778" s="27" t="s">
        <v>2</v>
      </c>
      <c r="O778" s="28">
        <v>1</v>
      </c>
      <c r="P778" s="28">
        <v>25</v>
      </c>
      <c r="Q778" s="27" t="s">
        <v>66</v>
      </c>
      <c r="R778" s="27"/>
      <c r="S778" s="48"/>
    </row>
    <row r="779" spans="2:19" x14ac:dyDescent="0.25">
      <c r="B779" s="190"/>
      <c r="C779" s="193"/>
      <c r="D779" s="27" t="s">
        <v>3</v>
      </c>
      <c r="E779" s="28">
        <v>2</v>
      </c>
      <c r="F779" s="28">
        <v>26</v>
      </c>
      <c r="G779" s="27" t="s">
        <v>66</v>
      </c>
      <c r="H779" s="27"/>
      <c r="I779" s="48"/>
      <c r="L779" s="190"/>
      <c r="M779" s="193"/>
      <c r="N779" s="27" t="s">
        <v>3</v>
      </c>
      <c r="O779" s="28">
        <v>2</v>
      </c>
      <c r="P779" s="28">
        <v>26</v>
      </c>
      <c r="Q779" s="27" t="s">
        <v>66</v>
      </c>
      <c r="R779" s="27"/>
      <c r="S779" s="48"/>
    </row>
    <row r="780" spans="2:19" x14ac:dyDescent="0.25">
      <c r="B780" s="190"/>
      <c r="C780" s="193"/>
      <c r="D780" s="27" t="s">
        <v>80</v>
      </c>
      <c r="E780" s="28">
        <v>3</v>
      </c>
      <c r="F780" s="28">
        <v>27</v>
      </c>
      <c r="G780" s="27" t="s">
        <v>66</v>
      </c>
      <c r="H780" s="27"/>
      <c r="I780" s="48"/>
      <c r="L780" s="190"/>
      <c r="M780" s="193"/>
      <c r="N780" s="27" t="s">
        <v>80</v>
      </c>
      <c r="O780" s="28">
        <v>3</v>
      </c>
      <c r="P780" s="28">
        <v>27</v>
      </c>
      <c r="Q780" s="27" t="s">
        <v>66</v>
      </c>
      <c r="R780" s="27"/>
      <c r="S780" s="48"/>
    </row>
    <row r="781" spans="2:19" x14ac:dyDescent="0.25">
      <c r="B781" s="190"/>
      <c r="C781" s="193"/>
      <c r="D781" s="27" t="s">
        <v>81</v>
      </c>
      <c r="E781" s="28">
        <v>4</v>
      </c>
      <c r="F781" s="28">
        <v>28</v>
      </c>
      <c r="G781" s="27" t="s">
        <v>66</v>
      </c>
      <c r="H781" s="27"/>
      <c r="I781" s="48"/>
      <c r="L781" s="190"/>
      <c r="M781" s="193"/>
      <c r="N781" s="27" t="s">
        <v>81</v>
      </c>
      <c r="O781" s="28">
        <v>4</v>
      </c>
      <c r="P781" s="28">
        <v>28</v>
      </c>
      <c r="Q781" s="27" t="s">
        <v>66</v>
      </c>
      <c r="R781" s="27"/>
      <c r="S781" s="48"/>
    </row>
    <row r="782" spans="2:19" x14ac:dyDescent="0.25">
      <c r="B782" s="190"/>
      <c r="C782" s="193"/>
      <c r="D782" s="27" t="s">
        <v>82</v>
      </c>
      <c r="E782" s="28">
        <v>5</v>
      </c>
      <c r="F782" s="28">
        <v>29</v>
      </c>
      <c r="G782" s="27" t="s">
        <v>66</v>
      </c>
      <c r="H782" s="27"/>
      <c r="I782" s="48"/>
      <c r="L782" s="190"/>
      <c r="M782" s="193"/>
      <c r="N782" s="27" t="s">
        <v>82</v>
      </c>
      <c r="O782" s="28">
        <v>5</v>
      </c>
      <c r="P782" s="28">
        <v>29</v>
      </c>
      <c r="Q782" s="27" t="s">
        <v>66</v>
      </c>
      <c r="R782" s="27"/>
      <c r="S782" s="48"/>
    </row>
    <row r="783" spans="2:19" ht="15.75" thickBot="1" x14ac:dyDescent="0.3">
      <c r="B783" s="190"/>
      <c r="C783" s="194"/>
      <c r="D783" s="27" t="s">
        <v>83</v>
      </c>
      <c r="E783" s="28">
        <v>6</v>
      </c>
      <c r="F783" s="28">
        <v>30</v>
      </c>
      <c r="G783" s="27" t="s">
        <v>66</v>
      </c>
      <c r="H783" s="27"/>
      <c r="I783" s="48"/>
      <c r="L783" s="190"/>
      <c r="M783" s="194"/>
      <c r="N783" s="27" t="s">
        <v>83</v>
      </c>
      <c r="O783" s="28">
        <v>6</v>
      </c>
      <c r="P783" s="28">
        <v>30</v>
      </c>
      <c r="Q783" s="27" t="s">
        <v>66</v>
      </c>
      <c r="R783" s="27"/>
      <c r="S783" s="48"/>
    </row>
    <row r="784" spans="2:19" x14ac:dyDescent="0.25">
      <c r="B784" s="190"/>
      <c r="C784" s="192" t="s">
        <v>84</v>
      </c>
      <c r="D784" s="27" t="s">
        <v>2</v>
      </c>
      <c r="E784" s="28">
        <v>1</v>
      </c>
      <c r="F784" s="28">
        <v>31</v>
      </c>
      <c r="G784" s="27" t="s">
        <v>66</v>
      </c>
      <c r="H784" s="27"/>
      <c r="I784" s="48"/>
      <c r="L784" s="190"/>
      <c r="M784" s="192" t="s">
        <v>84</v>
      </c>
      <c r="N784" s="27" t="s">
        <v>2</v>
      </c>
      <c r="O784" s="28">
        <v>1</v>
      </c>
      <c r="P784" s="28">
        <v>31</v>
      </c>
      <c r="Q784" s="27" t="s">
        <v>66</v>
      </c>
      <c r="R784" s="27"/>
      <c r="S784" s="48"/>
    </row>
    <row r="785" spans="2:19" x14ac:dyDescent="0.25">
      <c r="B785" s="190"/>
      <c r="C785" s="193"/>
      <c r="D785" s="27" t="s">
        <v>3</v>
      </c>
      <c r="E785" s="28">
        <v>2</v>
      </c>
      <c r="F785" s="28">
        <v>32</v>
      </c>
      <c r="G785" s="27" t="s">
        <v>66</v>
      </c>
      <c r="H785" s="27"/>
      <c r="I785" s="48"/>
      <c r="L785" s="190"/>
      <c r="M785" s="193"/>
      <c r="N785" s="27" t="s">
        <v>3</v>
      </c>
      <c r="O785" s="28">
        <v>2</v>
      </c>
      <c r="P785" s="28">
        <v>32</v>
      </c>
      <c r="Q785" s="27" t="s">
        <v>66</v>
      </c>
      <c r="R785" s="27"/>
      <c r="S785" s="48"/>
    </row>
    <row r="786" spans="2:19" x14ac:dyDescent="0.25">
      <c r="B786" s="190"/>
      <c r="C786" s="193"/>
      <c r="D786" s="27" t="s">
        <v>80</v>
      </c>
      <c r="E786" s="28">
        <v>3</v>
      </c>
      <c r="F786" s="28">
        <v>33</v>
      </c>
      <c r="G786" s="27" t="s">
        <v>66</v>
      </c>
      <c r="H786" s="27"/>
      <c r="I786" s="48"/>
      <c r="L786" s="190"/>
      <c r="M786" s="193"/>
      <c r="N786" s="27" t="s">
        <v>80</v>
      </c>
      <c r="O786" s="28">
        <v>3</v>
      </c>
      <c r="P786" s="28">
        <v>33</v>
      </c>
      <c r="Q786" s="27" t="s">
        <v>66</v>
      </c>
      <c r="R786" s="27"/>
      <c r="S786" s="48"/>
    </row>
    <row r="787" spans="2:19" x14ac:dyDescent="0.25">
      <c r="B787" s="190"/>
      <c r="C787" s="193"/>
      <c r="D787" s="27" t="s">
        <v>81</v>
      </c>
      <c r="E787" s="28">
        <v>4</v>
      </c>
      <c r="F787" s="28">
        <v>34</v>
      </c>
      <c r="G787" s="27" t="s">
        <v>66</v>
      </c>
      <c r="H787" s="27"/>
      <c r="I787" s="48"/>
      <c r="L787" s="190"/>
      <c r="M787" s="193"/>
      <c r="N787" s="27" t="s">
        <v>81</v>
      </c>
      <c r="O787" s="28">
        <v>4</v>
      </c>
      <c r="P787" s="28">
        <v>34</v>
      </c>
      <c r="Q787" s="27" t="s">
        <v>66</v>
      </c>
      <c r="R787" s="27"/>
      <c r="S787" s="48"/>
    </row>
    <row r="788" spans="2:19" x14ac:dyDescent="0.25">
      <c r="B788" s="190"/>
      <c r="C788" s="193"/>
      <c r="D788" s="27" t="s">
        <v>82</v>
      </c>
      <c r="E788" s="28">
        <v>5</v>
      </c>
      <c r="F788" s="28">
        <v>35</v>
      </c>
      <c r="G788" s="27" t="s">
        <v>66</v>
      </c>
      <c r="H788" s="27"/>
      <c r="I788" s="48"/>
      <c r="L788" s="190"/>
      <c r="M788" s="193"/>
      <c r="N788" s="27" t="s">
        <v>82</v>
      </c>
      <c r="O788" s="28">
        <v>5</v>
      </c>
      <c r="P788" s="28">
        <v>35</v>
      </c>
      <c r="Q788" s="27" t="s">
        <v>66</v>
      </c>
      <c r="R788" s="27"/>
      <c r="S788" s="48"/>
    </row>
    <row r="789" spans="2:19" ht="15.75" thickBot="1" x14ac:dyDescent="0.3">
      <c r="B789" s="191"/>
      <c r="C789" s="194"/>
      <c r="D789" s="27" t="s">
        <v>83</v>
      </c>
      <c r="E789" s="28">
        <v>6</v>
      </c>
      <c r="F789" s="28">
        <v>36</v>
      </c>
      <c r="G789" s="27" t="s">
        <v>66</v>
      </c>
      <c r="H789" s="27"/>
      <c r="I789" s="48"/>
      <c r="L789" s="191"/>
      <c r="M789" s="194"/>
      <c r="N789" s="27" t="s">
        <v>83</v>
      </c>
      <c r="O789" s="28">
        <v>6</v>
      </c>
      <c r="P789" s="28">
        <v>36</v>
      </c>
      <c r="Q789" s="27" t="s">
        <v>66</v>
      </c>
      <c r="R789" s="27"/>
      <c r="S789" s="48"/>
    </row>
    <row r="790" spans="2:19" x14ac:dyDescent="0.25">
      <c r="B790" s="183" t="s">
        <v>81</v>
      </c>
      <c r="C790" s="186" t="s">
        <v>77</v>
      </c>
      <c r="D790" s="29" t="s">
        <v>2</v>
      </c>
      <c r="E790" s="30">
        <v>1</v>
      </c>
      <c r="F790" s="30">
        <v>37</v>
      </c>
      <c r="G790" s="29" t="s">
        <v>66</v>
      </c>
      <c r="H790" s="29"/>
      <c r="I790" s="49"/>
      <c r="L790" s="183" t="s">
        <v>81</v>
      </c>
      <c r="M790" s="186" t="s">
        <v>77</v>
      </c>
      <c r="N790" s="29" t="s">
        <v>2</v>
      </c>
      <c r="O790" s="30">
        <v>1</v>
      </c>
      <c r="P790" s="30">
        <v>37</v>
      </c>
      <c r="Q790" s="29" t="s">
        <v>66</v>
      </c>
      <c r="R790" s="29"/>
      <c r="S790" s="49"/>
    </row>
    <row r="791" spans="2:19" x14ac:dyDescent="0.25">
      <c r="B791" s="184"/>
      <c r="C791" s="187"/>
      <c r="D791" s="29" t="s">
        <v>3</v>
      </c>
      <c r="E791" s="30">
        <v>2</v>
      </c>
      <c r="F791" s="30">
        <v>38</v>
      </c>
      <c r="G791" s="29" t="s">
        <v>66</v>
      </c>
      <c r="H791" s="29"/>
      <c r="I791" s="49"/>
      <c r="L791" s="184"/>
      <c r="M791" s="187"/>
      <c r="N791" s="29" t="s">
        <v>3</v>
      </c>
      <c r="O791" s="30">
        <v>2</v>
      </c>
      <c r="P791" s="30">
        <v>38</v>
      </c>
      <c r="Q791" s="29" t="s">
        <v>66</v>
      </c>
      <c r="R791" s="29"/>
      <c r="S791" s="49"/>
    </row>
    <row r="792" spans="2:19" x14ac:dyDescent="0.25">
      <c r="B792" s="184"/>
      <c r="C792" s="187"/>
      <c r="D792" s="29" t="s">
        <v>80</v>
      </c>
      <c r="E792" s="30">
        <v>3</v>
      </c>
      <c r="F792" s="30">
        <v>39</v>
      </c>
      <c r="G792" s="29" t="s">
        <v>66</v>
      </c>
      <c r="H792" s="29"/>
      <c r="I792" s="49"/>
      <c r="L792" s="184"/>
      <c r="M792" s="187"/>
      <c r="N792" s="29" t="s">
        <v>80</v>
      </c>
      <c r="O792" s="30">
        <v>3</v>
      </c>
      <c r="P792" s="30">
        <v>39</v>
      </c>
      <c r="Q792" s="29" t="s">
        <v>66</v>
      </c>
      <c r="R792" s="29"/>
      <c r="S792" s="49"/>
    </row>
    <row r="793" spans="2:19" x14ac:dyDescent="0.25">
      <c r="B793" s="184"/>
      <c r="C793" s="187"/>
      <c r="D793" s="29" t="s">
        <v>81</v>
      </c>
      <c r="E793" s="30">
        <v>4</v>
      </c>
      <c r="F793" s="30">
        <v>40</v>
      </c>
      <c r="G793" s="29" t="s">
        <v>66</v>
      </c>
      <c r="H793" s="29"/>
      <c r="I793" s="49"/>
      <c r="L793" s="184"/>
      <c r="M793" s="187"/>
      <c r="N793" s="29" t="s">
        <v>81</v>
      </c>
      <c r="O793" s="30">
        <v>4</v>
      </c>
      <c r="P793" s="30">
        <v>40</v>
      </c>
      <c r="Q793" s="29" t="s">
        <v>66</v>
      </c>
      <c r="R793" s="29"/>
      <c r="S793" s="49"/>
    </row>
    <row r="794" spans="2:19" x14ac:dyDescent="0.25">
      <c r="B794" s="184"/>
      <c r="C794" s="187"/>
      <c r="D794" s="29" t="s">
        <v>82</v>
      </c>
      <c r="E794" s="30">
        <v>5</v>
      </c>
      <c r="F794" s="30">
        <v>41</v>
      </c>
      <c r="G794" s="29" t="s">
        <v>66</v>
      </c>
      <c r="H794" s="29"/>
      <c r="I794" s="49"/>
      <c r="L794" s="184"/>
      <c r="M794" s="187"/>
      <c r="N794" s="29" t="s">
        <v>82</v>
      </c>
      <c r="O794" s="30">
        <v>5</v>
      </c>
      <c r="P794" s="30">
        <v>41</v>
      </c>
      <c r="Q794" s="29" t="s">
        <v>66</v>
      </c>
      <c r="R794" s="29"/>
      <c r="S794" s="49"/>
    </row>
    <row r="795" spans="2:19" ht="15.75" thickBot="1" x14ac:dyDescent="0.3">
      <c r="B795" s="184"/>
      <c r="C795" s="188"/>
      <c r="D795" s="29" t="s">
        <v>83</v>
      </c>
      <c r="E795" s="30">
        <v>6</v>
      </c>
      <c r="F795" s="30">
        <v>42</v>
      </c>
      <c r="G795" s="29" t="s">
        <v>66</v>
      </c>
      <c r="H795" s="29"/>
      <c r="I795" s="49"/>
      <c r="L795" s="184"/>
      <c r="M795" s="188"/>
      <c r="N795" s="29" t="s">
        <v>83</v>
      </c>
      <c r="O795" s="30">
        <v>6</v>
      </c>
      <c r="P795" s="30">
        <v>42</v>
      </c>
      <c r="Q795" s="29" t="s">
        <v>66</v>
      </c>
      <c r="R795" s="29"/>
      <c r="S795" s="49"/>
    </row>
    <row r="796" spans="2:19" x14ac:dyDescent="0.25">
      <c r="B796" s="184"/>
      <c r="C796" s="186" t="s">
        <v>84</v>
      </c>
      <c r="D796" s="29" t="s">
        <v>2</v>
      </c>
      <c r="E796" s="30">
        <v>1</v>
      </c>
      <c r="F796" s="30">
        <v>43</v>
      </c>
      <c r="G796" s="29" t="s">
        <v>66</v>
      </c>
      <c r="H796" s="29"/>
      <c r="I796" s="49"/>
      <c r="L796" s="184"/>
      <c r="M796" s="186" t="s">
        <v>84</v>
      </c>
      <c r="N796" s="29" t="s">
        <v>2</v>
      </c>
      <c r="O796" s="30">
        <v>1</v>
      </c>
      <c r="P796" s="30">
        <v>43</v>
      </c>
      <c r="Q796" s="29" t="s">
        <v>66</v>
      </c>
      <c r="R796" s="29"/>
      <c r="S796" s="49"/>
    </row>
    <row r="797" spans="2:19" x14ac:dyDescent="0.25">
      <c r="B797" s="184"/>
      <c r="C797" s="187"/>
      <c r="D797" s="29" t="s">
        <v>3</v>
      </c>
      <c r="E797" s="30">
        <v>2</v>
      </c>
      <c r="F797" s="30">
        <v>44</v>
      </c>
      <c r="G797" s="29" t="s">
        <v>66</v>
      </c>
      <c r="H797" s="29"/>
      <c r="I797" s="49"/>
      <c r="L797" s="184"/>
      <c r="M797" s="187"/>
      <c r="N797" s="29" t="s">
        <v>3</v>
      </c>
      <c r="O797" s="30">
        <v>2</v>
      </c>
      <c r="P797" s="30">
        <v>44</v>
      </c>
      <c r="Q797" s="29" t="s">
        <v>66</v>
      </c>
      <c r="R797" s="29"/>
      <c r="S797" s="49"/>
    </row>
    <row r="798" spans="2:19" x14ac:dyDescent="0.25">
      <c r="B798" s="184"/>
      <c r="C798" s="187"/>
      <c r="D798" s="29" t="s">
        <v>80</v>
      </c>
      <c r="E798" s="30">
        <v>3</v>
      </c>
      <c r="F798" s="30">
        <v>45</v>
      </c>
      <c r="G798" s="29" t="s">
        <v>66</v>
      </c>
      <c r="H798" s="29"/>
      <c r="I798" s="49"/>
      <c r="L798" s="184"/>
      <c r="M798" s="187"/>
      <c r="N798" s="29" t="s">
        <v>80</v>
      </c>
      <c r="O798" s="30">
        <v>3</v>
      </c>
      <c r="P798" s="30">
        <v>45</v>
      </c>
      <c r="Q798" s="29" t="s">
        <v>66</v>
      </c>
      <c r="R798" s="29"/>
      <c r="S798" s="49"/>
    </row>
    <row r="799" spans="2:19" x14ac:dyDescent="0.25">
      <c r="B799" s="184"/>
      <c r="C799" s="187"/>
      <c r="D799" s="29" t="s">
        <v>81</v>
      </c>
      <c r="E799" s="30">
        <v>4</v>
      </c>
      <c r="F799" s="30">
        <v>46</v>
      </c>
      <c r="G799" s="29" t="s">
        <v>66</v>
      </c>
      <c r="H799" s="29"/>
      <c r="I799" s="49"/>
      <c r="L799" s="184"/>
      <c r="M799" s="187"/>
      <c r="N799" s="29" t="s">
        <v>81</v>
      </c>
      <c r="O799" s="30">
        <v>4</v>
      </c>
      <c r="P799" s="30">
        <v>46</v>
      </c>
      <c r="Q799" s="29" t="s">
        <v>66</v>
      </c>
      <c r="R799" s="29"/>
      <c r="S799" s="49"/>
    </row>
    <row r="800" spans="2:19" x14ac:dyDescent="0.25">
      <c r="B800" s="184"/>
      <c r="C800" s="187"/>
      <c r="D800" s="29" t="s">
        <v>82</v>
      </c>
      <c r="E800" s="30">
        <v>5</v>
      </c>
      <c r="F800" s="30">
        <v>47</v>
      </c>
      <c r="G800" s="29" t="s">
        <v>66</v>
      </c>
      <c r="H800" s="29"/>
      <c r="I800" s="49"/>
      <c r="L800" s="184"/>
      <c r="M800" s="187"/>
      <c r="N800" s="29" t="s">
        <v>82</v>
      </c>
      <c r="O800" s="30">
        <v>5</v>
      </c>
      <c r="P800" s="30">
        <v>47</v>
      </c>
      <c r="Q800" s="29" t="s">
        <v>66</v>
      </c>
      <c r="R800" s="29"/>
      <c r="S800" s="49"/>
    </row>
    <row r="801" spans="2:19" ht="15.75" thickBot="1" x14ac:dyDescent="0.3">
      <c r="B801" s="185"/>
      <c r="C801" s="188"/>
      <c r="D801" s="29" t="s">
        <v>83</v>
      </c>
      <c r="E801" s="30">
        <v>6</v>
      </c>
      <c r="F801" s="30">
        <v>48</v>
      </c>
      <c r="G801" s="29" t="s">
        <v>66</v>
      </c>
      <c r="H801" s="29"/>
      <c r="I801" s="49"/>
      <c r="L801" s="185"/>
      <c r="M801" s="188"/>
      <c r="N801" s="29" t="s">
        <v>83</v>
      </c>
      <c r="O801" s="30">
        <v>6</v>
      </c>
      <c r="P801" s="30">
        <v>48</v>
      </c>
      <c r="Q801" s="29" t="s">
        <v>66</v>
      </c>
      <c r="R801" s="29"/>
      <c r="S801" s="49"/>
    </row>
    <row r="803" spans="2:19" ht="15.75" thickBot="1" x14ac:dyDescent="0.3"/>
    <row r="804" spans="2:19" ht="15.75" thickBot="1" x14ac:dyDescent="0.3">
      <c r="B804" s="171" t="s">
        <v>282</v>
      </c>
      <c r="C804" s="172"/>
      <c r="D804" s="172"/>
      <c r="E804" s="172"/>
      <c r="F804" s="172"/>
      <c r="G804" s="172"/>
      <c r="H804" s="172"/>
      <c r="I804" s="173"/>
      <c r="L804" s="171" t="s">
        <v>283</v>
      </c>
      <c r="M804" s="172"/>
      <c r="N804" s="172"/>
      <c r="O804" s="172"/>
      <c r="P804" s="172"/>
      <c r="Q804" s="172"/>
      <c r="R804" s="172"/>
      <c r="S804" s="173"/>
    </row>
    <row r="806" spans="2:19" ht="26.25" thickBot="1" x14ac:dyDescent="0.3">
      <c r="B806" s="15" t="s">
        <v>70</v>
      </c>
      <c r="C806" s="16" t="s">
        <v>71</v>
      </c>
      <c r="D806" s="15" t="s">
        <v>72</v>
      </c>
      <c r="E806" s="17" t="s">
        <v>73</v>
      </c>
      <c r="F806" s="17" t="s">
        <v>74</v>
      </c>
      <c r="G806" s="15" t="s">
        <v>75</v>
      </c>
      <c r="H806" s="15" t="s">
        <v>55</v>
      </c>
      <c r="I806" s="15" t="s">
        <v>76</v>
      </c>
      <c r="L806" s="15" t="s">
        <v>70</v>
      </c>
      <c r="M806" s="16" t="s">
        <v>71</v>
      </c>
      <c r="N806" s="15" t="s">
        <v>72</v>
      </c>
      <c r="O806" s="17" t="s">
        <v>73</v>
      </c>
      <c r="P806" s="17" t="s">
        <v>74</v>
      </c>
      <c r="Q806" s="15" t="s">
        <v>75</v>
      </c>
      <c r="R806" s="15" t="s">
        <v>55</v>
      </c>
      <c r="S806" s="15" t="s">
        <v>76</v>
      </c>
    </row>
    <row r="807" spans="2:19" ht="15" customHeight="1" x14ac:dyDescent="0.25">
      <c r="B807" s="174" t="s">
        <v>2</v>
      </c>
      <c r="C807" s="168" t="s">
        <v>77</v>
      </c>
      <c r="D807" s="18" t="s">
        <v>2</v>
      </c>
      <c r="E807" s="19">
        <v>1</v>
      </c>
      <c r="F807" s="19">
        <v>1</v>
      </c>
      <c r="G807" s="18" t="s">
        <v>66</v>
      </c>
      <c r="H807" s="32"/>
      <c r="I807" s="50"/>
      <c r="L807" s="174" t="s">
        <v>2</v>
      </c>
      <c r="M807" s="168" t="s">
        <v>77</v>
      </c>
      <c r="N807" s="18" t="s">
        <v>2</v>
      </c>
      <c r="O807" s="19">
        <v>1</v>
      </c>
      <c r="P807" s="19">
        <v>1</v>
      </c>
      <c r="Q807" s="18" t="s">
        <v>66</v>
      </c>
      <c r="R807" s="32"/>
      <c r="S807" s="50"/>
    </row>
    <row r="808" spans="2:19" x14ac:dyDescent="0.25">
      <c r="B808" s="175"/>
      <c r="C808" s="169"/>
      <c r="D808" s="18" t="s">
        <v>3</v>
      </c>
      <c r="E808" s="19">
        <v>2</v>
      </c>
      <c r="F808" s="19">
        <v>2</v>
      </c>
      <c r="G808" s="18" t="s">
        <v>66</v>
      </c>
      <c r="H808" s="32"/>
      <c r="I808" s="50"/>
      <c r="L808" s="175"/>
      <c r="M808" s="169"/>
      <c r="N808" s="18" t="s">
        <v>3</v>
      </c>
      <c r="O808" s="19">
        <v>2</v>
      </c>
      <c r="P808" s="19">
        <v>2</v>
      </c>
      <c r="Q808" s="18" t="s">
        <v>66</v>
      </c>
      <c r="R808" s="32"/>
      <c r="S808" s="50"/>
    </row>
    <row r="809" spans="2:19" x14ac:dyDescent="0.25">
      <c r="B809" s="175"/>
      <c r="C809" s="169"/>
      <c r="D809" s="18" t="s">
        <v>80</v>
      </c>
      <c r="E809" s="20">
        <v>3</v>
      </c>
      <c r="F809" s="20">
        <v>3</v>
      </c>
      <c r="G809" s="18" t="s">
        <v>66</v>
      </c>
      <c r="H809" s="32"/>
      <c r="I809" s="50"/>
      <c r="L809" s="175"/>
      <c r="M809" s="169"/>
      <c r="N809" s="18" t="s">
        <v>80</v>
      </c>
      <c r="O809" s="20">
        <v>3</v>
      </c>
      <c r="P809" s="20">
        <v>3</v>
      </c>
      <c r="Q809" s="18" t="s">
        <v>66</v>
      </c>
      <c r="R809" s="32"/>
      <c r="S809" s="50"/>
    </row>
    <row r="810" spans="2:19" x14ac:dyDescent="0.25">
      <c r="B810" s="175"/>
      <c r="C810" s="169"/>
      <c r="D810" s="18" t="s">
        <v>81</v>
      </c>
      <c r="E810" s="20">
        <v>4</v>
      </c>
      <c r="F810" s="20">
        <v>4</v>
      </c>
      <c r="G810" s="18" t="s">
        <v>66</v>
      </c>
      <c r="H810" s="32"/>
      <c r="I810" s="50"/>
      <c r="L810" s="175"/>
      <c r="M810" s="169"/>
      <c r="N810" s="18" t="s">
        <v>81</v>
      </c>
      <c r="O810" s="20">
        <v>4</v>
      </c>
      <c r="P810" s="20">
        <v>4</v>
      </c>
      <c r="Q810" s="18" t="s">
        <v>66</v>
      </c>
      <c r="R810" s="32"/>
      <c r="S810" s="50"/>
    </row>
    <row r="811" spans="2:19" x14ac:dyDescent="0.25">
      <c r="B811" s="175"/>
      <c r="C811" s="169"/>
      <c r="D811" s="18" t="s">
        <v>82</v>
      </c>
      <c r="E811" s="20">
        <v>5</v>
      </c>
      <c r="F811" s="20">
        <v>5</v>
      </c>
      <c r="G811" s="18" t="s">
        <v>66</v>
      </c>
      <c r="H811" s="32"/>
      <c r="I811" s="50"/>
      <c r="L811" s="175"/>
      <c r="M811" s="169"/>
      <c r="N811" s="18" t="s">
        <v>82</v>
      </c>
      <c r="O811" s="20">
        <v>5</v>
      </c>
      <c r="P811" s="20">
        <v>5</v>
      </c>
      <c r="Q811" s="18" t="s">
        <v>66</v>
      </c>
      <c r="R811" s="32"/>
      <c r="S811" s="50"/>
    </row>
    <row r="812" spans="2:19" ht="15.75" thickBot="1" x14ac:dyDescent="0.3">
      <c r="B812" s="175"/>
      <c r="C812" s="170"/>
      <c r="D812" s="18" t="s">
        <v>83</v>
      </c>
      <c r="E812" s="20">
        <v>6</v>
      </c>
      <c r="F812" s="20">
        <v>6</v>
      </c>
      <c r="G812" s="18" t="s">
        <v>66</v>
      </c>
      <c r="H812" s="32"/>
      <c r="I812" s="50"/>
      <c r="L812" s="175"/>
      <c r="M812" s="170"/>
      <c r="N812" s="18" t="s">
        <v>83</v>
      </c>
      <c r="O812" s="20">
        <v>6</v>
      </c>
      <c r="P812" s="20">
        <v>6</v>
      </c>
      <c r="Q812" s="18" t="s">
        <v>66</v>
      </c>
      <c r="R812" s="32"/>
      <c r="S812" s="50"/>
    </row>
    <row r="813" spans="2:19" x14ac:dyDescent="0.25">
      <c r="B813" s="175"/>
      <c r="C813" s="168" t="s">
        <v>84</v>
      </c>
      <c r="D813" s="18" t="s">
        <v>2</v>
      </c>
      <c r="E813" s="19">
        <v>1</v>
      </c>
      <c r="F813" s="19">
        <v>7</v>
      </c>
      <c r="G813" s="18" t="s">
        <v>66</v>
      </c>
      <c r="H813" s="32"/>
      <c r="I813" s="50"/>
      <c r="L813" s="175"/>
      <c r="M813" s="168" t="s">
        <v>84</v>
      </c>
      <c r="N813" s="18" t="s">
        <v>2</v>
      </c>
      <c r="O813" s="19">
        <v>1</v>
      </c>
      <c r="P813" s="19">
        <v>7</v>
      </c>
      <c r="Q813" s="18" t="s">
        <v>66</v>
      </c>
      <c r="R813" s="32"/>
      <c r="S813" s="50"/>
    </row>
    <row r="814" spans="2:19" x14ac:dyDescent="0.25">
      <c r="B814" s="175"/>
      <c r="C814" s="169"/>
      <c r="D814" s="18" t="s">
        <v>3</v>
      </c>
      <c r="E814" s="19">
        <v>2</v>
      </c>
      <c r="F814" s="19">
        <v>8</v>
      </c>
      <c r="G814" s="18" t="s">
        <v>66</v>
      </c>
      <c r="H814" s="32"/>
      <c r="I814" s="50"/>
      <c r="L814" s="175"/>
      <c r="M814" s="169"/>
      <c r="N814" s="18" t="s">
        <v>3</v>
      </c>
      <c r="O814" s="19">
        <v>2</v>
      </c>
      <c r="P814" s="19">
        <v>8</v>
      </c>
      <c r="Q814" s="18" t="s">
        <v>66</v>
      </c>
      <c r="R814" s="32"/>
      <c r="S814" s="50"/>
    </row>
    <row r="815" spans="2:19" x14ac:dyDescent="0.25">
      <c r="B815" s="175"/>
      <c r="C815" s="169"/>
      <c r="D815" s="18" t="s">
        <v>80</v>
      </c>
      <c r="E815" s="20">
        <v>3</v>
      </c>
      <c r="F815" s="20">
        <v>9</v>
      </c>
      <c r="G815" s="18" t="s">
        <v>66</v>
      </c>
      <c r="H815" s="32"/>
      <c r="I815" s="50"/>
      <c r="L815" s="175"/>
      <c r="M815" s="169"/>
      <c r="N815" s="18" t="s">
        <v>80</v>
      </c>
      <c r="O815" s="20">
        <v>3</v>
      </c>
      <c r="P815" s="20">
        <v>9</v>
      </c>
      <c r="Q815" s="18" t="s">
        <v>66</v>
      </c>
      <c r="R815" s="32"/>
      <c r="S815" s="50"/>
    </row>
    <row r="816" spans="2:19" x14ac:dyDescent="0.25">
      <c r="B816" s="175"/>
      <c r="C816" s="169"/>
      <c r="D816" s="18" t="s">
        <v>81</v>
      </c>
      <c r="E816" s="20">
        <v>4</v>
      </c>
      <c r="F816" s="20">
        <v>10</v>
      </c>
      <c r="G816" s="18" t="s">
        <v>66</v>
      </c>
      <c r="H816" s="32"/>
      <c r="I816" s="50"/>
      <c r="L816" s="175"/>
      <c r="M816" s="169"/>
      <c r="N816" s="18" t="s">
        <v>81</v>
      </c>
      <c r="O816" s="20">
        <v>4</v>
      </c>
      <c r="P816" s="20">
        <v>10</v>
      </c>
      <c r="Q816" s="18" t="s">
        <v>66</v>
      </c>
      <c r="R816" s="32"/>
      <c r="S816" s="50"/>
    </row>
    <row r="817" spans="2:19" x14ac:dyDescent="0.25">
      <c r="B817" s="175"/>
      <c r="C817" s="169"/>
      <c r="D817" s="18" t="s">
        <v>82</v>
      </c>
      <c r="E817" s="20">
        <v>5</v>
      </c>
      <c r="F817" s="20">
        <v>11</v>
      </c>
      <c r="G817" s="18" t="s">
        <v>66</v>
      </c>
      <c r="H817" s="32"/>
      <c r="I817" s="50"/>
      <c r="L817" s="175"/>
      <c r="M817" s="169"/>
      <c r="N817" s="18" t="s">
        <v>82</v>
      </c>
      <c r="O817" s="20">
        <v>5</v>
      </c>
      <c r="P817" s="20">
        <v>11</v>
      </c>
      <c r="Q817" s="18" t="s">
        <v>66</v>
      </c>
      <c r="R817" s="32"/>
      <c r="S817" s="50"/>
    </row>
    <row r="818" spans="2:19" ht="15.75" thickBot="1" x14ac:dyDescent="0.3">
      <c r="B818" s="176"/>
      <c r="C818" s="170"/>
      <c r="D818" s="18" t="s">
        <v>83</v>
      </c>
      <c r="E818" s="20">
        <v>6</v>
      </c>
      <c r="F818" s="20">
        <v>12</v>
      </c>
      <c r="G818" s="18" t="s">
        <v>66</v>
      </c>
      <c r="H818" s="32"/>
      <c r="I818" s="50"/>
      <c r="L818" s="176"/>
      <c r="M818" s="170"/>
      <c r="N818" s="18" t="s">
        <v>83</v>
      </c>
      <c r="O818" s="20">
        <v>6</v>
      </c>
      <c r="P818" s="20">
        <v>12</v>
      </c>
      <c r="Q818" s="18" t="s">
        <v>66</v>
      </c>
      <c r="R818" s="32"/>
      <c r="S818" s="50"/>
    </row>
    <row r="819" spans="2:19" x14ac:dyDescent="0.25">
      <c r="B819" s="180" t="s">
        <v>3</v>
      </c>
      <c r="C819" s="177" t="s">
        <v>77</v>
      </c>
      <c r="D819" s="21" t="s">
        <v>2</v>
      </c>
      <c r="E819" s="22">
        <v>1</v>
      </c>
      <c r="F819" s="22">
        <v>13</v>
      </c>
      <c r="G819" s="21" t="s">
        <v>78</v>
      </c>
      <c r="H819" s="159" t="s">
        <v>126</v>
      </c>
      <c r="I819" s="162" t="s">
        <v>170</v>
      </c>
      <c r="L819" s="180" t="s">
        <v>3</v>
      </c>
      <c r="M819" s="177" t="s">
        <v>77</v>
      </c>
      <c r="N819" s="21" t="s">
        <v>2</v>
      </c>
      <c r="O819" s="22">
        <v>1</v>
      </c>
      <c r="P819" s="22">
        <v>13</v>
      </c>
      <c r="Q819" s="21" t="s">
        <v>78</v>
      </c>
      <c r="R819" s="159" t="s">
        <v>126</v>
      </c>
      <c r="S819" s="162" t="s">
        <v>172</v>
      </c>
    </row>
    <row r="820" spans="2:19" x14ac:dyDescent="0.25">
      <c r="B820" s="181"/>
      <c r="C820" s="178"/>
      <c r="D820" s="23" t="s">
        <v>3</v>
      </c>
      <c r="E820" s="24">
        <v>2</v>
      </c>
      <c r="F820" s="24">
        <v>14</v>
      </c>
      <c r="G820" s="23" t="s">
        <v>78</v>
      </c>
      <c r="H820" s="160"/>
      <c r="I820" s="163"/>
      <c r="L820" s="181"/>
      <c r="M820" s="178"/>
      <c r="N820" s="23" t="s">
        <v>3</v>
      </c>
      <c r="O820" s="24">
        <v>2</v>
      </c>
      <c r="P820" s="24">
        <v>14</v>
      </c>
      <c r="Q820" s="23" t="s">
        <v>78</v>
      </c>
      <c r="R820" s="160"/>
      <c r="S820" s="163"/>
    </row>
    <row r="821" spans="2:19" x14ac:dyDescent="0.25">
      <c r="B821" s="181"/>
      <c r="C821" s="178"/>
      <c r="D821" s="23" t="s">
        <v>80</v>
      </c>
      <c r="E821" s="24">
        <v>3</v>
      </c>
      <c r="F821" s="24">
        <v>15</v>
      </c>
      <c r="G821" s="23" t="s">
        <v>66</v>
      </c>
      <c r="H821" s="160"/>
      <c r="I821" s="163"/>
      <c r="L821" s="181"/>
      <c r="M821" s="178"/>
      <c r="N821" s="23" t="s">
        <v>80</v>
      </c>
      <c r="O821" s="24">
        <v>3</v>
      </c>
      <c r="P821" s="24">
        <v>15</v>
      </c>
      <c r="Q821" s="23" t="s">
        <v>66</v>
      </c>
      <c r="R821" s="160"/>
      <c r="S821" s="163"/>
    </row>
    <row r="822" spans="2:19" x14ac:dyDescent="0.25">
      <c r="B822" s="181"/>
      <c r="C822" s="178"/>
      <c r="D822" s="23" t="s">
        <v>81</v>
      </c>
      <c r="E822" s="24">
        <v>4</v>
      </c>
      <c r="F822" s="24">
        <v>16</v>
      </c>
      <c r="G822" s="23" t="s">
        <v>66</v>
      </c>
      <c r="H822" s="160"/>
      <c r="I822" s="163"/>
      <c r="L822" s="181"/>
      <c r="M822" s="178"/>
      <c r="N822" s="23" t="s">
        <v>81</v>
      </c>
      <c r="O822" s="24">
        <v>4</v>
      </c>
      <c r="P822" s="24">
        <v>16</v>
      </c>
      <c r="Q822" s="23" t="s">
        <v>66</v>
      </c>
      <c r="R822" s="160"/>
      <c r="S822" s="163"/>
    </row>
    <row r="823" spans="2:19" x14ac:dyDescent="0.25">
      <c r="B823" s="181"/>
      <c r="C823" s="178"/>
      <c r="D823" s="23" t="s">
        <v>82</v>
      </c>
      <c r="E823" s="24">
        <v>5</v>
      </c>
      <c r="F823" s="24">
        <v>17</v>
      </c>
      <c r="G823" s="23" t="s">
        <v>66</v>
      </c>
      <c r="H823" s="160"/>
      <c r="I823" s="163"/>
      <c r="L823" s="181"/>
      <c r="M823" s="178"/>
      <c r="N823" s="23" t="s">
        <v>82</v>
      </c>
      <c r="O823" s="24">
        <v>5</v>
      </c>
      <c r="P823" s="24">
        <v>17</v>
      </c>
      <c r="Q823" s="23" t="s">
        <v>66</v>
      </c>
      <c r="R823" s="160"/>
      <c r="S823" s="163"/>
    </row>
    <row r="824" spans="2:19" ht="15.75" thickBot="1" x14ac:dyDescent="0.3">
      <c r="B824" s="181"/>
      <c r="C824" s="179"/>
      <c r="D824" s="23" t="s">
        <v>83</v>
      </c>
      <c r="E824" s="24">
        <v>6</v>
      </c>
      <c r="F824" s="24">
        <v>18</v>
      </c>
      <c r="G824" s="23" t="s">
        <v>66</v>
      </c>
      <c r="H824" s="161"/>
      <c r="I824" s="164"/>
      <c r="L824" s="181"/>
      <c r="M824" s="179"/>
      <c r="N824" s="23" t="s">
        <v>83</v>
      </c>
      <c r="O824" s="24">
        <v>6</v>
      </c>
      <c r="P824" s="24">
        <v>18</v>
      </c>
      <c r="Q824" s="23" t="s">
        <v>66</v>
      </c>
      <c r="R824" s="161"/>
      <c r="S824" s="164"/>
    </row>
    <row r="825" spans="2:19" x14ac:dyDescent="0.25">
      <c r="B825" s="181"/>
      <c r="C825" s="177" t="s">
        <v>84</v>
      </c>
      <c r="D825" s="23" t="s">
        <v>2</v>
      </c>
      <c r="E825" s="24">
        <v>1</v>
      </c>
      <c r="F825" s="24">
        <v>19</v>
      </c>
      <c r="G825" s="23" t="s">
        <v>66</v>
      </c>
      <c r="H825" s="23"/>
      <c r="I825" s="47"/>
      <c r="L825" s="181"/>
      <c r="M825" s="177" t="s">
        <v>84</v>
      </c>
      <c r="N825" s="23" t="s">
        <v>2</v>
      </c>
      <c r="O825" s="24">
        <v>1</v>
      </c>
      <c r="P825" s="24">
        <v>19</v>
      </c>
      <c r="Q825" s="23" t="s">
        <v>66</v>
      </c>
      <c r="R825" s="23"/>
      <c r="S825" s="47"/>
    </row>
    <row r="826" spans="2:19" x14ac:dyDescent="0.25">
      <c r="B826" s="181"/>
      <c r="C826" s="178"/>
      <c r="D826" s="23" t="s">
        <v>3</v>
      </c>
      <c r="E826" s="24">
        <v>2</v>
      </c>
      <c r="F826" s="24">
        <v>20</v>
      </c>
      <c r="G826" s="23" t="s">
        <v>66</v>
      </c>
      <c r="H826" s="23"/>
      <c r="I826" s="47"/>
      <c r="L826" s="181"/>
      <c r="M826" s="178"/>
      <c r="N826" s="23" t="s">
        <v>3</v>
      </c>
      <c r="O826" s="24">
        <v>2</v>
      </c>
      <c r="P826" s="24">
        <v>20</v>
      </c>
      <c r="Q826" s="23" t="s">
        <v>66</v>
      </c>
      <c r="R826" s="23"/>
      <c r="S826" s="47"/>
    </row>
    <row r="827" spans="2:19" x14ac:dyDescent="0.25">
      <c r="B827" s="181"/>
      <c r="C827" s="178"/>
      <c r="D827" s="23" t="s">
        <v>80</v>
      </c>
      <c r="E827" s="26">
        <v>3</v>
      </c>
      <c r="F827" s="24">
        <v>21</v>
      </c>
      <c r="G827" s="23" t="s">
        <v>66</v>
      </c>
      <c r="H827" s="23"/>
      <c r="I827" s="47"/>
      <c r="L827" s="181"/>
      <c r="M827" s="178"/>
      <c r="N827" s="23" t="s">
        <v>80</v>
      </c>
      <c r="O827" s="26">
        <v>3</v>
      </c>
      <c r="P827" s="24">
        <v>21</v>
      </c>
      <c r="Q827" s="23" t="s">
        <v>66</v>
      </c>
      <c r="R827" s="23"/>
      <c r="S827" s="47"/>
    </row>
    <row r="828" spans="2:19" x14ac:dyDescent="0.25">
      <c r="B828" s="181"/>
      <c r="C828" s="178"/>
      <c r="D828" s="23" t="s">
        <v>81</v>
      </c>
      <c r="E828" s="24">
        <v>4</v>
      </c>
      <c r="F828" s="24">
        <v>22</v>
      </c>
      <c r="G828" s="23" t="s">
        <v>66</v>
      </c>
      <c r="H828" s="23"/>
      <c r="I828" s="47"/>
      <c r="L828" s="181"/>
      <c r="M828" s="178"/>
      <c r="N828" s="23" t="s">
        <v>81</v>
      </c>
      <c r="O828" s="24">
        <v>4</v>
      </c>
      <c r="P828" s="24">
        <v>22</v>
      </c>
      <c r="Q828" s="23" t="s">
        <v>66</v>
      </c>
      <c r="R828" s="23"/>
      <c r="S828" s="47"/>
    </row>
    <row r="829" spans="2:19" x14ac:dyDescent="0.25">
      <c r="B829" s="181"/>
      <c r="C829" s="178"/>
      <c r="D829" s="23" t="s">
        <v>82</v>
      </c>
      <c r="E829" s="24">
        <v>5</v>
      </c>
      <c r="F829" s="24">
        <v>23</v>
      </c>
      <c r="G829" s="23" t="s">
        <v>66</v>
      </c>
      <c r="H829" s="23"/>
      <c r="I829" s="47"/>
      <c r="L829" s="181"/>
      <c r="M829" s="178"/>
      <c r="N829" s="23" t="s">
        <v>82</v>
      </c>
      <c r="O829" s="24">
        <v>5</v>
      </c>
      <c r="P829" s="24">
        <v>23</v>
      </c>
      <c r="Q829" s="23" t="s">
        <v>66</v>
      </c>
      <c r="R829" s="23"/>
      <c r="S829" s="47"/>
    </row>
    <row r="830" spans="2:19" ht="15.75" thickBot="1" x14ac:dyDescent="0.3">
      <c r="B830" s="182"/>
      <c r="C830" s="179"/>
      <c r="D830" s="23" t="s">
        <v>83</v>
      </c>
      <c r="E830" s="24">
        <v>6</v>
      </c>
      <c r="F830" s="24">
        <v>24</v>
      </c>
      <c r="G830" s="23" t="s">
        <v>66</v>
      </c>
      <c r="H830" s="23"/>
      <c r="I830" s="47"/>
      <c r="L830" s="182"/>
      <c r="M830" s="179"/>
      <c r="N830" s="23" t="s">
        <v>83</v>
      </c>
      <c r="O830" s="24">
        <v>6</v>
      </c>
      <c r="P830" s="24">
        <v>24</v>
      </c>
      <c r="Q830" s="23" t="s">
        <v>66</v>
      </c>
      <c r="R830" s="23"/>
      <c r="S830" s="47"/>
    </row>
    <row r="831" spans="2:19" x14ac:dyDescent="0.25">
      <c r="B831" s="189" t="s">
        <v>80</v>
      </c>
      <c r="C831" s="192" t="s">
        <v>77</v>
      </c>
      <c r="D831" s="27" t="s">
        <v>2</v>
      </c>
      <c r="E831" s="28">
        <v>1</v>
      </c>
      <c r="F831" s="28">
        <v>25</v>
      </c>
      <c r="G831" s="27" t="s">
        <v>66</v>
      </c>
      <c r="H831" s="27"/>
      <c r="I831" s="48"/>
      <c r="L831" s="189" t="s">
        <v>80</v>
      </c>
      <c r="M831" s="192" t="s">
        <v>77</v>
      </c>
      <c r="N831" s="27" t="s">
        <v>2</v>
      </c>
      <c r="O831" s="28">
        <v>1</v>
      </c>
      <c r="P831" s="28">
        <v>25</v>
      </c>
      <c r="Q831" s="27" t="s">
        <v>66</v>
      </c>
      <c r="R831" s="27"/>
      <c r="S831" s="48"/>
    </row>
    <row r="832" spans="2:19" x14ac:dyDescent="0.25">
      <c r="B832" s="190"/>
      <c r="C832" s="193"/>
      <c r="D832" s="27" t="s">
        <v>3</v>
      </c>
      <c r="E832" s="28">
        <v>2</v>
      </c>
      <c r="F832" s="28">
        <v>26</v>
      </c>
      <c r="G832" s="27" t="s">
        <v>66</v>
      </c>
      <c r="H832" s="27"/>
      <c r="I832" s="48"/>
      <c r="L832" s="190"/>
      <c r="M832" s="193"/>
      <c r="N832" s="27" t="s">
        <v>3</v>
      </c>
      <c r="O832" s="28">
        <v>2</v>
      </c>
      <c r="P832" s="28">
        <v>26</v>
      </c>
      <c r="Q832" s="27" t="s">
        <v>66</v>
      </c>
      <c r="R832" s="27"/>
      <c r="S832" s="48"/>
    </row>
    <row r="833" spans="2:19" x14ac:dyDescent="0.25">
      <c r="B833" s="190"/>
      <c r="C833" s="193"/>
      <c r="D833" s="27" t="s">
        <v>80</v>
      </c>
      <c r="E833" s="28">
        <v>3</v>
      </c>
      <c r="F833" s="28">
        <v>27</v>
      </c>
      <c r="G833" s="27" t="s">
        <v>66</v>
      </c>
      <c r="H833" s="27"/>
      <c r="I833" s="48"/>
      <c r="L833" s="190"/>
      <c r="M833" s="193"/>
      <c r="N833" s="27" t="s">
        <v>80</v>
      </c>
      <c r="O833" s="28">
        <v>3</v>
      </c>
      <c r="P833" s="28">
        <v>27</v>
      </c>
      <c r="Q833" s="27" t="s">
        <v>66</v>
      </c>
      <c r="R833" s="27"/>
      <c r="S833" s="48"/>
    </row>
    <row r="834" spans="2:19" x14ac:dyDescent="0.25">
      <c r="B834" s="190"/>
      <c r="C834" s="193"/>
      <c r="D834" s="27" t="s">
        <v>81</v>
      </c>
      <c r="E834" s="28">
        <v>4</v>
      </c>
      <c r="F834" s="28">
        <v>28</v>
      </c>
      <c r="G834" s="27" t="s">
        <v>66</v>
      </c>
      <c r="H834" s="27"/>
      <c r="I834" s="48"/>
      <c r="L834" s="190"/>
      <c r="M834" s="193"/>
      <c r="N834" s="27" t="s">
        <v>81</v>
      </c>
      <c r="O834" s="28">
        <v>4</v>
      </c>
      <c r="P834" s="28">
        <v>28</v>
      </c>
      <c r="Q834" s="27" t="s">
        <v>66</v>
      </c>
      <c r="R834" s="27"/>
      <c r="S834" s="48"/>
    </row>
    <row r="835" spans="2:19" x14ac:dyDescent="0.25">
      <c r="B835" s="190"/>
      <c r="C835" s="193"/>
      <c r="D835" s="27" t="s">
        <v>82</v>
      </c>
      <c r="E835" s="28">
        <v>5</v>
      </c>
      <c r="F835" s="28">
        <v>29</v>
      </c>
      <c r="G835" s="27" t="s">
        <v>66</v>
      </c>
      <c r="H835" s="27"/>
      <c r="I835" s="48"/>
      <c r="L835" s="190"/>
      <c r="M835" s="193"/>
      <c r="N835" s="27" t="s">
        <v>82</v>
      </c>
      <c r="O835" s="28">
        <v>5</v>
      </c>
      <c r="P835" s="28">
        <v>29</v>
      </c>
      <c r="Q835" s="27" t="s">
        <v>66</v>
      </c>
      <c r="R835" s="27"/>
      <c r="S835" s="48"/>
    </row>
    <row r="836" spans="2:19" ht="15.75" thickBot="1" x14ac:dyDescent="0.3">
      <c r="B836" s="190"/>
      <c r="C836" s="194"/>
      <c r="D836" s="27" t="s">
        <v>83</v>
      </c>
      <c r="E836" s="28">
        <v>6</v>
      </c>
      <c r="F836" s="28">
        <v>30</v>
      </c>
      <c r="G836" s="27" t="s">
        <v>66</v>
      </c>
      <c r="H836" s="27"/>
      <c r="I836" s="48"/>
      <c r="L836" s="190"/>
      <c r="M836" s="194"/>
      <c r="N836" s="27" t="s">
        <v>83</v>
      </c>
      <c r="O836" s="28">
        <v>6</v>
      </c>
      <c r="P836" s="28">
        <v>30</v>
      </c>
      <c r="Q836" s="27" t="s">
        <v>66</v>
      </c>
      <c r="R836" s="27"/>
      <c r="S836" s="48"/>
    </row>
    <row r="837" spans="2:19" x14ac:dyDescent="0.25">
      <c r="B837" s="190"/>
      <c r="C837" s="192" t="s">
        <v>84</v>
      </c>
      <c r="D837" s="27" t="s">
        <v>2</v>
      </c>
      <c r="E837" s="28">
        <v>1</v>
      </c>
      <c r="F837" s="28">
        <v>31</v>
      </c>
      <c r="G837" s="27" t="s">
        <v>66</v>
      </c>
      <c r="H837" s="27"/>
      <c r="I837" s="48"/>
      <c r="L837" s="190"/>
      <c r="M837" s="192" t="s">
        <v>84</v>
      </c>
      <c r="N837" s="27" t="s">
        <v>2</v>
      </c>
      <c r="O837" s="28">
        <v>1</v>
      </c>
      <c r="P837" s="28">
        <v>31</v>
      </c>
      <c r="Q837" s="27" t="s">
        <v>66</v>
      </c>
      <c r="R837" s="27"/>
      <c r="S837" s="48"/>
    </row>
    <row r="838" spans="2:19" x14ac:dyDescent="0.25">
      <c r="B838" s="190"/>
      <c r="C838" s="193"/>
      <c r="D838" s="27" t="s">
        <v>3</v>
      </c>
      <c r="E838" s="28">
        <v>2</v>
      </c>
      <c r="F838" s="28">
        <v>32</v>
      </c>
      <c r="G838" s="27" t="s">
        <v>66</v>
      </c>
      <c r="H838" s="27"/>
      <c r="I838" s="48"/>
      <c r="L838" s="190"/>
      <c r="M838" s="193"/>
      <c r="N838" s="27" t="s">
        <v>3</v>
      </c>
      <c r="O838" s="28">
        <v>2</v>
      </c>
      <c r="P838" s="28">
        <v>32</v>
      </c>
      <c r="Q838" s="27" t="s">
        <v>66</v>
      </c>
      <c r="R838" s="27"/>
      <c r="S838" s="48"/>
    </row>
    <row r="839" spans="2:19" x14ac:dyDescent="0.25">
      <c r="B839" s="190"/>
      <c r="C839" s="193"/>
      <c r="D839" s="27" t="s">
        <v>80</v>
      </c>
      <c r="E839" s="28">
        <v>3</v>
      </c>
      <c r="F839" s="28">
        <v>33</v>
      </c>
      <c r="G839" s="27" t="s">
        <v>66</v>
      </c>
      <c r="H839" s="27"/>
      <c r="I839" s="48"/>
      <c r="L839" s="190"/>
      <c r="M839" s="193"/>
      <c r="N839" s="27" t="s">
        <v>80</v>
      </c>
      <c r="O839" s="28">
        <v>3</v>
      </c>
      <c r="P839" s="28">
        <v>33</v>
      </c>
      <c r="Q839" s="27" t="s">
        <v>66</v>
      </c>
      <c r="R839" s="27"/>
      <c r="S839" s="48"/>
    </row>
    <row r="840" spans="2:19" x14ac:dyDescent="0.25">
      <c r="B840" s="190"/>
      <c r="C840" s="193"/>
      <c r="D840" s="27" t="s">
        <v>81</v>
      </c>
      <c r="E840" s="28">
        <v>4</v>
      </c>
      <c r="F840" s="28">
        <v>34</v>
      </c>
      <c r="G840" s="27" t="s">
        <v>66</v>
      </c>
      <c r="H840" s="27"/>
      <c r="I840" s="48"/>
      <c r="L840" s="190"/>
      <c r="M840" s="193"/>
      <c r="N840" s="27" t="s">
        <v>81</v>
      </c>
      <c r="O840" s="28">
        <v>4</v>
      </c>
      <c r="P840" s="28">
        <v>34</v>
      </c>
      <c r="Q840" s="27" t="s">
        <v>66</v>
      </c>
      <c r="R840" s="27"/>
      <c r="S840" s="48"/>
    </row>
    <row r="841" spans="2:19" x14ac:dyDescent="0.25">
      <c r="B841" s="190"/>
      <c r="C841" s="193"/>
      <c r="D841" s="27" t="s">
        <v>82</v>
      </c>
      <c r="E841" s="28">
        <v>5</v>
      </c>
      <c r="F841" s="28">
        <v>35</v>
      </c>
      <c r="G841" s="27" t="s">
        <v>66</v>
      </c>
      <c r="H841" s="27"/>
      <c r="I841" s="48"/>
      <c r="L841" s="190"/>
      <c r="M841" s="193"/>
      <c r="N841" s="27" t="s">
        <v>82</v>
      </c>
      <c r="O841" s="28">
        <v>5</v>
      </c>
      <c r="P841" s="28">
        <v>35</v>
      </c>
      <c r="Q841" s="27" t="s">
        <v>66</v>
      </c>
      <c r="R841" s="27"/>
      <c r="S841" s="48"/>
    </row>
    <row r="842" spans="2:19" ht="15.75" thickBot="1" x14ac:dyDescent="0.3">
      <c r="B842" s="191"/>
      <c r="C842" s="194"/>
      <c r="D842" s="27" t="s">
        <v>83</v>
      </c>
      <c r="E842" s="28">
        <v>6</v>
      </c>
      <c r="F842" s="28">
        <v>36</v>
      </c>
      <c r="G842" s="27" t="s">
        <v>66</v>
      </c>
      <c r="H842" s="27"/>
      <c r="I842" s="48"/>
      <c r="L842" s="191"/>
      <c r="M842" s="194"/>
      <c r="N842" s="27" t="s">
        <v>83</v>
      </c>
      <c r="O842" s="28">
        <v>6</v>
      </c>
      <c r="P842" s="28">
        <v>36</v>
      </c>
      <c r="Q842" s="27" t="s">
        <v>66</v>
      </c>
      <c r="R842" s="27"/>
      <c r="S842" s="48"/>
    </row>
    <row r="843" spans="2:19" x14ac:dyDescent="0.25">
      <c r="B843" s="183" t="s">
        <v>81</v>
      </c>
      <c r="C843" s="186" t="s">
        <v>77</v>
      </c>
      <c r="D843" s="29" t="s">
        <v>2</v>
      </c>
      <c r="E843" s="30">
        <v>1</v>
      </c>
      <c r="F843" s="30">
        <v>37</v>
      </c>
      <c r="G843" s="29" t="s">
        <v>66</v>
      </c>
      <c r="H843" s="29"/>
      <c r="I843" s="49"/>
      <c r="L843" s="183" t="s">
        <v>81</v>
      </c>
      <c r="M843" s="186" t="s">
        <v>77</v>
      </c>
      <c r="N843" s="29" t="s">
        <v>2</v>
      </c>
      <c r="O843" s="30">
        <v>1</v>
      </c>
      <c r="P843" s="30">
        <v>37</v>
      </c>
      <c r="Q843" s="29" t="s">
        <v>66</v>
      </c>
      <c r="R843" s="29"/>
      <c r="S843" s="49"/>
    </row>
    <row r="844" spans="2:19" x14ac:dyDescent="0.25">
      <c r="B844" s="184"/>
      <c r="C844" s="187"/>
      <c r="D844" s="29" t="s">
        <v>3</v>
      </c>
      <c r="E844" s="30">
        <v>2</v>
      </c>
      <c r="F844" s="30">
        <v>38</v>
      </c>
      <c r="G844" s="29" t="s">
        <v>66</v>
      </c>
      <c r="H844" s="29"/>
      <c r="I844" s="49"/>
      <c r="L844" s="184"/>
      <c r="M844" s="187"/>
      <c r="N844" s="29" t="s">
        <v>3</v>
      </c>
      <c r="O844" s="30">
        <v>2</v>
      </c>
      <c r="P844" s="30">
        <v>38</v>
      </c>
      <c r="Q844" s="29" t="s">
        <v>66</v>
      </c>
      <c r="R844" s="29"/>
      <c r="S844" s="49"/>
    </row>
    <row r="845" spans="2:19" x14ac:dyDescent="0.25">
      <c r="B845" s="184"/>
      <c r="C845" s="187"/>
      <c r="D845" s="29" t="s">
        <v>80</v>
      </c>
      <c r="E845" s="30">
        <v>3</v>
      </c>
      <c r="F845" s="30">
        <v>39</v>
      </c>
      <c r="G845" s="29" t="s">
        <v>66</v>
      </c>
      <c r="H845" s="29"/>
      <c r="I845" s="49"/>
      <c r="L845" s="184"/>
      <c r="M845" s="187"/>
      <c r="N845" s="29" t="s">
        <v>80</v>
      </c>
      <c r="O845" s="30">
        <v>3</v>
      </c>
      <c r="P845" s="30">
        <v>39</v>
      </c>
      <c r="Q845" s="29" t="s">
        <v>66</v>
      </c>
      <c r="R845" s="29"/>
      <c r="S845" s="49"/>
    </row>
    <row r="846" spans="2:19" x14ac:dyDescent="0.25">
      <c r="B846" s="184"/>
      <c r="C846" s="187"/>
      <c r="D846" s="29" t="s">
        <v>81</v>
      </c>
      <c r="E846" s="30">
        <v>4</v>
      </c>
      <c r="F846" s="30">
        <v>40</v>
      </c>
      <c r="G846" s="29" t="s">
        <v>66</v>
      </c>
      <c r="H846" s="29"/>
      <c r="I846" s="49"/>
      <c r="L846" s="184"/>
      <c r="M846" s="187"/>
      <c r="N846" s="29" t="s">
        <v>81</v>
      </c>
      <c r="O846" s="30">
        <v>4</v>
      </c>
      <c r="P846" s="30">
        <v>40</v>
      </c>
      <c r="Q846" s="29" t="s">
        <v>66</v>
      </c>
      <c r="R846" s="29"/>
      <c r="S846" s="49"/>
    </row>
    <row r="847" spans="2:19" x14ac:dyDescent="0.25">
      <c r="B847" s="184"/>
      <c r="C847" s="187"/>
      <c r="D847" s="29" t="s">
        <v>82</v>
      </c>
      <c r="E847" s="30">
        <v>5</v>
      </c>
      <c r="F847" s="30">
        <v>41</v>
      </c>
      <c r="G847" s="29" t="s">
        <v>66</v>
      </c>
      <c r="H847" s="29"/>
      <c r="I847" s="49"/>
      <c r="L847" s="184"/>
      <c r="M847" s="187"/>
      <c r="N847" s="29" t="s">
        <v>82</v>
      </c>
      <c r="O847" s="30">
        <v>5</v>
      </c>
      <c r="P847" s="30">
        <v>41</v>
      </c>
      <c r="Q847" s="29" t="s">
        <v>66</v>
      </c>
      <c r="R847" s="29"/>
      <c r="S847" s="49"/>
    </row>
    <row r="848" spans="2:19" ht="15.75" thickBot="1" x14ac:dyDescent="0.3">
      <c r="B848" s="184"/>
      <c r="C848" s="188"/>
      <c r="D848" s="29" t="s">
        <v>83</v>
      </c>
      <c r="E848" s="30">
        <v>6</v>
      </c>
      <c r="F848" s="30">
        <v>42</v>
      </c>
      <c r="G848" s="29" t="s">
        <v>66</v>
      </c>
      <c r="H848" s="29"/>
      <c r="I848" s="49"/>
      <c r="L848" s="184"/>
      <c r="M848" s="188"/>
      <c r="N848" s="29" t="s">
        <v>83</v>
      </c>
      <c r="O848" s="30">
        <v>6</v>
      </c>
      <c r="P848" s="30">
        <v>42</v>
      </c>
      <c r="Q848" s="29" t="s">
        <v>66</v>
      </c>
      <c r="R848" s="29"/>
      <c r="S848" s="49"/>
    </row>
    <row r="849" spans="2:19" x14ac:dyDescent="0.25">
      <c r="B849" s="184"/>
      <c r="C849" s="186" t="s">
        <v>84</v>
      </c>
      <c r="D849" s="29" t="s">
        <v>2</v>
      </c>
      <c r="E849" s="30">
        <v>1</v>
      </c>
      <c r="F849" s="30">
        <v>43</v>
      </c>
      <c r="G849" s="29" t="s">
        <v>66</v>
      </c>
      <c r="H849" s="29"/>
      <c r="I849" s="49"/>
      <c r="L849" s="184"/>
      <c r="M849" s="186" t="s">
        <v>84</v>
      </c>
      <c r="N849" s="29" t="s">
        <v>2</v>
      </c>
      <c r="O849" s="30">
        <v>1</v>
      </c>
      <c r="P849" s="30">
        <v>43</v>
      </c>
      <c r="Q849" s="29" t="s">
        <v>66</v>
      </c>
      <c r="R849" s="29"/>
      <c r="S849" s="49"/>
    </row>
    <row r="850" spans="2:19" x14ac:dyDescent="0.25">
      <c r="B850" s="184"/>
      <c r="C850" s="187"/>
      <c r="D850" s="29" t="s">
        <v>3</v>
      </c>
      <c r="E850" s="30">
        <v>2</v>
      </c>
      <c r="F850" s="30">
        <v>44</v>
      </c>
      <c r="G850" s="29" t="s">
        <v>66</v>
      </c>
      <c r="H850" s="29"/>
      <c r="I850" s="49"/>
      <c r="L850" s="184"/>
      <c r="M850" s="187"/>
      <c r="N850" s="29" t="s">
        <v>3</v>
      </c>
      <c r="O850" s="30">
        <v>2</v>
      </c>
      <c r="P850" s="30">
        <v>44</v>
      </c>
      <c r="Q850" s="29" t="s">
        <v>66</v>
      </c>
      <c r="R850" s="29"/>
      <c r="S850" s="49"/>
    </row>
    <row r="851" spans="2:19" x14ac:dyDescent="0.25">
      <c r="B851" s="184"/>
      <c r="C851" s="187"/>
      <c r="D851" s="29" t="s">
        <v>80</v>
      </c>
      <c r="E851" s="30">
        <v>3</v>
      </c>
      <c r="F851" s="30">
        <v>45</v>
      </c>
      <c r="G851" s="29" t="s">
        <v>66</v>
      </c>
      <c r="H851" s="29"/>
      <c r="I851" s="49"/>
      <c r="L851" s="184"/>
      <c r="M851" s="187"/>
      <c r="N851" s="29" t="s">
        <v>80</v>
      </c>
      <c r="O851" s="30">
        <v>3</v>
      </c>
      <c r="P851" s="30">
        <v>45</v>
      </c>
      <c r="Q851" s="29" t="s">
        <v>66</v>
      </c>
      <c r="R851" s="29"/>
      <c r="S851" s="49"/>
    </row>
    <row r="852" spans="2:19" x14ac:dyDescent="0.25">
      <c r="B852" s="184"/>
      <c r="C852" s="187"/>
      <c r="D852" s="29" t="s">
        <v>81</v>
      </c>
      <c r="E852" s="30">
        <v>4</v>
      </c>
      <c r="F852" s="30">
        <v>46</v>
      </c>
      <c r="G852" s="29" t="s">
        <v>66</v>
      </c>
      <c r="H852" s="29"/>
      <c r="I852" s="49"/>
      <c r="L852" s="184"/>
      <c r="M852" s="187"/>
      <c r="N852" s="29" t="s">
        <v>81</v>
      </c>
      <c r="O852" s="30">
        <v>4</v>
      </c>
      <c r="P852" s="30">
        <v>46</v>
      </c>
      <c r="Q852" s="29" t="s">
        <v>66</v>
      </c>
      <c r="R852" s="29"/>
      <c r="S852" s="49"/>
    </row>
    <row r="853" spans="2:19" x14ac:dyDescent="0.25">
      <c r="B853" s="184"/>
      <c r="C853" s="187"/>
      <c r="D853" s="29" t="s">
        <v>82</v>
      </c>
      <c r="E853" s="30">
        <v>5</v>
      </c>
      <c r="F853" s="30">
        <v>47</v>
      </c>
      <c r="G853" s="29" t="s">
        <v>66</v>
      </c>
      <c r="H853" s="29"/>
      <c r="I853" s="49"/>
      <c r="L853" s="184"/>
      <c r="M853" s="187"/>
      <c r="N853" s="29" t="s">
        <v>82</v>
      </c>
      <c r="O853" s="30">
        <v>5</v>
      </c>
      <c r="P853" s="30">
        <v>47</v>
      </c>
      <c r="Q853" s="29" t="s">
        <v>66</v>
      </c>
      <c r="R853" s="29"/>
      <c r="S853" s="49"/>
    </row>
    <row r="854" spans="2:19" ht="15.75" thickBot="1" x14ac:dyDescent="0.3">
      <c r="B854" s="185"/>
      <c r="C854" s="188"/>
      <c r="D854" s="29" t="s">
        <v>83</v>
      </c>
      <c r="E854" s="30">
        <v>6</v>
      </c>
      <c r="F854" s="30">
        <v>48</v>
      </c>
      <c r="G854" s="29" t="s">
        <v>66</v>
      </c>
      <c r="H854" s="29"/>
      <c r="I854" s="49"/>
      <c r="L854" s="185"/>
      <c r="M854" s="188"/>
      <c r="N854" s="29" t="s">
        <v>83</v>
      </c>
      <c r="O854" s="30">
        <v>6</v>
      </c>
      <c r="P854" s="30">
        <v>48</v>
      </c>
      <c r="Q854" s="29" t="s">
        <v>66</v>
      </c>
      <c r="R854" s="29"/>
      <c r="S854" s="49"/>
    </row>
    <row r="863" spans="2:19" ht="15.75" thickBot="1" x14ac:dyDescent="0.3"/>
    <row r="864" spans="2:19" ht="15.75" thickBot="1" x14ac:dyDescent="0.3">
      <c r="B864" s="171" t="s">
        <v>284</v>
      </c>
      <c r="C864" s="172"/>
      <c r="D864" s="172"/>
      <c r="E864" s="172"/>
      <c r="F864" s="172"/>
      <c r="G864" s="172"/>
      <c r="H864" s="172"/>
      <c r="I864" s="173"/>
      <c r="L864" s="171" t="s">
        <v>285</v>
      </c>
      <c r="M864" s="172"/>
      <c r="N864" s="172"/>
      <c r="O864" s="172"/>
      <c r="P864" s="172"/>
      <c r="Q864" s="172"/>
      <c r="R864" s="172"/>
      <c r="S864" s="173"/>
    </row>
    <row r="866" spans="2:19" ht="26.25" thickBot="1" x14ac:dyDescent="0.3">
      <c r="B866" s="15" t="s">
        <v>70</v>
      </c>
      <c r="C866" s="16" t="s">
        <v>71</v>
      </c>
      <c r="D866" s="15" t="s">
        <v>72</v>
      </c>
      <c r="E866" s="17" t="s">
        <v>73</v>
      </c>
      <c r="F866" s="17" t="s">
        <v>74</v>
      </c>
      <c r="G866" s="15" t="s">
        <v>75</v>
      </c>
      <c r="H866" s="15" t="s">
        <v>55</v>
      </c>
      <c r="I866" s="15" t="s">
        <v>76</v>
      </c>
      <c r="L866" s="15" t="s">
        <v>70</v>
      </c>
      <c r="M866" s="16" t="s">
        <v>71</v>
      </c>
      <c r="N866" s="15" t="s">
        <v>72</v>
      </c>
      <c r="O866" s="17" t="s">
        <v>73</v>
      </c>
      <c r="P866" s="17" t="s">
        <v>74</v>
      </c>
      <c r="Q866" s="15" t="s">
        <v>75</v>
      </c>
      <c r="R866" s="15" t="s">
        <v>55</v>
      </c>
      <c r="S866" s="15" t="s">
        <v>76</v>
      </c>
    </row>
    <row r="867" spans="2:19" x14ac:dyDescent="0.25">
      <c r="B867" s="174" t="s">
        <v>2</v>
      </c>
      <c r="C867" s="168" t="s">
        <v>77</v>
      </c>
      <c r="D867" s="18" t="s">
        <v>2</v>
      </c>
      <c r="E867" s="19">
        <v>1</v>
      </c>
      <c r="F867" s="19">
        <v>1</v>
      </c>
      <c r="G867" s="18" t="s">
        <v>66</v>
      </c>
      <c r="H867" s="32"/>
      <c r="I867" s="50"/>
      <c r="L867" s="174" t="s">
        <v>2</v>
      </c>
      <c r="M867" s="168" t="s">
        <v>77</v>
      </c>
      <c r="N867" s="18" t="s">
        <v>2</v>
      </c>
      <c r="O867" s="19">
        <v>1</v>
      </c>
      <c r="P867" s="19">
        <v>1</v>
      </c>
      <c r="Q867" s="18" t="s">
        <v>66</v>
      </c>
      <c r="R867" s="32"/>
      <c r="S867" s="50"/>
    </row>
    <row r="868" spans="2:19" x14ac:dyDescent="0.25">
      <c r="B868" s="175"/>
      <c r="C868" s="169"/>
      <c r="D868" s="18" t="s">
        <v>3</v>
      </c>
      <c r="E868" s="19">
        <v>2</v>
      </c>
      <c r="F868" s="19">
        <v>2</v>
      </c>
      <c r="G868" s="18" t="s">
        <v>66</v>
      </c>
      <c r="H868" s="32"/>
      <c r="I868" s="50"/>
      <c r="L868" s="175"/>
      <c r="M868" s="169"/>
      <c r="N868" s="18" t="s">
        <v>3</v>
      </c>
      <c r="O868" s="19">
        <v>2</v>
      </c>
      <c r="P868" s="19">
        <v>2</v>
      </c>
      <c r="Q868" s="18" t="s">
        <v>66</v>
      </c>
      <c r="R868" s="32"/>
      <c r="S868" s="50"/>
    </row>
    <row r="869" spans="2:19" x14ac:dyDescent="0.25">
      <c r="B869" s="175"/>
      <c r="C869" s="169"/>
      <c r="D869" s="18" t="s">
        <v>80</v>
      </c>
      <c r="E869" s="20">
        <v>3</v>
      </c>
      <c r="F869" s="20">
        <v>3</v>
      </c>
      <c r="G869" s="18" t="s">
        <v>66</v>
      </c>
      <c r="H869" s="32"/>
      <c r="I869" s="50"/>
      <c r="L869" s="175"/>
      <c r="M869" s="169"/>
      <c r="N869" s="18" t="s">
        <v>80</v>
      </c>
      <c r="O869" s="20">
        <v>3</v>
      </c>
      <c r="P869" s="20">
        <v>3</v>
      </c>
      <c r="Q869" s="18" t="s">
        <v>66</v>
      </c>
      <c r="R869" s="32"/>
      <c r="S869" s="50"/>
    </row>
    <row r="870" spans="2:19" x14ac:dyDescent="0.25">
      <c r="B870" s="175"/>
      <c r="C870" s="169"/>
      <c r="D870" s="18" t="s">
        <v>81</v>
      </c>
      <c r="E870" s="20">
        <v>4</v>
      </c>
      <c r="F870" s="20">
        <v>4</v>
      </c>
      <c r="G870" s="18" t="s">
        <v>66</v>
      </c>
      <c r="H870" s="32"/>
      <c r="I870" s="50"/>
      <c r="L870" s="175"/>
      <c r="M870" s="169"/>
      <c r="N870" s="18" t="s">
        <v>81</v>
      </c>
      <c r="O870" s="20">
        <v>4</v>
      </c>
      <c r="P870" s="20">
        <v>4</v>
      </c>
      <c r="Q870" s="18" t="s">
        <v>66</v>
      </c>
      <c r="R870" s="32"/>
      <c r="S870" s="50"/>
    </row>
    <row r="871" spans="2:19" x14ac:dyDescent="0.25">
      <c r="B871" s="175"/>
      <c r="C871" s="169"/>
      <c r="D871" s="18" t="s">
        <v>82</v>
      </c>
      <c r="E871" s="20">
        <v>5</v>
      </c>
      <c r="F871" s="20">
        <v>5</v>
      </c>
      <c r="G871" s="18" t="s">
        <v>66</v>
      </c>
      <c r="H871" s="32"/>
      <c r="I871" s="50"/>
      <c r="L871" s="175"/>
      <c r="M871" s="169"/>
      <c r="N871" s="18" t="s">
        <v>82</v>
      </c>
      <c r="O871" s="20">
        <v>5</v>
      </c>
      <c r="P871" s="20">
        <v>5</v>
      </c>
      <c r="Q871" s="18" t="s">
        <v>66</v>
      </c>
      <c r="R871" s="32"/>
      <c r="S871" s="50"/>
    </row>
    <row r="872" spans="2:19" ht="15.75" thickBot="1" x14ac:dyDescent="0.3">
      <c r="B872" s="175"/>
      <c r="C872" s="170"/>
      <c r="D872" s="18" t="s">
        <v>83</v>
      </c>
      <c r="E872" s="20">
        <v>6</v>
      </c>
      <c r="F872" s="20">
        <v>6</v>
      </c>
      <c r="G872" s="18" t="s">
        <v>66</v>
      </c>
      <c r="H872" s="32"/>
      <c r="I872" s="50"/>
      <c r="L872" s="175"/>
      <c r="M872" s="170"/>
      <c r="N872" s="18" t="s">
        <v>83</v>
      </c>
      <c r="O872" s="20">
        <v>6</v>
      </c>
      <c r="P872" s="20">
        <v>6</v>
      </c>
      <c r="Q872" s="18" t="s">
        <v>66</v>
      </c>
      <c r="R872" s="32"/>
      <c r="S872" s="50"/>
    </row>
    <row r="873" spans="2:19" x14ac:dyDescent="0.25">
      <c r="B873" s="175"/>
      <c r="C873" s="168" t="s">
        <v>84</v>
      </c>
      <c r="D873" s="18" t="s">
        <v>2</v>
      </c>
      <c r="E873" s="19">
        <v>1</v>
      </c>
      <c r="F873" s="19">
        <v>7</v>
      </c>
      <c r="G873" s="18" t="s">
        <v>66</v>
      </c>
      <c r="H873" s="32"/>
      <c r="I873" s="50"/>
      <c r="L873" s="175"/>
      <c r="M873" s="168" t="s">
        <v>84</v>
      </c>
      <c r="N873" s="18" t="s">
        <v>2</v>
      </c>
      <c r="O873" s="19">
        <v>1</v>
      </c>
      <c r="P873" s="19">
        <v>7</v>
      </c>
      <c r="Q873" s="18" t="s">
        <v>66</v>
      </c>
      <c r="R873" s="32"/>
      <c r="S873" s="50"/>
    </row>
    <row r="874" spans="2:19" x14ac:dyDescent="0.25">
      <c r="B874" s="175"/>
      <c r="C874" s="169"/>
      <c r="D874" s="18" t="s">
        <v>3</v>
      </c>
      <c r="E874" s="19">
        <v>2</v>
      </c>
      <c r="F874" s="19">
        <v>8</v>
      </c>
      <c r="G874" s="18" t="s">
        <v>66</v>
      </c>
      <c r="H874" s="32"/>
      <c r="I874" s="50"/>
      <c r="L874" s="175"/>
      <c r="M874" s="169"/>
      <c r="N874" s="18" t="s">
        <v>3</v>
      </c>
      <c r="O874" s="19">
        <v>2</v>
      </c>
      <c r="P874" s="19">
        <v>8</v>
      </c>
      <c r="Q874" s="18" t="s">
        <v>66</v>
      </c>
      <c r="R874" s="32"/>
      <c r="S874" s="50"/>
    </row>
    <row r="875" spans="2:19" x14ac:dyDescent="0.25">
      <c r="B875" s="175"/>
      <c r="C875" s="169"/>
      <c r="D875" s="18" t="s">
        <v>80</v>
      </c>
      <c r="E875" s="20">
        <v>3</v>
      </c>
      <c r="F875" s="20">
        <v>9</v>
      </c>
      <c r="G875" s="18" t="s">
        <v>66</v>
      </c>
      <c r="H875" s="32"/>
      <c r="I875" s="50"/>
      <c r="L875" s="175"/>
      <c r="M875" s="169"/>
      <c r="N875" s="18" t="s">
        <v>80</v>
      </c>
      <c r="O875" s="20">
        <v>3</v>
      </c>
      <c r="P875" s="20">
        <v>9</v>
      </c>
      <c r="Q875" s="18" t="s">
        <v>66</v>
      </c>
      <c r="R875" s="32"/>
      <c r="S875" s="50"/>
    </row>
    <row r="876" spans="2:19" x14ac:dyDescent="0.25">
      <c r="B876" s="175"/>
      <c r="C876" s="169"/>
      <c r="D876" s="18" t="s">
        <v>81</v>
      </c>
      <c r="E876" s="20">
        <v>4</v>
      </c>
      <c r="F876" s="20">
        <v>10</v>
      </c>
      <c r="G876" s="18" t="s">
        <v>66</v>
      </c>
      <c r="H876" s="32"/>
      <c r="I876" s="50"/>
      <c r="L876" s="175"/>
      <c r="M876" s="169"/>
      <c r="N876" s="18" t="s">
        <v>81</v>
      </c>
      <c r="O876" s="20">
        <v>4</v>
      </c>
      <c r="P876" s="20">
        <v>10</v>
      </c>
      <c r="Q876" s="18" t="s">
        <v>66</v>
      </c>
      <c r="R876" s="32"/>
      <c r="S876" s="50"/>
    </row>
    <row r="877" spans="2:19" x14ac:dyDescent="0.25">
      <c r="B877" s="175"/>
      <c r="C877" s="169"/>
      <c r="D877" s="18" t="s">
        <v>82</v>
      </c>
      <c r="E877" s="20">
        <v>5</v>
      </c>
      <c r="F877" s="20">
        <v>11</v>
      </c>
      <c r="G877" s="18" t="s">
        <v>66</v>
      </c>
      <c r="H877" s="32"/>
      <c r="I877" s="50"/>
      <c r="L877" s="175"/>
      <c r="M877" s="169"/>
      <c r="N877" s="18" t="s">
        <v>82</v>
      </c>
      <c r="O877" s="20">
        <v>5</v>
      </c>
      <c r="P877" s="20">
        <v>11</v>
      </c>
      <c r="Q877" s="18" t="s">
        <v>66</v>
      </c>
      <c r="R877" s="32"/>
      <c r="S877" s="50"/>
    </row>
    <row r="878" spans="2:19" ht="15.75" thickBot="1" x14ac:dyDescent="0.3">
      <c r="B878" s="176"/>
      <c r="C878" s="170"/>
      <c r="D878" s="18" t="s">
        <v>83</v>
      </c>
      <c r="E878" s="20">
        <v>6</v>
      </c>
      <c r="F878" s="20">
        <v>12</v>
      </c>
      <c r="G878" s="18" t="s">
        <v>66</v>
      </c>
      <c r="H878" s="32"/>
      <c r="I878" s="50"/>
      <c r="L878" s="176"/>
      <c r="M878" s="170"/>
      <c r="N878" s="18" t="s">
        <v>83</v>
      </c>
      <c r="O878" s="20">
        <v>6</v>
      </c>
      <c r="P878" s="20">
        <v>12</v>
      </c>
      <c r="Q878" s="18" t="s">
        <v>66</v>
      </c>
      <c r="R878" s="32"/>
      <c r="S878" s="50"/>
    </row>
    <row r="879" spans="2:19" x14ac:dyDescent="0.25">
      <c r="B879" s="180" t="s">
        <v>3</v>
      </c>
      <c r="C879" s="177" t="s">
        <v>77</v>
      </c>
      <c r="D879" s="21" t="s">
        <v>2</v>
      </c>
      <c r="E879" s="22">
        <v>1</v>
      </c>
      <c r="F879" s="22">
        <v>13</v>
      </c>
      <c r="G879" s="21" t="s">
        <v>78</v>
      </c>
      <c r="H879" s="159" t="s">
        <v>126</v>
      </c>
      <c r="I879" s="162" t="s">
        <v>171</v>
      </c>
      <c r="L879" s="180" t="s">
        <v>3</v>
      </c>
      <c r="M879" s="177" t="s">
        <v>77</v>
      </c>
      <c r="N879" s="21" t="s">
        <v>2</v>
      </c>
      <c r="O879" s="22">
        <v>1</v>
      </c>
      <c r="P879" s="22">
        <v>13</v>
      </c>
      <c r="Q879" s="21" t="s">
        <v>78</v>
      </c>
      <c r="R879" s="159" t="s">
        <v>126</v>
      </c>
      <c r="S879" s="162" t="s">
        <v>173</v>
      </c>
    </row>
    <row r="880" spans="2:19" x14ac:dyDescent="0.25">
      <c r="B880" s="181"/>
      <c r="C880" s="178"/>
      <c r="D880" s="23" t="s">
        <v>3</v>
      </c>
      <c r="E880" s="24">
        <v>2</v>
      </c>
      <c r="F880" s="24">
        <v>14</v>
      </c>
      <c r="G880" s="23" t="s">
        <v>78</v>
      </c>
      <c r="H880" s="160"/>
      <c r="I880" s="163"/>
      <c r="L880" s="181"/>
      <c r="M880" s="178"/>
      <c r="N880" s="23" t="s">
        <v>3</v>
      </c>
      <c r="O880" s="24">
        <v>2</v>
      </c>
      <c r="P880" s="24">
        <v>14</v>
      </c>
      <c r="Q880" s="23" t="s">
        <v>78</v>
      </c>
      <c r="R880" s="160"/>
      <c r="S880" s="163"/>
    </row>
    <row r="881" spans="2:19" x14ac:dyDescent="0.25">
      <c r="B881" s="181"/>
      <c r="C881" s="178"/>
      <c r="D881" s="23" t="s">
        <v>80</v>
      </c>
      <c r="E881" s="24">
        <v>3</v>
      </c>
      <c r="F881" s="24">
        <v>15</v>
      </c>
      <c r="G881" s="23" t="s">
        <v>66</v>
      </c>
      <c r="H881" s="160"/>
      <c r="I881" s="163"/>
      <c r="L881" s="181"/>
      <c r="M881" s="178"/>
      <c r="N881" s="23" t="s">
        <v>80</v>
      </c>
      <c r="O881" s="24">
        <v>3</v>
      </c>
      <c r="P881" s="24">
        <v>15</v>
      </c>
      <c r="Q881" s="23" t="s">
        <v>66</v>
      </c>
      <c r="R881" s="160"/>
      <c r="S881" s="163"/>
    </row>
    <row r="882" spans="2:19" x14ac:dyDescent="0.25">
      <c r="B882" s="181"/>
      <c r="C882" s="178"/>
      <c r="D882" s="23" t="s">
        <v>81</v>
      </c>
      <c r="E882" s="24">
        <v>4</v>
      </c>
      <c r="F882" s="24">
        <v>16</v>
      </c>
      <c r="G882" s="23" t="s">
        <v>66</v>
      </c>
      <c r="H882" s="160"/>
      <c r="I882" s="163"/>
      <c r="L882" s="181"/>
      <c r="M882" s="178"/>
      <c r="N882" s="23" t="s">
        <v>81</v>
      </c>
      <c r="O882" s="24">
        <v>4</v>
      </c>
      <c r="P882" s="24">
        <v>16</v>
      </c>
      <c r="Q882" s="23" t="s">
        <v>66</v>
      </c>
      <c r="R882" s="160"/>
      <c r="S882" s="163"/>
    </row>
    <row r="883" spans="2:19" x14ac:dyDescent="0.25">
      <c r="B883" s="181"/>
      <c r="C883" s="178"/>
      <c r="D883" s="23" t="s">
        <v>82</v>
      </c>
      <c r="E883" s="24">
        <v>5</v>
      </c>
      <c r="F883" s="24">
        <v>17</v>
      </c>
      <c r="G883" s="23" t="s">
        <v>66</v>
      </c>
      <c r="H883" s="160"/>
      <c r="I883" s="163"/>
      <c r="L883" s="181"/>
      <c r="M883" s="178"/>
      <c r="N883" s="23" t="s">
        <v>82</v>
      </c>
      <c r="O883" s="24">
        <v>5</v>
      </c>
      <c r="P883" s="24">
        <v>17</v>
      </c>
      <c r="Q883" s="23" t="s">
        <v>66</v>
      </c>
      <c r="R883" s="160"/>
      <c r="S883" s="163"/>
    </row>
    <row r="884" spans="2:19" ht="15.75" thickBot="1" x14ac:dyDescent="0.3">
      <c r="B884" s="181"/>
      <c r="C884" s="179"/>
      <c r="D884" s="23" t="s">
        <v>83</v>
      </c>
      <c r="E884" s="24">
        <v>6</v>
      </c>
      <c r="F884" s="24">
        <v>18</v>
      </c>
      <c r="G884" s="23" t="s">
        <v>66</v>
      </c>
      <c r="H884" s="161"/>
      <c r="I884" s="164"/>
      <c r="L884" s="181"/>
      <c r="M884" s="179"/>
      <c r="N884" s="23" t="s">
        <v>83</v>
      </c>
      <c r="O884" s="24">
        <v>6</v>
      </c>
      <c r="P884" s="24">
        <v>18</v>
      </c>
      <c r="Q884" s="23" t="s">
        <v>66</v>
      </c>
      <c r="R884" s="161"/>
      <c r="S884" s="164"/>
    </row>
    <row r="885" spans="2:19" x14ac:dyDescent="0.25">
      <c r="B885" s="181"/>
      <c r="C885" s="177" t="s">
        <v>84</v>
      </c>
      <c r="D885" s="23" t="s">
        <v>2</v>
      </c>
      <c r="E885" s="24">
        <v>1</v>
      </c>
      <c r="F885" s="24">
        <v>19</v>
      </c>
      <c r="G885" s="23" t="s">
        <v>66</v>
      </c>
      <c r="H885" s="23"/>
      <c r="I885" s="47"/>
      <c r="L885" s="181"/>
      <c r="M885" s="177" t="s">
        <v>84</v>
      </c>
      <c r="N885" s="23" t="s">
        <v>2</v>
      </c>
      <c r="O885" s="24">
        <v>1</v>
      </c>
      <c r="P885" s="24">
        <v>19</v>
      </c>
      <c r="Q885" s="23" t="s">
        <v>66</v>
      </c>
      <c r="R885" s="23"/>
      <c r="S885" s="47"/>
    </row>
    <row r="886" spans="2:19" x14ac:dyDescent="0.25">
      <c r="B886" s="181"/>
      <c r="C886" s="178"/>
      <c r="D886" s="23" t="s">
        <v>3</v>
      </c>
      <c r="E886" s="24">
        <v>2</v>
      </c>
      <c r="F886" s="24">
        <v>20</v>
      </c>
      <c r="G886" s="23" t="s">
        <v>66</v>
      </c>
      <c r="H886" s="23"/>
      <c r="I886" s="47"/>
      <c r="L886" s="181"/>
      <c r="M886" s="178"/>
      <c r="N886" s="23" t="s">
        <v>3</v>
      </c>
      <c r="O886" s="24">
        <v>2</v>
      </c>
      <c r="P886" s="24">
        <v>20</v>
      </c>
      <c r="Q886" s="23" t="s">
        <v>66</v>
      </c>
      <c r="R886" s="23"/>
      <c r="S886" s="47"/>
    </row>
    <row r="887" spans="2:19" x14ac:dyDescent="0.25">
      <c r="B887" s="181"/>
      <c r="C887" s="178"/>
      <c r="D887" s="23" t="s">
        <v>80</v>
      </c>
      <c r="E887" s="26">
        <v>3</v>
      </c>
      <c r="F887" s="24">
        <v>21</v>
      </c>
      <c r="G887" s="23" t="s">
        <v>66</v>
      </c>
      <c r="H887" s="23"/>
      <c r="I887" s="47"/>
      <c r="L887" s="181"/>
      <c r="M887" s="178"/>
      <c r="N887" s="23" t="s">
        <v>80</v>
      </c>
      <c r="O887" s="26">
        <v>3</v>
      </c>
      <c r="P887" s="24">
        <v>21</v>
      </c>
      <c r="Q887" s="23" t="s">
        <v>66</v>
      </c>
      <c r="R887" s="23"/>
      <c r="S887" s="47"/>
    </row>
    <row r="888" spans="2:19" x14ac:dyDescent="0.25">
      <c r="B888" s="181"/>
      <c r="C888" s="178"/>
      <c r="D888" s="23" t="s">
        <v>81</v>
      </c>
      <c r="E888" s="24">
        <v>4</v>
      </c>
      <c r="F888" s="24">
        <v>22</v>
      </c>
      <c r="G888" s="23" t="s">
        <v>66</v>
      </c>
      <c r="H888" s="23"/>
      <c r="I888" s="47"/>
      <c r="L888" s="181"/>
      <c r="M888" s="178"/>
      <c r="N888" s="23" t="s">
        <v>81</v>
      </c>
      <c r="O888" s="24">
        <v>4</v>
      </c>
      <c r="P888" s="24">
        <v>22</v>
      </c>
      <c r="Q888" s="23" t="s">
        <v>66</v>
      </c>
      <c r="R888" s="23"/>
      <c r="S888" s="47"/>
    </row>
    <row r="889" spans="2:19" x14ac:dyDescent="0.25">
      <c r="B889" s="181"/>
      <c r="C889" s="178"/>
      <c r="D889" s="23" t="s">
        <v>82</v>
      </c>
      <c r="E889" s="24">
        <v>5</v>
      </c>
      <c r="F889" s="24">
        <v>23</v>
      </c>
      <c r="G889" s="23" t="s">
        <v>66</v>
      </c>
      <c r="H889" s="23"/>
      <c r="I889" s="47"/>
      <c r="L889" s="181"/>
      <c r="M889" s="178"/>
      <c r="N889" s="23" t="s">
        <v>82</v>
      </c>
      <c r="O889" s="24">
        <v>5</v>
      </c>
      <c r="P889" s="24">
        <v>23</v>
      </c>
      <c r="Q889" s="23" t="s">
        <v>66</v>
      </c>
      <c r="R889" s="23"/>
      <c r="S889" s="47"/>
    </row>
    <row r="890" spans="2:19" ht="15.75" thickBot="1" x14ac:dyDescent="0.3">
      <c r="B890" s="182"/>
      <c r="C890" s="179"/>
      <c r="D890" s="23" t="s">
        <v>83</v>
      </c>
      <c r="E890" s="24">
        <v>6</v>
      </c>
      <c r="F890" s="24">
        <v>24</v>
      </c>
      <c r="G890" s="23" t="s">
        <v>66</v>
      </c>
      <c r="H890" s="23"/>
      <c r="I890" s="47"/>
      <c r="L890" s="182"/>
      <c r="M890" s="179"/>
      <c r="N890" s="23" t="s">
        <v>83</v>
      </c>
      <c r="O890" s="24">
        <v>6</v>
      </c>
      <c r="P890" s="24">
        <v>24</v>
      </c>
      <c r="Q890" s="23" t="s">
        <v>66</v>
      </c>
      <c r="R890" s="23"/>
      <c r="S890" s="47"/>
    </row>
    <row r="891" spans="2:19" x14ac:dyDescent="0.25">
      <c r="B891" s="189" t="s">
        <v>80</v>
      </c>
      <c r="C891" s="192" t="s">
        <v>77</v>
      </c>
      <c r="D891" s="27" t="s">
        <v>2</v>
      </c>
      <c r="E891" s="28">
        <v>1</v>
      </c>
      <c r="F891" s="28">
        <v>25</v>
      </c>
      <c r="G891" s="27" t="s">
        <v>66</v>
      </c>
      <c r="H891" s="27"/>
      <c r="I891" s="48"/>
      <c r="L891" s="189" t="s">
        <v>80</v>
      </c>
      <c r="M891" s="192" t="s">
        <v>77</v>
      </c>
      <c r="N891" s="27" t="s">
        <v>2</v>
      </c>
      <c r="O891" s="28">
        <v>1</v>
      </c>
      <c r="P891" s="28">
        <v>25</v>
      </c>
      <c r="Q891" s="27" t="s">
        <v>66</v>
      </c>
      <c r="R891" s="27"/>
      <c r="S891" s="48"/>
    </row>
    <row r="892" spans="2:19" x14ac:dyDescent="0.25">
      <c r="B892" s="190"/>
      <c r="C892" s="193"/>
      <c r="D892" s="27" t="s">
        <v>3</v>
      </c>
      <c r="E892" s="28">
        <v>2</v>
      </c>
      <c r="F892" s="28">
        <v>26</v>
      </c>
      <c r="G892" s="27" t="s">
        <v>66</v>
      </c>
      <c r="H892" s="27"/>
      <c r="I892" s="48"/>
      <c r="L892" s="190"/>
      <c r="M892" s="193"/>
      <c r="N892" s="27" t="s">
        <v>3</v>
      </c>
      <c r="O892" s="28">
        <v>2</v>
      </c>
      <c r="P892" s="28">
        <v>26</v>
      </c>
      <c r="Q892" s="27" t="s">
        <v>66</v>
      </c>
      <c r="R892" s="27"/>
      <c r="S892" s="48"/>
    </row>
    <row r="893" spans="2:19" x14ac:dyDescent="0.25">
      <c r="B893" s="190"/>
      <c r="C893" s="193"/>
      <c r="D893" s="27" t="s">
        <v>80</v>
      </c>
      <c r="E893" s="28">
        <v>3</v>
      </c>
      <c r="F893" s="28">
        <v>27</v>
      </c>
      <c r="G893" s="27" t="s">
        <v>66</v>
      </c>
      <c r="H893" s="27"/>
      <c r="I893" s="48"/>
      <c r="L893" s="190"/>
      <c r="M893" s="193"/>
      <c r="N893" s="27" t="s">
        <v>80</v>
      </c>
      <c r="O893" s="28">
        <v>3</v>
      </c>
      <c r="P893" s="28">
        <v>27</v>
      </c>
      <c r="Q893" s="27" t="s">
        <v>66</v>
      </c>
      <c r="R893" s="27"/>
      <c r="S893" s="48"/>
    </row>
    <row r="894" spans="2:19" x14ac:dyDescent="0.25">
      <c r="B894" s="190"/>
      <c r="C894" s="193"/>
      <c r="D894" s="27" t="s">
        <v>81</v>
      </c>
      <c r="E894" s="28">
        <v>4</v>
      </c>
      <c r="F894" s="28">
        <v>28</v>
      </c>
      <c r="G894" s="27" t="s">
        <v>66</v>
      </c>
      <c r="H894" s="27"/>
      <c r="I894" s="48"/>
      <c r="L894" s="190"/>
      <c r="M894" s="193"/>
      <c r="N894" s="27" t="s">
        <v>81</v>
      </c>
      <c r="O894" s="28">
        <v>4</v>
      </c>
      <c r="P894" s="28">
        <v>28</v>
      </c>
      <c r="Q894" s="27" t="s">
        <v>66</v>
      </c>
      <c r="R894" s="27"/>
      <c r="S894" s="48"/>
    </row>
    <row r="895" spans="2:19" x14ac:dyDescent="0.25">
      <c r="B895" s="190"/>
      <c r="C895" s="193"/>
      <c r="D895" s="27" t="s">
        <v>82</v>
      </c>
      <c r="E895" s="28">
        <v>5</v>
      </c>
      <c r="F895" s="28">
        <v>29</v>
      </c>
      <c r="G895" s="27" t="s">
        <v>66</v>
      </c>
      <c r="H895" s="27"/>
      <c r="I895" s="48"/>
      <c r="L895" s="190"/>
      <c r="M895" s="193"/>
      <c r="N895" s="27" t="s">
        <v>82</v>
      </c>
      <c r="O895" s="28">
        <v>5</v>
      </c>
      <c r="P895" s="28">
        <v>29</v>
      </c>
      <c r="Q895" s="27" t="s">
        <v>66</v>
      </c>
      <c r="R895" s="27"/>
      <c r="S895" s="48"/>
    </row>
    <row r="896" spans="2:19" ht="15.75" thickBot="1" x14ac:dyDescent="0.3">
      <c r="B896" s="190"/>
      <c r="C896" s="194"/>
      <c r="D896" s="27" t="s">
        <v>83</v>
      </c>
      <c r="E896" s="28">
        <v>6</v>
      </c>
      <c r="F896" s="28">
        <v>30</v>
      </c>
      <c r="G896" s="27" t="s">
        <v>66</v>
      </c>
      <c r="H896" s="27"/>
      <c r="I896" s="48"/>
      <c r="L896" s="190"/>
      <c r="M896" s="194"/>
      <c r="N896" s="27" t="s">
        <v>83</v>
      </c>
      <c r="O896" s="28">
        <v>6</v>
      </c>
      <c r="P896" s="28">
        <v>30</v>
      </c>
      <c r="Q896" s="27" t="s">
        <v>66</v>
      </c>
      <c r="R896" s="27"/>
      <c r="S896" s="48"/>
    </row>
    <row r="897" spans="2:19" x14ac:dyDescent="0.25">
      <c r="B897" s="190"/>
      <c r="C897" s="192" t="s">
        <v>84</v>
      </c>
      <c r="D897" s="27" t="s">
        <v>2</v>
      </c>
      <c r="E897" s="28">
        <v>1</v>
      </c>
      <c r="F897" s="28">
        <v>31</v>
      </c>
      <c r="G897" s="27" t="s">
        <v>66</v>
      </c>
      <c r="H897" s="27"/>
      <c r="I897" s="48"/>
      <c r="L897" s="190"/>
      <c r="M897" s="192" t="s">
        <v>84</v>
      </c>
      <c r="N897" s="27" t="s">
        <v>2</v>
      </c>
      <c r="O897" s="28">
        <v>1</v>
      </c>
      <c r="P897" s="28">
        <v>31</v>
      </c>
      <c r="Q897" s="27" t="s">
        <v>66</v>
      </c>
      <c r="R897" s="27"/>
      <c r="S897" s="48"/>
    </row>
    <row r="898" spans="2:19" x14ac:dyDescent="0.25">
      <c r="B898" s="190"/>
      <c r="C898" s="193"/>
      <c r="D898" s="27" t="s">
        <v>3</v>
      </c>
      <c r="E898" s="28">
        <v>2</v>
      </c>
      <c r="F898" s="28">
        <v>32</v>
      </c>
      <c r="G898" s="27" t="s">
        <v>66</v>
      </c>
      <c r="H898" s="27"/>
      <c r="I898" s="48"/>
      <c r="L898" s="190"/>
      <c r="M898" s="193"/>
      <c r="N898" s="27" t="s">
        <v>3</v>
      </c>
      <c r="O898" s="28">
        <v>2</v>
      </c>
      <c r="P898" s="28">
        <v>32</v>
      </c>
      <c r="Q898" s="27" t="s">
        <v>66</v>
      </c>
      <c r="R898" s="27"/>
      <c r="S898" s="48"/>
    </row>
    <row r="899" spans="2:19" x14ac:dyDescent="0.25">
      <c r="B899" s="190"/>
      <c r="C899" s="193"/>
      <c r="D899" s="27" t="s">
        <v>80</v>
      </c>
      <c r="E899" s="28">
        <v>3</v>
      </c>
      <c r="F899" s="28">
        <v>33</v>
      </c>
      <c r="G899" s="27" t="s">
        <v>66</v>
      </c>
      <c r="H899" s="27"/>
      <c r="I899" s="48"/>
      <c r="L899" s="190"/>
      <c r="M899" s="193"/>
      <c r="N899" s="27" t="s">
        <v>80</v>
      </c>
      <c r="O899" s="28">
        <v>3</v>
      </c>
      <c r="P899" s="28">
        <v>33</v>
      </c>
      <c r="Q899" s="27" t="s">
        <v>66</v>
      </c>
      <c r="R899" s="27"/>
      <c r="S899" s="48"/>
    </row>
    <row r="900" spans="2:19" x14ac:dyDescent="0.25">
      <c r="B900" s="190"/>
      <c r="C900" s="193"/>
      <c r="D900" s="27" t="s">
        <v>81</v>
      </c>
      <c r="E900" s="28">
        <v>4</v>
      </c>
      <c r="F900" s="28">
        <v>34</v>
      </c>
      <c r="G900" s="27" t="s">
        <v>66</v>
      </c>
      <c r="H900" s="27"/>
      <c r="I900" s="48"/>
      <c r="L900" s="190"/>
      <c r="M900" s="193"/>
      <c r="N900" s="27" t="s">
        <v>81</v>
      </c>
      <c r="O900" s="28">
        <v>4</v>
      </c>
      <c r="P900" s="28">
        <v>34</v>
      </c>
      <c r="Q900" s="27" t="s">
        <v>66</v>
      </c>
      <c r="R900" s="27"/>
      <c r="S900" s="48"/>
    </row>
    <row r="901" spans="2:19" x14ac:dyDescent="0.25">
      <c r="B901" s="190"/>
      <c r="C901" s="193"/>
      <c r="D901" s="27" t="s">
        <v>82</v>
      </c>
      <c r="E901" s="28">
        <v>5</v>
      </c>
      <c r="F901" s="28">
        <v>35</v>
      </c>
      <c r="G901" s="27" t="s">
        <v>66</v>
      </c>
      <c r="H901" s="27"/>
      <c r="I901" s="48"/>
      <c r="L901" s="190"/>
      <c r="M901" s="193"/>
      <c r="N901" s="27" t="s">
        <v>82</v>
      </c>
      <c r="O901" s="28">
        <v>5</v>
      </c>
      <c r="P901" s="28">
        <v>35</v>
      </c>
      <c r="Q901" s="27" t="s">
        <v>66</v>
      </c>
      <c r="R901" s="27"/>
      <c r="S901" s="48"/>
    </row>
    <row r="902" spans="2:19" ht="15.75" thickBot="1" x14ac:dyDescent="0.3">
      <c r="B902" s="191"/>
      <c r="C902" s="194"/>
      <c r="D902" s="27" t="s">
        <v>83</v>
      </c>
      <c r="E902" s="28">
        <v>6</v>
      </c>
      <c r="F902" s="28">
        <v>36</v>
      </c>
      <c r="G902" s="27" t="s">
        <v>66</v>
      </c>
      <c r="H902" s="27"/>
      <c r="I902" s="48"/>
      <c r="L902" s="191"/>
      <c r="M902" s="194"/>
      <c r="N902" s="27" t="s">
        <v>83</v>
      </c>
      <c r="O902" s="28">
        <v>6</v>
      </c>
      <c r="P902" s="28">
        <v>36</v>
      </c>
      <c r="Q902" s="27" t="s">
        <v>66</v>
      </c>
      <c r="R902" s="27"/>
      <c r="S902" s="48"/>
    </row>
    <row r="903" spans="2:19" x14ac:dyDescent="0.25">
      <c r="B903" s="183" t="s">
        <v>81</v>
      </c>
      <c r="C903" s="186" t="s">
        <v>77</v>
      </c>
      <c r="D903" s="29" t="s">
        <v>2</v>
      </c>
      <c r="E903" s="30">
        <v>1</v>
      </c>
      <c r="F903" s="30">
        <v>37</v>
      </c>
      <c r="G903" s="29" t="s">
        <v>66</v>
      </c>
      <c r="H903" s="31"/>
      <c r="I903" s="60"/>
      <c r="L903" s="183" t="s">
        <v>81</v>
      </c>
      <c r="M903" s="186" t="s">
        <v>77</v>
      </c>
      <c r="N903" s="29" t="s">
        <v>2</v>
      </c>
      <c r="O903" s="30">
        <v>1</v>
      </c>
      <c r="P903" s="30">
        <v>37</v>
      </c>
      <c r="Q903" s="29" t="s">
        <v>66</v>
      </c>
      <c r="R903" s="29"/>
      <c r="S903" s="49"/>
    </row>
    <row r="904" spans="2:19" x14ac:dyDescent="0.25">
      <c r="B904" s="184"/>
      <c r="C904" s="187"/>
      <c r="D904" s="29" t="s">
        <v>3</v>
      </c>
      <c r="E904" s="30">
        <v>2</v>
      </c>
      <c r="F904" s="30">
        <v>38</v>
      </c>
      <c r="G904" s="29" t="s">
        <v>66</v>
      </c>
      <c r="H904" s="31"/>
      <c r="I904" s="60"/>
      <c r="L904" s="184"/>
      <c r="M904" s="187"/>
      <c r="N904" s="29" t="s">
        <v>3</v>
      </c>
      <c r="O904" s="30">
        <v>2</v>
      </c>
      <c r="P904" s="30">
        <v>38</v>
      </c>
      <c r="Q904" s="29" t="s">
        <v>66</v>
      </c>
      <c r="R904" s="29"/>
      <c r="S904" s="49"/>
    </row>
    <row r="905" spans="2:19" x14ac:dyDescent="0.25">
      <c r="B905" s="184"/>
      <c r="C905" s="187"/>
      <c r="D905" s="29" t="s">
        <v>80</v>
      </c>
      <c r="E905" s="30">
        <v>3</v>
      </c>
      <c r="F905" s="30">
        <v>39</v>
      </c>
      <c r="G905" s="29" t="s">
        <v>66</v>
      </c>
      <c r="H905" s="31"/>
      <c r="I905" s="60"/>
      <c r="L905" s="184"/>
      <c r="M905" s="187"/>
      <c r="N905" s="29" t="s">
        <v>80</v>
      </c>
      <c r="O905" s="30">
        <v>3</v>
      </c>
      <c r="P905" s="30">
        <v>39</v>
      </c>
      <c r="Q905" s="29" t="s">
        <v>66</v>
      </c>
      <c r="R905" s="29"/>
      <c r="S905" s="49"/>
    </row>
    <row r="906" spans="2:19" x14ac:dyDescent="0.25">
      <c r="B906" s="184"/>
      <c r="C906" s="187"/>
      <c r="D906" s="29" t="s">
        <v>81</v>
      </c>
      <c r="E906" s="30">
        <v>4</v>
      </c>
      <c r="F906" s="30">
        <v>40</v>
      </c>
      <c r="G906" s="29" t="s">
        <v>66</v>
      </c>
      <c r="H906" s="31"/>
      <c r="I906" s="60"/>
      <c r="L906" s="184"/>
      <c r="M906" s="187"/>
      <c r="N906" s="29" t="s">
        <v>81</v>
      </c>
      <c r="O906" s="30">
        <v>4</v>
      </c>
      <c r="P906" s="30">
        <v>40</v>
      </c>
      <c r="Q906" s="29" t="s">
        <v>66</v>
      </c>
      <c r="R906" s="29"/>
      <c r="S906" s="49"/>
    </row>
    <row r="907" spans="2:19" x14ac:dyDescent="0.25">
      <c r="B907" s="184"/>
      <c r="C907" s="187"/>
      <c r="D907" s="29" t="s">
        <v>82</v>
      </c>
      <c r="E907" s="30">
        <v>5</v>
      </c>
      <c r="F907" s="30">
        <v>41</v>
      </c>
      <c r="G907" s="29" t="s">
        <v>66</v>
      </c>
      <c r="H907" s="31"/>
      <c r="I907" s="60"/>
      <c r="L907" s="184"/>
      <c r="M907" s="187"/>
      <c r="N907" s="29" t="s">
        <v>82</v>
      </c>
      <c r="O907" s="30">
        <v>5</v>
      </c>
      <c r="P907" s="30">
        <v>41</v>
      </c>
      <c r="Q907" s="29" t="s">
        <v>66</v>
      </c>
      <c r="R907" s="29"/>
      <c r="S907" s="49"/>
    </row>
    <row r="908" spans="2:19" ht="15.75" thickBot="1" x14ac:dyDescent="0.3">
      <c r="B908" s="184"/>
      <c r="C908" s="188"/>
      <c r="D908" s="29" t="s">
        <v>83</v>
      </c>
      <c r="E908" s="30">
        <v>6</v>
      </c>
      <c r="F908" s="30">
        <v>42</v>
      </c>
      <c r="G908" s="29" t="s">
        <v>66</v>
      </c>
      <c r="H908" s="31"/>
      <c r="I908" s="60"/>
      <c r="L908" s="184"/>
      <c r="M908" s="188"/>
      <c r="N908" s="29" t="s">
        <v>83</v>
      </c>
      <c r="O908" s="30">
        <v>6</v>
      </c>
      <c r="P908" s="30">
        <v>42</v>
      </c>
      <c r="Q908" s="29" t="s">
        <v>66</v>
      </c>
      <c r="R908" s="29"/>
      <c r="S908" s="49"/>
    </row>
    <row r="909" spans="2:19" x14ac:dyDescent="0.25">
      <c r="B909" s="184"/>
      <c r="C909" s="186" t="s">
        <v>84</v>
      </c>
      <c r="D909" s="29" t="s">
        <v>2</v>
      </c>
      <c r="E909" s="30">
        <v>1</v>
      </c>
      <c r="F909" s="30">
        <v>43</v>
      </c>
      <c r="G909" s="29" t="s">
        <v>66</v>
      </c>
      <c r="H909" s="29"/>
      <c r="I909" s="49"/>
      <c r="L909" s="184"/>
      <c r="M909" s="186" t="s">
        <v>84</v>
      </c>
      <c r="N909" s="29" t="s">
        <v>2</v>
      </c>
      <c r="O909" s="30">
        <v>1</v>
      </c>
      <c r="P909" s="30">
        <v>43</v>
      </c>
      <c r="Q909" s="29" t="s">
        <v>66</v>
      </c>
      <c r="R909" s="29"/>
      <c r="S909" s="49"/>
    </row>
    <row r="910" spans="2:19" x14ac:dyDescent="0.25">
      <c r="B910" s="184"/>
      <c r="C910" s="187"/>
      <c r="D910" s="29" t="s">
        <v>3</v>
      </c>
      <c r="E910" s="30">
        <v>2</v>
      </c>
      <c r="F910" s="30">
        <v>44</v>
      </c>
      <c r="G910" s="29" t="s">
        <v>66</v>
      </c>
      <c r="H910" s="29"/>
      <c r="I910" s="49"/>
      <c r="L910" s="184"/>
      <c r="M910" s="187"/>
      <c r="N910" s="29" t="s">
        <v>3</v>
      </c>
      <c r="O910" s="30">
        <v>2</v>
      </c>
      <c r="P910" s="30">
        <v>44</v>
      </c>
      <c r="Q910" s="29" t="s">
        <v>66</v>
      </c>
      <c r="R910" s="29"/>
      <c r="S910" s="49"/>
    </row>
    <row r="911" spans="2:19" x14ac:dyDescent="0.25">
      <c r="B911" s="184"/>
      <c r="C911" s="187"/>
      <c r="D911" s="29" t="s">
        <v>80</v>
      </c>
      <c r="E911" s="30">
        <v>3</v>
      </c>
      <c r="F911" s="30">
        <v>45</v>
      </c>
      <c r="G911" s="29" t="s">
        <v>66</v>
      </c>
      <c r="H911" s="29"/>
      <c r="I911" s="49"/>
      <c r="L911" s="184"/>
      <c r="M911" s="187"/>
      <c r="N911" s="29" t="s">
        <v>80</v>
      </c>
      <c r="O911" s="30">
        <v>3</v>
      </c>
      <c r="P911" s="30">
        <v>45</v>
      </c>
      <c r="Q911" s="29" t="s">
        <v>66</v>
      </c>
      <c r="R911" s="29"/>
      <c r="S911" s="49"/>
    </row>
    <row r="912" spans="2:19" x14ac:dyDescent="0.25">
      <c r="B912" s="184"/>
      <c r="C912" s="187"/>
      <c r="D912" s="29" t="s">
        <v>81</v>
      </c>
      <c r="E912" s="30">
        <v>4</v>
      </c>
      <c r="F912" s="30">
        <v>46</v>
      </c>
      <c r="G912" s="29" t="s">
        <v>66</v>
      </c>
      <c r="H912" s="29"/>
      <c r="I912" s="49"/>
      <c r="L912" s="184"/>
      <c r="M912" s="187"/>
      <c r="N912" s="29" t="s">
        <v>81</v>
      </c>
      <c r="O912" s="30">
        <v>4</v>
      </c>
      <c r="P912" s="30">
        <v>46</v>
      </c>
      <c r="Q912" s="29" t="s">
        <v>66</v>
      </c>
      <c r="R912" s="29"/>
      <c r="S912" s="49"/>
    </row>
    <row r="913" spans="2:29" x14ac:dyDescent="0.25">
      <c r="B913" s="184"/>
      <c r="C913" s="187"/>
      <c r="D913" s="29" t="s">
        <v>82</v>
      </c>
      <c r="E913" s="30">
        <v>5</v>
      </c>
      <c r="F913" s="30">
        <v>47</v>
      </c>
      <c r="G913" s="29" t="s">
        <v>66</v>
      </c>
      <c r="H913" s="29"/>
      <c r="I913" s="49"/>
      <c r="L913" s="184"/>
      <c r="M913" s="187"/>
      <c r="N913" s="29" t="s">
        <v>82</v>
      </c>
      <c r="O913" s="30">
        <v>5</v>
      </c>
      <c r="P913" s="30">
        <v>47</v>
      </c>
      <c r="Q913" s="29" t="s">
        <v>66</v>
      </c>
      <c r="R913" s="29"/>
      <c r="S913" s="49"/>
    </row>
    <row r="914" spans="2:29" ht="15.75" thickBot="1" x14ac:dyDescent="0.3">
      <c r="B914" s="185"/>
      <c r="C914" s="188"/>
      <c r="D914" s="29" t="s">
        <v>83</v>
      </c>
      <c r="E914" s="30">
        <v>6</v>
      </c>
      <c r="F914" s="30">
        <v>48</v>
      </c>
      <c r="G914" s="29" t="s">
        <v>66</v>
      </c>
      <c r="H914" s="29"/>
      <c r="I914" s="49"/>
      <c r="L914" s="185"/>
      <c r="M914" s="188"/>
      <c r="N914" s="29" t="s">
        <v>83</v>
      </c>
      <c r="O914" s="30">
        <v>6</v>
      </c>
      <c r="P914" s="30">
        <v>48</v>
      </c>
      <c r="Q914" s="29" t="s">
        <v>66</v>
      </c>
      <c r="R914" s="29"/>
      <c r="S914" s="49"/>
    </row>
    <row r="917" spans="2:29" ht="15.75" thickBot="1" x14ac:dyDescent="0.3"/>
    <row r="918" spans="2:29" ht="15.75" thickBot="1" x14ac:dyDescent="0.3">
      <c r="B918" s="171" t="s">
        <v>286</v>
      </c>
      <c r="C918" s="172"/>
      <c r="D918" s="172"/>
      <c r="E918" s="172"/>
      <c r="F918" s="172"/>
      <c r="G918" s="172"/>
      <c r="H918" s="172"/>
      <c r="I918" s="173"/>
      <c r="L918" s="171" t="s">
        <v>287</v>
      </c>
      <c r="M918" s="172"/>
      <c r="N918" s="172"/>
      <c r="O918" s="172"/>
      <c r="P918" s="172"/>
      <c r="Q918" s="172"/>
      <c r="R918" s="172"/>
      <c r="S918" s="173"/>
      <c r="V918" s="35"/>
      <c r="W918" s="35"/>
      <c r="X918" s="35"/>
      <c r="Y918" s="35"/>
      <c r="Z918" s="35"/>
      <c r="AA918" s="35"/>
      <c r="AB918" s="35"/>
      <c r="AC918" s="35"/>
    </row>
    <row r="919" spans="2:29" x14ac:dyDescent="0.25">
      <c r="V919" s="36"/>
      <c r="W919" s="36"/>
      <c r="X919" s="36"/>
      <c r="Y919" s="36"/>
      <c r="Z919" s="36"/>
      <c r="AA919" s="36"/>
      <c r="AB919" s="36"/>
      <c r="AC919" s="36"/>
    </row>
    <row r="920" spans="2:29" ht="26.25" thickBot="1" x14ac:dyDescent="0.3">
      <c r="B920" s="15" t="s">
        <v>70</v>
      </c>
      <c r="C920" s="16" t="s">
        <v>71</v>
      </c>
      <c r="D920" s="15" t="s">
        <v>72</v>
      </c>
      <c r="E920" s="17" t="s">
        <v>73</v>
      </c>
      <c r="F920" s="17" t="s">
        <v>74</v>
      </c>
      <c r="G920" s="15" t="s">
        <v>75</v>
      </c>
      <c r="H920" s="15" t="s">
        <v>55</v>
      </c>
      <c r="I920" s="15" t="s">
        <v>76</v>
      </c>
      <c r="L920" s="15" t="s">
        <v>70</v>
      </c>
      <c r="M920" s="16" t="s">
        <v>71</v>
      </c>
      <c r="N920" s="15" t="s">
        <v>72</v>
      </c>
      <c r="O920" s="17" t="s">
        <v>73</v>
      </c>
      <c r="P920" s="17" t="s">
        <v>74</v>
      </c>
      <c r="Q920" s="15" t="s">
        <v>75</v>
      </c>
      <c r="R920" s="15" t="s">
        <v>55</v>
      </c>
      <c r="S920" s="15" t="s">
        <v>76</v>
      </c>
      <c r="V920" s="37"/>
      <c r="W920" s="37"/>
      <c r="X920" s="37"/>
      <c r="Y920" s="37"/>
      <c r="Z920" s="37"/>
      <c r="AA920" s="37"/>
      <c r="AB920" s="37"/>
      <c r="AC920" s="37"/>
    </row>
    <row r="921" spans="2:29" x14ac:dyDescent="0.25">
      <c r="B921" s="174" t="s">
        <v>2</v>
      </c>
      <c r="C921" s="168" t="s">
        <v>77</v>
      </c>
      <c r="D921" s="18" t="s">
        <v>2</v>
      </c>
      <c r="E921" s="19">
        <v>1</v>
      </c>
      <c r="F921" s="19">
        <v>1</v>
      </c>
      <c r="G921" s="18" t="s">
        <v>66</v>
      </c>
      <c r="H921" s="32"/>
      <c r="I921" s="50"/>
      <c r="L921" s="174" t="s">
        <v>2</v>
      </c>
      <c r="M921" s="168" t="s">
        <v>77</v>
      </c>
      <c r="N921" s="18" t="s">
        <v>2</v>
      </c>
      <c r="O921" s="19">
        <v>1</v>
      </c>
      <c r="P921" s="19">
        <v>1</v>
      </c>
      <c r="Q921" s="18" t="s">
        <v>66</v>
      </c>
      <c r="R921" s="32"/>
      <c r="S921" s="50"/>
      <c r="V921" s="38"/>
      <c r="W921" s="38"/>
      <c r="X921" s="39"/>
      <c r="Y921" s="40"/>
      <c r="Z921" s="40"/>
      <c r="AA921" s="39"/>
      <c r="AB921" s="38"/>
      <c r="AC921" s="41"/>
    </row>
    <row r="922" spans="2:29" x14ac:dyDescent="0.25">
      <c r="B922" s="175"/>
      <c r="C922" s="169"/>
      <c r="D922" s="18" t="s">
        <v>3</v>
      </c>
      <c r="E922" s="19">
        <v>2</v>
      </c>
      <c r="F922" s="19">
        <v>2</v>
      </c>
      <c r="G922" s="18" t="s">
        <v>66</v>
      </c>
      <c r="H922" s="32"/>
      <c r="I922" s="50"/>
      <c r="L922" s="175"/>
      <c r="M922" s="169"/>
      <c r="N922" s="18" t="s">
        <v>3</v>
      </c>
      <c r="O922" s="19">
        <v>2</v>
      </c>
      <c r="P922" s="19">
        <v>2</v>
      </c>
      <c r="Q922" s="18" t="s">
        <v>66</v>
      </c>
      <c r="R922" s="32"/>
      <c r="S922" s="50"/>
      <c r="V922" s="38"/>
      <c r="W922" s="38"/>
      <c r="X922" s="39"/>
      <c r="Y922" s="40"/>
      <c r="Z922" s="40"/>
      <c r="AA922" s="39"/>
      <c r="AB922" s="38"/>
      <c r="AC922" s="41"/>
    </row>
    <row r="923" spans="2:29" x14ac:dyDescent="0.25">
      <c r="B923" s="175"/>
      <c r="C923" s="169"/>
      <c r="D923" s="18" t="s">
        <v>80</v>
      </c>
      <c r="E923" s="20">
        <v>3</v>
      </c>
      <c r="F923" s="20">
        <v>3</v>
      </c>
      <c r="G923" s="18" t="s">
        <v>66</v>
      </c>
      <c r="H923" s="32"/>
      <c r="I923" s="50"/>
      <c r="L923" s="175"/>
      <c r="M923" s="169"/>
      <c r="N923" s="18" t="s">
        <v>80</v>
      </c>
      <c r="O923" s="20">
        <v>3</v>
      </c>
      <c r="P923" s="20">
        <v>3</v>
      </c>
      <c r="Q923" s="18" t="s">
        <v>66</v>
      </c>
      <c r="R923" s="32"/>
      <c r="S923" s="50"/>
      <c r="V923" s="38"/>
      <c r="W923" s="38"/>
      <c r="X923" s="39"/>
      <c r="Y923" s="42"/>
      <c r="Z923" s="42"/>
      <c r="AA923" s="39"/>
      <c r="AB923" s="38"/>
      <c r="AC923" s="41"/>
    </row>
    <row r="924" spans="2:29" x14ac:dyDescent="0.25">
      <c r="B924" s="175"/>
      <c r="C924" s="169"/>
      <c r="D924" s="18" t="s">
        <v>81</v>
      </c>
      <c r="E924" s="20">
        <v>4</v>
      </c>
      <c r="F924" s="20">
        <v>4</v>
      </c>
      <c r="G924" s="18" t="s">
        <v>66</v>
      </c>
      <c r="H924" s="32"/>
      <c r="I924" s="50"/>
      <c r="L924" s="175"/>
      <c r="M924" s="169"/>
      <c r="N924" s="18" t="s">
        <v>81</v>
      </c>
      <c r="O924" s="20">
        <v>4</v>
      </c>
      <c r="P924" s="20">
        <v>4</v>
      </c>
      <c r="Q924" s="18" t="s">
        <v>66</v>
      </c>
      <c r="R924" s="32"/>
      <c r="S924" s="50"/>
      <c r="V924" s="38"/>
      <c r="W924" s="38"/>
      <c r="X924" s="39"/>
      <c r="Y924" s="42"/>
      <c r="Z924" s="42"/>
      <c r="AA924" s="39"/>
      <c r="AB924" s="38"/>
      <c r="AC924" s="41"/>
    </row>
    <row r="925" spans="2:29" x14ac:dyDescent="0.25">
      <c r="B925" s="175"/>
      <c r="C925" s="169"/>
      <c r="D925" s="18" t="s">
        <v>82</v>
      </c>
      <c r="E925" s="20">
        <v>5</v>
      </c>
      <c r="F925" s="20">
        <v>5</v>
      </c>
      <c r="G925" s="18" t="s">
        <v>66</v>
      </c>
      <c r="H925" s="32"/>
      <c r="I925" s="50"/>
      <c r="L925" s="175"/>
      <c r="M925" s="169"/>
      <c r="N925" s="18" t="s">
        <v>82</v>
      </c>
      <c r="O925" s="20">
        <v>5</v>
      </c>
      <c r="P925" s="20">
        <v>5</v>
      </c>
      <c r="Q925" s="18" t="s">
        <v>66</v>
      </c>
      <c r="R925" s="32"/>
      <c r="S925" s="50"/>
      <c r="V925" s="38"/>
      <c r="W925" s="38"/>
      <c r="X925" s="39"/>
      <c r="Y925" s="42"/>
      <c r="Z925" s="42"/>
      <c r="AA925" s="39"/>
      <c r="AB925" s="38"/>
      <c r="AC925" s="41"/>
    </row>
    <row r="926" spans="2:29" ht="15.75" thickBot="1" x14ac:dyDescent="0.3">
      <c r="B926" s="175"/>
      <c r="C926" s="170"/>
      <c r="D926" s="18" t="s">
        <v>83</v>
      </c>
      <c r="E926" s="20">
        <v>6</v>
      </c>
      <c r="F926" s="20">
        <v>6</v>
      </c>
      <c r="G926" s="18" t="s">
        <v>66</v>
      </c>
      <c r="H926" s="32"/>
      <c r="I926" s="50"/>
      <c r="L926" s="175"/>
      <c r="M926" s="170"/>
      <c r="N926" s="18" t="s">
        <v>83</v>
      </c>
      <c r="O926" s="20">
        <v>6</v>
      </c>
      <c r="P926" s="20">
        <v>6</v>
      </c>
      <c r="Q926" s="18" t="s">
        <v>66</v>
      </c>
      <c r="R926" s="32"/>
      <c r="S926" s="50"/>
      <c r="V926" s="38"/>
      <c r="W926" s="38"/>
      <c r="X926" s="39"/>
      <c r="Y926" s="42"/>
      <c r="Z926" s="42"/>
      <c r="AA926" s="39"/>
      <c r="AB926" s="38"/>
      <c r="AC926" s="41"/>
    </row>
    <row r="927" spans="2:29" x14ac:dyDescent="0.25">
      <c r="B927" s="175"/>
      <c r="C927" s="168" t="s">
        <v>84</v>
      </c>
      <c r="D927" s="18" t="s">
        <v>2</v>
      </c>
      <c r="E927" s="19">
        <v>1</v>
      </c>
      <c r="F927" s="19">
        <v>7</v>
      </c>
      <c r="G927" s="18" t="s">
        <v>66</v>
      </c>
      <c r="H927" s="32"/>
      <c r="I927" s="50"/>
      <c r="L927" s="175"/>
      <c r="M927" s="168" t="s">
        <v>84</v>
      </c>
      <c r="N927" s="18" t="s">
        <v>2</v>
      </c>
      <c r="O927" s="19">
        <v>1</v>
      </c>
      <c r="P927" s="19">
        <v>7</v>
      </c>
      <c r="Q927" s="18" t="s">
        <v>66</v>
      </c>
      <c r="R927" s="32"/>
      <c r="S927" s="50"/>
      <c r="V927" s="38"/>
      <c r="W927" s="38"/>
      <c r="X927" s="39"/>
      <c r="Y927" s="40"/>
      <c r="Z927" s="40"/>
      <c r="AA927" s="39"/>
      <c r="AB927" s="38"/>
      <c r="AC927" s="41"/>
    </row>
    <row r="928" spans="2:29" x14ac:dyDescent="0.25">
      <c r="B928" s="175"/>
      <c r="C928" s="169"/>
      <c r="D928" s="18" t="s">
        <v>3</v>
      </c>
      <c r="E928" s="19">
        <v>2</v>
      </c>
      <c r="F928" s="19">
        <v>8</v>
      </c>
      <c r="G928" s="18" t="s">
        <v>66</v>
      </c>
      <c r="H928" s="32"/>
      <c r="I928" s="50"/>
      <c r="L928" s="175"/>
      <c r="M928" s="169"/>
      <c r="N928" s="18" t="s">
        <v>3</v>
      </c>
      <c r="O928" s="19">
        <v>2</v>
      </c>
      <c r="P928" s="19">
        <v>8</v>
      </c>
      <c r="Q928" s="18" t="s">
        <v>66</v>
      </c>
      <c r="R928" s="32"/>
      <c r="S928" s="50"/>
      <c r="V928" s="38"/>
      <c r="W928" s="38"/>
      <c r="X928" s="39"/>
      <c r="Y928" s="40"/>
      <c r="Z928" s="40"/>
      <c r="AA928" s="39"/>
      <c r="AB928" s="38"/>
      <c r="AC928" s="41"/>
    </row>
    <row r="929" spans="2:29" x14ac:dyDescent="0.25">
      <c r="B929" s="175"/>
      <c r="C929" s="169"/>
      <c r="D929" s="18" t="s">
        <v>80</v>
      </c>
      <c r="E929" s="20">
        <v>3</v>
      </c>
      <c r="F929" s="20">
        <v>9</v>
      </c>
      <c r="G929" s="18" t="s">
        <v>66</v>
      </c>
      <c r="H929" s="32"/>
      <c r="I929" s="50"/>
      <c r="L929" s="175"/>
      <c r="M929" s="169"/>
      <c r="N929" s="18" t="s">
        <v>80</v>
      </c>
      <c r="O929" s="20">
        <v>3</v>
      </c>
      <c r="P929" s="20">
        <v>9</v>
      </c>
      <c r="Q929" s="18" t="s">
        <v>66</v>
      </c>
      <c r="R929" s="32"/>
      <c r="S929" s="50"/>
      <c r="V929" s="38"/>
      <c r="W929" s="38"/>
      <c r="X929" s="39"/>
      <c r="Y929" s="42"/>
      <c r="Z929" s="42"/>
      <c r="AA929" s="39"/>
      <c r="AB929" s="38"/>
      <c r="AC929" s="41"/>
    </row>
    <row r="930" spans="2:29" x14ac:dyDescent="0.25">
      <c r="B930" s="175"/>
      <c r="C930" s="169"/>
      <c r="D930" s="18" t="s">
        <v>81</v>
      </c>
      <c r="E930" s="20">
        <v>4</v>
      </c>
      <c r="F930" s="20">
        <v>10</v>
      </c>
      <c r="G930" s="18" t="s">
        <v>66</v>
      </c>
      <c r="H930" s="32"/>
      <c r="I930" s="50"/>
      <c r="L930" s="175"/>
      <c r="M930" s="169"/>
      <c r="N930" s="18" t="s">
        <v>81</v>
      </c>
      <c r="O930" s="20">
        <v>4</v>
      </c>
      <c r="P930" s="20">
        <v>10</v>
      </c>
      <c r="Q930" s="18" t="s">
        <v>66</v>
      </c>
      <c r="R930" s="32"/>
      <c r="S930" s="50"/>
      <c r="V930" s="38"/>
      <c r="W930" s="38"/>
      <c r="X930" s="39"/>
      <c r="Y930" s="42"/>
      <c r="Z930" s="42"/>
      <c r="AA930" s="39"/>
      <c r="AB930" s="38"/>
      <c r="AC930" s="41"/>
    </row>
    <row r="931" spans="2:29" x14ac:dyDescent="0.25">
      <c r="B931" s="175"/>
      <c r="C931" s="169"/>
      <c r="D931" s="18" t="s">
        <v>82</v>
      </c>
      <c r="E931" s="20">
        <v>5</v>
      </c>
      <c r="F931" s="20">
        <v>11</v>
      </c>
      <c r="G931" s="18" t="s">
        <v>66</v>
      </c>
      <c r="H931" s="32"/>
      <c r="I931" s="50"/>
      <c r="L931" s="175"/>
      <c r="M931" s="169"/>
      <c r="N931" s="18" t="s">
        <v>82</v>
      </c>
      <c r="O931" s="20">
        <v>5</v>
      </c>
      <c r="P931" s="20">
        <v>11</v>
      </c>
      <c r="Q931" s="18" t="s">
        <v>66</v>
      </c>
      <c r="R931" s="32"/>
      <c r="S931" s="50"/>
      <c r="V931" s="38"/>
      <c r="W931" s="38"/>
      <c r="X931" s="39"/>
      <c r="Y931" s="42"/>
      <c r="Z931" s="42"/>
      <c r="AA931" s="39"/>
      <c r="AB931" s="38"/>
      <c r="AC931" s="41"/>
    </row>
    <row r="932" spans="2:29" ht="15.75" thickBot="1" x14ac:dyDescent="0.3">
      <c r="B932" s="176"/>
      <c r="C932" s="170"/>
      <c r="D932" s="18" t="s">
        <v>83</v>
      </c>
      <c r="E932" s="20">
        <v>6</v>
      </c>
      <c r="F932" s="20">
        <v>12</v>
      </c>
      <c r="G932" s="18" t="s">
        <v>66</v>
      </c>
      <c r="H932" s="32"/>
      <c r="I932" s="50"/>
      <c r="L932" s="176"/>
      <c r="M932" s="170"/>
      <c r="N932" s="18" t="s">
        <v>83</v>
      </c>
      <c r="O932" s="20">
        <v>6</v>
      </c>
      <c r="P932" s="20">
        <v>12</v>
      </c>
      <c r="Q932" s="18" t="s">
        <v>66</v>
      </c>
      <c r="R932" s="32"/>
      <c r="S932" s="50"/>
      <c r="V932" s="38"/>
      <c r="W932" s="38"/>
      <c r="X932" s="39"/>
      <c r="Y932" s="42"/>
      <c r="Z932" s="42"/>
      <c r="AA932" s="39"/>
      <c r="AB932" s="38"/>
      <c r="AC932" s="41"/>
    </row>
    <row r="933" spans="2:29" x14ac:dyDescent="0.25">
      <c r="B933" s="180" t="s">
        <v>3</v>
      </c>
      <c r="C933" s="177" t="s">
        <v>77</v>
      </c>
      <c r="D933" s="21" t="s">
        <v>2</v>
      </c>
      <c r="E933" s="22">
        <v>1</v>
      </c>
      <c r="F933" s="22">
        <v>13</v>
      </c>
      <c r="G933" s="21" t="s">
        <v>78</v>
      </c>
      <c r="H933" s="159" t="s">
        <v>126</v>
      </c>
      <c r="I933" s="162" t="s">
        <v>172</v>
      </c>
      <c r="L933" s="180" t="s">
        <v>3</v>
      </c>
      <c r="M933" s="177" t="s">
        <v>77</v>
      </c>
      <c r="N933" s="21" t="s">
        <v>2</v>
      </c>
      <c r="O933" s="22">
        <v>1</v>
      </c>
      <c r="P933" s="22">
        <v>13</v>
      </c>
      <c r="Q933" s="21" t="s">
        <v>78</v>
      </c>
      <c r="R933" s="159" t="s">
        <v>126</v>
      </c>
      <c r="S933" s="162" t="s">
        <v>174</v>
      </c>
      <c r="V933" s="38"/>
      <c r="W933" s="38"/>
      <c r="X933" s="39"/>
      <c r="Y933" s="42"/>
      <c r="Z933" s="42"/>
      <c r="AA933" s="39"/>
      <c r="AB933" s="39"/>
      <c r="AC933" s="36"/>
    </row>
    <row r="934" spans="2:29" x14ac:dyDescent="0.25">
      <c r="B934" s="181"/>
      <c r="C934" s="178"/>
      <c r="D934" s="23" t="s">
        <v>3</v>
      </c>
      <c r="E934" s="24">
        <v>2</v>
      </c>
      <c r="F934" s="24">
        <v>14</v>
      </c>
      <c r="G934" s="23" t="s">
        <v>78</v>
      </c>
      <c r="H934" s="160"/>
      <c r="I934" s="163"/>
      <c r="L934" s="181"/>
      <c r="M934" s="178"/>
      <c r="N934" s="23" t="s">
        <v>3</v>
      </c>
      <c r="O934" s="24">
        <v>2</v>
      </c>
      <c r="P934" s="24">
        <v>14</v>
      </c>
      <c r="Q934" s="23" t="s">
        <v>78</v>
      </c>
      <c r="R934" s="160"/>
      <c r="S934" s="163"/>
      <c r="V934" s="38"/>
      <c r="W934" s="38"/>
      <c r="X934" s="39"/>
      <c r="Y934" s="42"/>
      <c r="Z934" s="42"/>
      <c r="AA934" s="39"/>
      <c r="AB934" s="39"/>
      <c r="AC934" s="36"/>
    </row>
    <row r="935" spans="2:29" x14ac:dyDescent="0.25">
      <c r="B935" s="181"/>
      <c r="C935" s="178"/>
      <c r="D935" s="23" t="s">
        <v>80</v>
      </c>
      <c r="E935" s="24">
        <v>3</v>
      </c>
      <c r="F935" s="24">
        <v>15</v>
      </c>
      <c r="G935" s="23" t="s">
        <v>66</v>
      </c>
      <c r="H935" s="160"/>
      <c r="I935" s="163"/>
      <c r="L935" s="181"/>
      <c r="M935" s="178"/>
      <c r="N935" s="23" t="s">
        <v>80</v>
      </c>
      <c r="O935" s="24">
        <v>3</v>
      </c>
      <c r="P935" s="24">
        <v>15</v>
      </c>
      <c r="Q935" s="23" t="s">
        <v>66</v>
      </c>
      <c r="R935" s="160"/>
      <c r="S935" s="163"/>
      <c r="V935" s="38"/>
      <c r="W935" s="38"/>
      <c r="X935" s="39"/>
      <c r="Y935" s="42"/>
      <c r="Z935" s="42"/>
      <c r="AA935" s="39"/>
      <c r="AB935" s="39"/>
      <c r="AC935" s="36"/>
    </row>
    <row r="936" spans="2:29" x14ac:dyDescent="0.25">
      <c r="B936" s="181"/>
      <c r="C936" s="178"/>
      <c r="D936" s="23" t="s">
        <v>81</v>
      </c>
      <c r="E936" s="24">
        <v>4</v>
      </c>
      <c r="F936" s="24">
        <v>16</v>
      </c>
      <c r="G936" s="23" t="s">
        <v>66</v>
      </c>
      <c r="H936" s="160"/>
      <c r="I936" s="163"/>
      <c r="L936" s="181"/>
      <c r="M936" s="178"/>
      <c r="N936" s="23" t="s">
        <v>81</v>
      </c>
      <c r="O936" s="24">
        <v>4</v>
      </c>
      <c r="P936" s="24">
        <v>16</v>
      </c>
      <c r="Q936" s="23" t="s">
        <v>66</v>
      </c>
      <c r="R936" s="160"/>
      <c r="S936" s="163"/>
      <c r="V936" s="38"/>
      <c r="W936" s="38"/>
      <c r="X936" s="39"/>
      <c r="Y936" s="42"/>
      <c r="Z936" s="42"/>
      <c r="AA936" s="39"/>
      <c r="AB936" s="39"/>
      <c r="AC936" s="36"/>
    </row>
    <row r="937" spans="2:29" x14ac:dyDescent="0.25">
      <c r="B937" s="181"/>
      <c r="C937" s="178"/>
      <c r="D937" s="23" t="s">
        <v>82</v>
      </c>
      <c r="E937" s="24">
        <v>5</v>
      </c>
      <c r="F937" s="24">
        <v>17</v>
      </c>
      <c r="G937" s="23" t="s">
        <v>66</v>
      </c>
      <c r="H937" s="160"/>
      <c r="I937" s="163"/>
      <c r="L937" s="181"/>
      <c r="M937" s="178"/>
      <c r="N937" s="23" t="s">
        <v>82</v>
      </c>
      <c r="O937" s="24">
        <v>5</v>
      </c>
      <c r="P937" s="24">
        <v>17</v>
      </c>
      <c r="Q937" s="23" t="s">
        <v>66</v>
      </c>
      <c r="R937" s="160"/>
      <c r="S937" s="163"/>
      <c r="V937" s="38"/>
      <c r="W937" s="38"/>
      <c r="X937" s="39"/>
      <c r="Y937" s="42"/>
      <c r="Z937" s="42"/>
      <c r="AA937" s="39"/>
      <c r="AB937" s="39"/>
      <c r="AC937" s="36"/>
    </row>
    <row r="938" spans="2:29" ht="15.75" thickBot="1" x14ac:dyDescent="0.3">
      <c r="B938" s="181"/>
      <c r="C938" s="179"/>
      <c r="D938" s="23" t="s">
        <v>83</v>
      </c>
      <c r="E938" s="24">
        <v>6</v>
      </c>
      <c r="F938" s="24">
        <v>18</v>
      </c>
      <c r="G938" s="23" t="s">
        <v>66</v>
      </c>
      <c r="H938" s="161"/>
      <c r="I938" s="164"/>
      <c r="L938" s="181"/>
      <c r="M938" s="179"/>
      <c r="N938" s="23" t="s">
        <v>83</v>
      </c>
      <c r="O938" s="24">
        <v>6</v>
      </c>
      <c r="P938" s="24">
        <v>18</v>
      </c>
      <c r="Q938" s="23" t="s">
        <v>66</v>
      </c>
      <c r="R938" s="161"/>
      <c r="S938" s="164"/>
      <c r="V938" s="38"/>
      <c r="W938" s="38"/>
      <c r="X938" s="39"/>
      <c r="Y938" s="42"/>
      <c r="Z938" s="42"/>
      <c r="AA938" s="39"/>
      <c r="AB938" s="39"/>
      <c r="AC938" s="36"/>
    </row>
    <row r="939" spans="2:29" x14ac:dyDescent="0.25">
      <c r="B939" s="181"/>
      <c r="C939" s="177" t="s">
        <v>84</v>
      </c>
      <c r="D939" s="23" t="s">
        <v>2</v>
      </c>
      <c r="E939" s="24">
        <v>1</v>
      </c>
      <c r="F939" s="24">
        <v>19</v>
      </c>
      <c r="G939" s="23" t="s">
        <v>66</v>
      </c>
      <c r="H939" s="23"/>
      <c r="I939" s="47"/>
      <c r="L939" s="181"/>
      <c r="M939" s="177" t="s">
        <v>84</v>
      </c>
      <c r="N939" s="23" t="s">
        <v>2</v>
      </c>
      <c r="O939" s="24">
        <v>1</v>
      </c>
      <c r="P939" s="24">
        <v>19</v>
      </c>
      <c r="Q939" s="23" t="s">
        <v>66</v>
      </c>
      <c r="R939" s="23"/>
      <c r="S939" s="47"/>
      <c r="V939" s="38"/>
      <c r="W939" s="38"/>
      <c r="X939" s="39"/>
      <c r="Y939" s="42"/>
      <c r="Z939" s="42"/>
      <c r="AA939" s="39"/>
      <c r="AB939" s="39"/>
      <c r="AC939" s="36"/>
    </row>
    <row r="940" spans="2:29" x14ac:dyDescent="0.25">
      <c r="B940" s="181"/>
      <c r="C940" s="178"/>
      <c r="D940" s="23" t="s">
        <v>3</v>
      </c>
      <c r="E940" s="24">
        <v>2</v>
      </c>
      <c r="F940" s="24">
        <v>20</v>
      </c>
      <c r="G940" s="23" t="s">
        <v>66</v>
      </c>
      <c r="H940" s="23"/>
      <c r="I940" s="47"/>
      <c r="L940" s="181"/>
      <c r="M940" s="178"/>
      <c r="N940" s="23" t="s">
        <v>3</v>
      </c>
      <c r="O940" s="24">
        <v>2</v>
      </c>
      <c r="P940" s="24">
        <v>20</v>
      </c>
      <c r="Q940" s="23" t="s">
        <v>66</v>
      </c>
      <c r="R940" s="23"/>
      <c r="S940" s="47"/>
      <c r="V940" s="38"/>
      <c r="W940" s="38"/>
      <c r="X940" s="39"/>
      <c r="Y940" s="42"/>
      <c r="Z940" s="42"/>
      <c r="AA940" s="39"/>
      <c r="AB940" s="39"/>
      <c r="AC940" s="36"/>
    </row>
    <row r="941" spans="2:29" x14ac:dyDescent="0.25">
      <c r="B941" s="181"/>
      <c r="C941" s="178"/>
      <c r="D941" s="23" t="s">
        <v>80</v>
      </c>
      <c r="E941" s="26">
        <v>3</v>
      </c>
      <c r="F941" s="24">
        <v>21</v>
      </c>
      <c r="G941" s="23" t="s">
        <v>66</v>
      </c>
      <c r="H941" s="23"/>
      <c r="I941" s="47"/>
      <c r="L941" s="181"/>
      <c r="M941" s="178"/>
      <c r="N941" s="23" t="s">
        <v>80</v>
      </c>
      <c r="O941" s="26">
        <v>3</v>
      </c>
      <c r="P941" s="24">
        <v>21</v>
      </c>
      <c r="Q941" s="23" t="s">
        <v>66</v>
      </c>
      <c r="R941" s="23"/>
      <c r="S941" s="47"/>
      <c r="V941" s="38"/>
      <c r="W941" s="38"/>
      <c r="X941" s="39"/>
      <c r="Y941" s="43"/>
      <c r="Z941" s="42"/>
      <c r="AA941" s="39"/>
      <c r="AB941" s="39"/>
      <c r="AC941" s="36"/>
    </row>
    <row r="942" spans="2:29" x14ac:dyDescent="0.25">
      <c r="B942" s="181"/>
      <c r="C942" s="178"/>
      <c r="D942" s="23" t="s">
        <v>81</v>
      </c>
      <c r="E942" s="24">
        <v>4</v>
      </c>
      <c r="F942" s="24">
        <v>22</v>
      </c>
      <c r="G942" s="23" t="s">
        <v>66</v>
      </c>
      <c r="H942" s="23"/>
      <c r="I942" s="47"/>
      <c r="L942" s="181"/>
      <c r="M942" s="178"/>
      <c r="N942" s="23" t="s">
        <v>81</v>
      </c>
      <c r="O942" s="24">
        <v>4</v>
      </c>
      <c r="P942" s="24">
        <v>22</v>
      </c>
      <c r="Q942" s="23" t="s">
        <v>66</v>
      </c>
      <c r="R942" s="23"/>
      <c r="S942" s="47"/>
      <c r="V942" s="38"/>
      <c r="W942" s="38"/>
      <c r="X942" s="39"/>
      <c r="Y942" s="42"/>
      <c r="Z942" s="42"/>
      <c r="AA942" s="39"/>
      <c r="AB942" s="39"/>
      <c r="AC942" s="36"/>
    </row>
    <row r="943" spans="2:29" x14ac:dyDescent="0.25">
      <c r="B943" s="181"/>
      <c r="C943" s="178"/>
      <c r="D943" s="23" t="s">
        <v>82</v>
      </c>
      <c r="E943" s="24">
        <v>5</v>
      </c>
      <c r="F943" s="24">
        <v>23</v>
      </c>
      <c r="G943" s="23" t="s">
        <v>66</v>
      </c>
      <c r="H943" s="23"/>
      <c r="I943" s="47"/>
      <c r="L943" s="181"/>
      <c r="M943" s="178"/>
      <c r="N943" s="23" t="s">
        <v>82</v>
      </c>
      <c r="O943" s="24">
        <v>5</v>
      </c>
      <c r="P943" s="24">
        <v>23</v>
      </c>
      <c r="Q943" s="23" t="s">
        <v>66</v>
      </c>
      <c r="R943" s="23"/>
      <c r="S943" s="47"/>
      <c r="V943" s="38"/>
      <c r="W943" s="38"/>
      <c r="X943" s="39"/>
      <c r="Y943" s="42"/>
      <c r="Z943" s="42"/>
      <c r="AA943" s="39"/>
      <c r="AB943" s="39"/>
      <c r="AC943" s="36"/>
    </row>
    <row r="944" spans="2:29" ht="15.75" thickBot="1" x14ac:dyDescent="0.3">
      <c r="B944" s="182"/>
      <c r="C944" s="179"/>
      <c r="D944" s="23" t="s">
        <v>83</v>
      </c>
      <c r="E944" s="24">
        <v>6</v>
      </c>
      <c r="F944" s="24">
        <v>24</v>
      </c>
      <c r="G944" s="23" t="s">
        <v>66</v>
      </c>
      <c r="H944" s="23"/>
      <c r="I944" s="47"/>
      <c r="L944" s="182"/>
      <c r="M944" s="179"/>
      <c r="N944" s="23" t="s">
        <v>83</v>
      </c>
      <c r="O944" s="24">
        <v>6</v>
      </c>
      <c r="P944" s="24">
        <v>24</v>
      </c>
      <c r="Q944" s="23" t="s">
        <v>66</v>
      </c>
      <c r="R944" s="23"/>
      <c r="S944" s="47"/>
      <c r="V944" s="38"/>
      <c r="W944" s="38"/>
      <c r="X944" s="39"/>
      <c r="Y944" s="42"/>
      <c r="Z944" s="42"/>
      <c r="AA944" s="39"/>
      <c r="AB944" s="39"/>
      <c r="AC944" s="36"/>
    </row>
    <row r="945" spans="2:29" x14ac:dyDescent="0.25">
      <c r="B945" s="189" t="s">
        <v>80</v>
      </c>
      <c r="C945" s="192" t="s">
        <v>77</v>
      </c>
      <c r="D945" s="27" t="s">
        <v>2</v>
      </c>
      <c r="E945" s="28">
        <v>1</v>
      </c>
      <c r="F945" s="28">
        <v>25</v>
      </c>
      <c r="G945" s="27" t="s">
        <v>66</v>
      </c>
      <c r="H945" s="27"/>
      <c r="I945" s="48"/>
      <c r="L945" s="189" t="s">
        <v>80</v>
      </c>
      <c r="M945" s="192" t="s">
        <v>77</v>
      </c>
      <c r="N945" s="27" t="s">
        <v>2</v>
      </c>
      <c r="O945" s="28">
        <v>1</v>
      </c>
      <c r="P945" s="28">
        <v>25</v>
      </c>
      <c r="Q945" s="27" t="s">
        <v>66</v>
      </c>
      <c r="R945" s="27"/>
      <c r="S945" s="48"/>
      <c r="V945" s="38"/>
      <c r="W945" s="38"/>
      <c r="X945" s="39"/>
      <c r="Y945" s="42"/>
      <c r="Z945" s="42"/>
      <c r="AA945" s="39"/>
      <c r="AB945" s="39"/>
      <c r="AC945" s="36"/>
    </row>
    <row r="946" spans="2:29" x14ac:dyDescent="0.25">
      <c r="B946" s="190"/>
      <c r="C946" s="193"/>
      <c r="D946" s="27" t="s">
        <v>3</v>
      </c>
      <c r="E946" s="28">
        <v>2</v>
      </c>
      <c r="F946" s="28">
        <v>26</v>
      </c>
      <c r="G946" s="27" t="s">
        <v>66</v>
      </c>
      <c r="H946" s="27"/>
      <c r="I946" s="48"/>
      <c r="L946" s="190"/>
      <c r="M946" s="193"/>
      <c r="N946" s="27" t="s">
        <v>3</v>
      </c>
      <c r="O946" s="28">
        <v>2</v>
      </c>
      <c r="P946" s="28">
        <v>26</v>
      </c>
      <c r="Q946" s="27" t="s">
        <v>66</v>
      </c>
      <c r="R946" s="27"/>
      <c r="S946" s="48"/>
      <c r="V946" s="38"/>
      <c r="W946" s="38"/>
      <c r="X946" s="39"/>
      <c r="Y946" s="42"/>
      <c r="Z946" s="42"/>
      <c r="AA946" s="39"/>
      <c r="AB946" s="39"/>
      <c r="AC946" s="36"/>
    </row>
    <row r="947" spans="2:29" x14ac:dyDescent="0.25">
      <c r="B947" s="190"/>
      <c r="C947" s="193"/>
      <c r="D947" s="27" t="s">
        <v>80</v>
      </c>
      <c r="E947" s="28">
        <v>3</v>
      </c>
      <c r="F947" s="28">
        <v>27</v>
      </c>
      <c r="G947" s="27" t="s">
        <v>66</v>
      </c>
      <c r="H947" s="27"/>
      <c r="I947" s="48"/>
      <c r="L947" s="190"/>
      <c r="M947" s="193"/>
      <c r="N947" s="27" t="s">
        <v>80</v>
      </c>
      <c r="O947" s="28">
        <v>3</v>
      </c>
      <c r="P947" s="28">
        <v>27</v>
      </c>
      <c r="Q947" s="27" t="s">
        <v>66</v>
      </c>
      <c r="R947" s="27"/>
      <c r="S947" s="48"/>
      <c r="V947" s="38"/>
      <c r="W947" s="38"/>
      <c r="X947" s="39"/>
      <c r="Y947" s="42"/>
      <c r="Z947" s="42"/>
      <c r="AA947" s="39"/>
      <c r="AB947" s="39"/>
      <c r="AC947" s="36"/>
    </row>
    <row r="948" spans="2:29" x14ac:dyDescent="0.25">
      <c r="B948" s="190"/>
      <c r="C948" s="193"/>
      <c r="D948" s="27" t="s">
        <v>81</v>
      </c>
      <c r="E948" s="28">
        <v>4</v>
      </c>
      <c r="F948" s="28">
        <v>28</v>
      </c>
      <c r="G948" s="27" t="s">
        <v>66</v>
      </c>
      <c r="H948" s="27"/>
      <c r="I948" s="48"/>
      <c r="L948" s="190"/>
      <c r="M948" s="193"/>
      <c r="N948" s="27" t="s">
        <v>81</v>
      </c>
      <c r="O948" s="28">
        <v>4</v>
      </c>
      <c r="P948" s="28">
        <v>28</v>
      </c>
      <c r="Q948" s="27" t="s">
        <v>66</v>
      </c>
      <c r="R948" s="27"/>
      <c r="S948" s="48"/>
      <c r="V948" s="38"/>
      <c r="W948" s="38"/>
      <c r="X948" s="39"/>
      <c r="Y948" s="42"/>
      <c r="Z948" s="42"/>
      <c r="AA948" s="39"/>
      <c r="AB948" s="39"/>
      <c r="AC948" s="36"/>
    </row>
    <row r="949" spans="2:29" x14ac:dyDescent="0.25">
      <c r="B949" s="190"/>
      <c r="C949" s="193"/>
      <c r="D949" s="27" t="s">
        <v>82</v>
      </c>
      <c r="E949" s="28">
        <v>5</v>
      </c>
      <c r="F949" s="28">
        <v>29</v>
      </c>
      <c r="G949" s="27" t="s">
        <v>66</v>
      </c>
      <c r="H949" s="27"/>
      <c r="I949" s="48"/>
      <c r="L949" s="190"/>
      <c r="M949" s="193"/>
      <c r="N949" s="27" t="s">
        <v>82</v>
      </c>
      <c r="O949" s="28">
        <v>5</v>
      </c>
      <c r="P949" s="28">
        <v>29</v>
      </c>
      <c r="Q949" s="27" t="s">
        <v>66</v>
      </c>
      <c r="R949" s="27"/>
      <c r="S949" s="48"/>
      <c r="V949" s="38"/>
      <c r="W949" s="38"/>
      <c r="X949" s="39"/>
      <c r="Y949" s="42"/>
      <c r="Z949" s="42"/>
      <c r="AA949" s="39"/>
      <c r="AB949" s="39"/>
      <c r="AC949" s="36"/>
    </row>
    <row r="950" spans="2:29" ht="15.75" thickBot="1" x14ac:dyDescent="0.3">
      <c r="B950" s="190"/>
      <c r="C950" s="194"/>
      <c r="D950" s="27" t="s">
        <v>83</v>
      </c>
      <c r="E950" s="28">
        <v>6</v>
      </c>
      <c r="F950" s="28">
        <v>30</v>
      </c>
      <c r="G950" s="27" t="s">
        <v>66</v>
      </c>
      <c r="H950" s="27"/>
      <c r="I950" s="48"/>
      <c r="L950" s="190"/>
      <c r="M950" s="194"/>
      <c r="N950" s="27" t="s">
        <v>83</v>
      </c>
      <c r="O950" s="28">
        <v>6</v>
      </c>
      <c r="P950" s="28">
        <v>30</v>
      </c>
      <c r="Q950" s="27" t="s">
        <v>66</v>
      </c>
      <c r="R950" s="27"/>
      <c r="S950" s="48"/>
      <c r="V950" s="38"/>
      <c r="W950" s="38"/>
      <c r="X950" s="39"/>
      <c r="Y950" s="42"/>
      <c r="Z950" s="42"/>
      <c r="AA950" s="39"/>
      <c r="AB950" s="39"/>
      <c r="AC950" s="36"/>
    </row>
    <row r="951" spans="2:29" x14ac:dyDescent="0.25">
      <c r="B951" s="190"/>
      <c r="C951" s="192" t="s">
        <v>84</v>
      </c>
      <c r="D951" s="27" t="s">
        <v>2</v>
      </c>
      <c r="E951" s="28">
        <v>1</v>
      </c>
      <c r="F951" s="28">
        <v>31</v>
      </c>
      <c r="G951" s="27" t="s">
        <v>66</v>
      </c>
      <c r="H951" s="27"/>
      <c r="I951" s="48"/>
      <c r="L951" s="190"/>
      <c r="M951" s="192" t="s">
        <v>84</v>
      </c>
      <c r="N951" s="27" t="s">
        <v>2</v>
      </c>
      <c r="O951" s="28">
        <v>1</v>
      </c>
      <c r="P951" s="28">
        <v>31</v>
      </c>
      <c r="Q951" s="27" t="s">
        <v>66</v>
      </c>
      <c r="R951" s="27"/>
      <c r="S951" s="48"/>
      <c r="V951" s="38"/>
      <c r="W951" s="38"/>
      <c r="X951" s="39"/>
      <c r="Y951" s="42"/>
      <c r="Z951" s="42"/>
      <c r="AA951" s="39"/>
      <c r="AB951" s="39"/>
      <c r="AC951" s="36"/>
    </row>
    <row r="952" spans="2:29" x14ac:dyDescent="0.25">
      <c r="B952" s="190"/>
      <c r="C952" s="193"/>
      <c r="D952" s="27" t="s">
        <v>3</v>
      </c>
      <c r="E952" s="28">
        <v>2</v>
      </c>
      <c r="F952" s="28">
        <v>32</v>
      </c>
      <c r="G952" s="27" t="s">
        <v>66</v>
      </c>
      <c r="H952" s="27"/>
      <c r="I952" s="48"/>
      <c r="L952" s="190"/>
      <c r="M952" s="193"/>
      <c r="N952" s="27" t="s">
        <v>3</v>
      </c>
      <c r="O952" s="28">
        <v>2</v>
      </c>
      <c r="P952" s="28">
        <v>32</v>
      </c>
      <c r="Q952" s="27" t="s">
        <v>66</v>
      </c>
      <c r="R952" s="27"/>
      <c r="S952" s="48"/>
      <c r="V952" s="38"/>
      <c r="W952" s="38"/>
      <c r="X952" s="39"/>
      <c r="Y952" s="42"/>
      <c r="Z952" s="42"/>
      <c r="AA952" s="39"/>
      <c r="AB952" s="39"/>
      <c r="AC952" s="36"/>
    </row>
    <row r="953" spans="2:29" x14ac:dyDescent="0.25">
      <c r="B953" s="190"/>
      <c r="C953" s="193"/>
      <c r="D953" s="27" t="s">
        <v>80</v>
      </c>
      <c r="E953" s="28">
        <v>3</v>
      </c>
      <c r="F953" s="28">
        <v>33</v>
      </c>
      <c r="G953" s="27" t="s">
        <v>66</v>
      </c>
      <c r="H953" s="27"/>
      <c r="I953" s="48"/>
      <c r="L953" s="190"/>
      <c r="M953" s="193"/>
      <c r="N953" s="27" t="s">
        <v>80</v>
      </c>
      <c r="O953" s="28">
        <v>3</v>
      </c>
      <c r="P953" s="28">
        <v>33</v>
      </c>
      <c r="Q953" s="27" t="s">
        <v>66</v>
      </c>
      <c r="R953" s="27"/>
      <c r="S953" s="48"/>
      <c r="V953" s="38"/>
      <c r="W953" s="38"/>
      <c r="X953" s="39"/>
      <c r="Y953" s="42"/>
      <c r="Z953" s="42"/>
      <c r="AA953" s="39"/>
      <c r="AB953" s="39"/>
      <c r="AC953" s="36"/>
    </row>
    <row r="954" spans="2:29" x14ac:dyDescent="0.25">
      <c r="B954" s="190"/>
      <c r="C954" s="193"/>
      <c r="D954" s="27" t="s">
        <v>81</v>
      </c>
      <c r="E954" s="28">
        <v>4</v>
      </c>
      <c r="F954" s="28">
        <v>34</v>
      </c>
      <c r="G954" s="27" t="s">
        <v>66</v>
      </c>
      <c r="H954" s="27"/>
      <c r="I954" s="48"/>
      <c r="L954" s="190"/>
      <c r="M954" s="193"/>
      <c r="N954" s="27" t="s">
        <v>81</v>
      </c>
      <c r="O954" s="28">
        <v>4</v>
      </c>
      <c r="P954" s="28">
        <v>34</v>
      </c>
      <c r="Q954" s="27" t="s">
        <v>66</v>
      </c>
      <c r="R954" s="27"/>
      <c r="S954" s="48"/>
      <c r="V954" s="38"/>
      <c r="W954" s="38"/>
      <c r="X954" s="39"/>
      <c r="Y954" s="42"/>
      <c r="Z954" s="42"/>
      <c r="AA954" s="39"/>
      <c r="AB954" s="39"/>
      <c r="AC954" s="36"/>
    </row>
    <row r="955" spans="2:29" x14ac:dyDescent="0.25">
      <c r="B955" s="190"/>
      <c r="C955" s="193"/>
      <c r="D955" s="27" t="s">
        <v>82</v>
      </c>
      <c r="E955" s="28">
        <v>5</v>
      </c>
      <c r="F955" s="28">
        <v>35</v>
      </c>
      <c r="G955" s="27" t="s">
        <v>66</v>
      </c>
      <c r="H955" s="27"/>
      <c r="I955" s="48"/>
      <c r="L955" s="190"/>
      <c r="M955" s="193"/>
      <c r="N955" s="27" t="s">
        <v>82</v>
      </c>
      <c r="O955" s="28">
        <v>5</v>
      </c>
      <c r="P955" s="28">
        <v>35</v>
      </c>
      <c r="Q955" s="27" t="s">
        <v>66</v>
      </c>
      <c r="R955" s="27"/>
      <c r="S955" s="48"/>
      <c r="V955" s="38"/>
      <c r="W955" s="38"/>
      <c r="X955" s="39"/>
      <c r="Y955" s="42"/>
      <c r="Z955" s="42"/>
      <c r="AA955" s="39"/>
      <c r="AB955" s="39"/>
      <c r="AC955" s="36"/>
    </row>
    <row r="956" spans="2:29" ht="15.75" thickBot="1" x14ac:dyDescent="0.3">
      <c r="B956" s="191"/>
      <c r="C956" s="194"/>
      <c r="D956" s="27" t="s">
        <v>83</v>
      </c>
      <c r="E956" s="28">
        <v>6</v>
      </c>
      <c r="F956" s="28">
        <v>36</v>
      </c>
      <c r="G956" s="27" t="s">
        <v>66</v>
      </c>
      <c r="H956" s="27"/>
      <c r="I956" s="48"/>
      <c r="L956" s="191"/>
      <c r="M956" s="194"/>
      <c r="N956" s="27" t="s">
        <v>83</v>
      </c>
      <c r="O956" s="28">
        <v>6</v>
      </c>
      <c r="P956" s="28">
        <v>36</v>
      </c>
      <c r="Q956" s="27" t="s">
        <v>66</v>
      </c>
      <c r="R956" s="27"/>
      <c r="S956" s="48"/>
      <c r="V956" s="38"/>
      <c r="W956" s="38"/>
      <c r="X956" s="39"/>
      <c r="Y956" s="42"/>
      <c r="Z956" s="42"/>
      <c r="AA956" s="39"/>
      <c r="AB956" s="39"/>
      <c r="AC956" s="36"/>
    </row>
    <row r="957" spans="2:29" x14ac:dyDescent="0.25">
      <c r="B957" s="183" t="s">
        <v>81</v>
      </c>
      <c r="C957" s="186" t="s">
        <v>77</v>
      </c>
      <c r="D957" s="29" t="s">
        <v>2</v>
      </c>
      <c r="E957" s="30">
        <v>1</v>
      </c>
      <c r="F957" s="30">
        <v>37</v>
      </c>
      <c r="G957" s="29" t="s">
        <v>66</v>
      </c>
      <c r="H957" s="29"/>
      <c r="I957" s="49"/>
      <c r="L957" s="183" t="s">
        <v>81</v>
      </c>
      <c r="M957" s="186" t="s">
        <v>77</v>
      </c>
      <c r="N957" s="29" t="s">
        <v>2</v>
      </c>
      <c r="O957" s="30">
        <v>1</v>
      </c>
      <c r="P957" s="30">
        <v>37</v>
      </c>
      <c r="Q957" s="29" t="s">
        <v>66</v>
      </c>
      <c r="R957" s="29"/>
      <c r="S957" s="49"/>
      <c r="V957" s="38"/>
      <c r="W957" s="38"/>
      <c r="X957" s="39"/>
      <c r="Y957" s="42"/>
      <c r="Z957" s="42"/>
      <c r="AA957" s="39"/>
      <c r="AB957" s="39"/>
      <c r="AC957" s="36"/>
    </row>
    <row r="958" spans="2:29" x14ac:dyDescent="0.25">
      <c r="B958" s="184"/>
      <c r="C958" s="187"/>
      <c r="D958" s="29" t="s">
        <v>3</v>
      </c>
      <c r="E958" s="30">
        <v>2</v>
      </c>
      <c r="F958" s="30">
        <v>38</v>
      </c>
      <c r="G958" s="29" t="s">
        <v>66</v>
      </c>
      <c r="H958" s="29"/>
      <c r="I958" s="49"/>
      <c r="L958" s="184"/>
      <c r="M958" s="187"/>
      <c r="N958" s="29" t="s">
        <v>3</v>
      </c>
      <c r="O958" s="30">
        <v>2</v>
      </c>
      <c r="P958" s="30">
        <v>38</v>
      </c>
      <c r="Q958" s="29" t="s">
        <v>66</v>
      </c>
      <c r="R958" s="29"/>
      <c r="S958" s="49"/>
      <c r="V958" s="38"/>
      <c r="W958" s="38"/>
      <c r="X958" s="39"/>
      <c r="Y958" s="42"/>
      <c r="Z958" s="42"/>
      <c r="AA958" s="39"/>
      <c r="AB958" s="39"/>
      <c r="AC958" s="36"/>
    </row>
    <row r="959" spans="2:29" x14ac:dyDescent="0.25">
      <c r="B959" s="184"/>
      <c r="C959" s="187"/>
      <c r="D959" s="29" t="s">
        <v>80</v>
      </c>
      <c r="E959" s="30">
        <v>3</v>
      </c>
      <c r="F959" s="30">
        <v>39</v>
      </c>
      <c r="G959" s="29" t="s">
        <v>66</v>
      </c>
      <c r="H959" s="29"/>
      <c r="I959" s="49"/>
      <c r="L959" s="184"/>
      <c r="M959" s="187"/>
      <c r="N959" s="29" t="s">
        <v>80</v>
      </c>
      <c r="O959" s="30">
        <v>3</v>
      </c>
      <c r="P959" s="30">
        <v>39</v>
      </c>
      <c r="Q959" s="29" t="s">
        <v>66</v>
      </c>
      <c r="R959" s="29"/>
      <c r="S959" s="49"/>
      <c r="V959" s="38"/>
      <c r="W959" s="38"/>
      <c r="X959" s="39"/>
      <c r="Y959" s="42"/>
      <c r="Z959" s="42"/>
      <c r="AA959" s="39"/>
      <c r="AB959" s="39"/>
      <c r="AC959" s="36"/>
    </row>
    <row r="960" spans="2:29" x14ac:dyDescent="0.25">
      <c r="B960" s="184"/>
      <c r="C960" s="187"/>
      <c r="D960" s="29" t="s">
        <v>81</v>
      </c>
      <c r="E960" s="30">
        <v>4</v>
      </c>
      <c r="F960" s="30">
        <v>40</v>
      </c>
      <c r="G960" s="29" t="s">
        <v>66</v>
      </c>
      <c r="H960" s="29"/>
      <c r="I960" s="49"/>
      <c r="L960" s="184"/>
      <c r="M960" s="187"/>
      <c r="N960" s="29" t="s">
        <v>81</v>
      </c>
      <c r="O960" s="30">
        <v>4</v>
      </c>
      <c r="P960" s="30">
        <v>40</v>
      </c>
      <c r="Q960" s="29" t="s">
        <v>66</v>
      </c>
      <c r="R960" s="29"/>
      <c r="S960" s="49"/>
      <c r="V960" s="38"/>
      <c r="W960" s="38"/>
      <c r="X960" s="39"/>
      <c r="Y960" s="42"/>
      <c r="Z960" s="42"/>
      <c r="AA960" s="39"/>
      <c r="AB960" s="39"/>
      <c r="AC960" s="36"/>
    </row>
    <row r="961" spans="2:29" x14ac:dyDescent="0.25">
      <c r="B961" s="184"/>
      <c r="C961" s="187"/>
      <c r="D961" s="29" t="s">
        <v>82</v>
      </c>
      <c r="E961" s="30">
        <v>5</v>
      </c>
      <c r="F961" s="30">
        <v>41</v>
      </c>
      <c r="G961" s="29" t="s">
        <v>66</v>
      </c>
      <c r="H961" s="29"/>
      <c r="I961" s="49"/>
      <c r="L961" s="184"/>
      <c r="M961" s="187"/>
      <c r="N961" s="29" t="s">
        <v>82</v>
      </c>
      <c r="O961" s="30">
        <v>5</v>
      </c>
      <c r="P961" s="30">
        <v>41</v>
      </c>
      <c r="Q961" s="29" t="s">
        <v>66</v>
      </c>
      <c r="R961" s="29"/>
      <c r="S961" s="49"/>
      <c r="V961" s="38"/>
      <c r="W961" s="38"/>
      <c r="X961" s="39"/>
      <c r="Y961" s="42"/>
      <c r="Z961" s="42"/>
      <c r="AA961" s="39"/>
      <c r="AB961" s="39"/>
      <c r="AC961" s="36"/>
    </row>
    <row r="962" spans="2:29" ht="15.75" thickBot="1" x14ac:dyDescent="0.3">
      <c r="B962" s="184"/>
      <c r="C962" s="188"/>
      <c r="D962" s="29" t="s">
        <v>83</v>
      </c>
      <c r="E962" s="30">
        <v>6</v>
      </c>
      <c r="F962" s="30">
        <v>42</v>
      </c>
      <c r="G962" s="29" t="s">
        <v>66</v>
      </c>
      <c r="H962" s="29"/>
      <c r="I962" s="49"/>
      <c r="L962" s="184"/>
      <c r="M962" s="188"/>
      <c r="N962" s="29" t="s">
        <v>83</v>
      </c>
      <c r="O962" s="30">
        <v>6</v>
      </c>
      <c r="P962" s="30">
        <v>42</v>
      </c>
      <c r="Q962" s="29" t="s">
        <v>66</v>
      </c>
      <c r="R962" s="29"/>
      <c r="S962" s="49"/>
      <c r="V962" s="38"/>
      <c r="W962" s="38"/>
      <c r="X962" s="39"/>
      <c r="Y962" s="42"/>
      <c r="Z962" s="42"/>
      <c r="AA962" s="39"/>
      <c r="AB962" s="39"/>
      <c r="AC962" s="36"/>
    </row>
    <row r="963" spans="2:29" x14ac:dyDescent="0.25">
      <c r="B963" s="184"/>
      <c r="C963" s="186" t="s">
        <v>84</v>
      </c>
      <c r="D963" s="29" t="s">
        <v>2</v>
      </c>
      <c r="E963" s="30">
        <v>1</v>
      </c>
      <c r="F963" s="30">
        <v>43</v>
      </c>
      <c r="G963" s="29" t="s">
        <v>66</v>
      </c>
      <c r="H963" s="29"/>
      <c r="I963" s="49"/>
      <c r="L963" s="184"/>
      <c r="M963" s="186" t="s">
        <v>84</v>
      </c>
      <c r="N963" s="29" t="s">
        <v>2</v>
      </c>
      <c r="O963" s="30">
        <v>1</v>
      </c>
      <c r="P963" s="30">
        <v>43</v>
      </c>
      <c r="Q963" s="29" t="s">
        <v>66</v>
      </c>
      <c r="R963" s="29"/>
      <c r="S963" s="49"/>
      <c r="V963" s="38"/>
      <c r="W963" s="38"/>
      <c r="X963" s="39"/>
      <c r="Y963" s="42"/>
      <c r="Z963" s="42"/>
      <c r="AA963" s="39"/>
      <c r="AB963" s="39"/>
      <c r="AC963" s="36"/>
    </row>
    <row r="964" spans="2:29" x14ac:dyDescent="0.25">
      <c r="B964" s="184"/>
      <c r="C964" s="187"/>
      <c r="D964" s="29" t="s">
        <v>3</v>
      </c>
      <c r="E964" s="30">
        <v>2</v>
      </c>
      <c r="F964" s="30">
        <v>44</v>
      </c>
      <c r="G964" s="29" t="s">
        <v>66</v>
      </c>
      <c r="H964" s="29"/>
      <c r="I964" s="49"/>
      <c r="L964" s="184"/>
      <c r="M964" s="187"/>
      <c r="N964" s="29" t="s">
        <v>3</v>
      </c>
      <c r="O964" s="30">
        <v>2</v>
      </c>
      <c r="P964" s="30">
        <v>44</v>
      </c>
      <c r="Q964" s="29" t="s">
        <v>66</v>
      </c>
      <c r="R964" s="29"/>
      <c r="S964" s="49"/>
      <c r="V964" s="38"/>
      <c r="W964" s="38"/>
      <c r="X964" s="39"/>
      <c r="Y964" s="42"/>
      <c r="Z964" s="42"/>
      <c r="AA964" s="39"/>
      <c r="AB964" s="39"/>
      <c r="AC964" s="36"/>
    </row>
    <row r="965" spans="2:29" x14ac:dyDescent="0.25">
      <c r="B965" s="184"/>
      <c r="C965" s="187"/>
      <c r="D965" s="29" t="s">
        <v>80</v>
      </c>
      <c r="E965" s="30">
        <v>3</v>
      </c>
      <c r="F965" s="30">
        <v>45</v>
      </c>
      <c r="G965" s="29" t="s">
        <v>66</v>
      </c>
      <c r="H965" s="29"/>
      <c r="I965" s="49"/>
      <c r="L965" s="184"/>
      <c r="M965" s="187"/>
      <c r="N965" s="29" t="s">
        <v>80</v>
      </c>
      <c r="O965" s="30">
        <v>3</v>
      </c>
      <c r="P965" s="30">
        <v>45</v>
      </c>
      <c r="Q965" s="29" t="s">
        <v>66</v>
      </c>
      <c r="R965" s="29"/>
      <c r="S965" s="49"/>
      <c r="V965" s="38"/>
      <c r="W965" s="38"/>
      <c r="X965" s="39"/>
      <c r="Y965" s="42"/>
      <c r="Z965" s="42"/>
      <c r="AA965" s="39"/>
      <c r="AB965" s="39"/>
      <c r="AC965" s="36"/>
    </row>
    <row r="966" spans="2:29" x14ac:dyDescent="0.25">
      <c r="B966" s="184"/>
      <c r="C966" s="187"/>
      <c r="D966" s="29" t="s">
        <v>81</v>
      </c>
      <c r="E966" s="30">
        <v>4</v>
      </c>
      <c r="F966" s="30">
        <v>46</v>
      </c>
      <c r="G966" s="29" t="s">
        <v>66</v>
      </c>
      <c r="H966" s="29"/>
      <c r="I966" s="49"/>
      <c r="L966" s="184"/>
      <c r="M966" s="187"/>
      <c r="N966" s="29" t="s">
        <v>81</v>
      </c>
      <c r="O966" s="30">
        <v>4</v>
      </c>
      <c r="P966" s="30">
        <v>46</v>
      </c>
      <c r="Q966" s="29" t="s">
        <v>66</v>
      </c>
      <c r="R966" s="29"/>
      <c r="S966" s="49"/>
      <c r="V966" s="38"/>
      <c r="W966" s="38"/>
      <c r="X966" s="39"/>
      <c r="Y966" s="42"/>
      <c r="Z966" s="42"/>
      <c r="AA966" s="39"/>
      <c r="AB966" s="39"/>
      <c r="AC966" s="36"/>
    </row>
    <row r="967" spans="2:29" x14ac:dyDescent="0.25">
      <c r="B967" s="184"/>
      <c r="C967" s="187"/>
      <c r="D967" s="29" t="s">
        <v>82</v>
      </c>
      <c r="E967" s="30">
        <v>5</v>
      </c>
      <c r="F967" s="30">
        <v>47</v>
      </c>
      <c r="G967" s="29" t="s">
        <v>66</v>
      </c>
      <c r="H967" s="29"/>
      <c r="I967" s="49"/>
      <c r="L967" s="184"/>
      <c r="M967" s="187"/>
      <c r="N967" s="29" t="s">
        <v>82</v>
      </c>
      <c r="O967" s="30">
        <v>5</v>
      </c>
      <c r="P967" s="30">
        <v>47</v>
      </c>
      <c r="Q967" s="29" t="s">
        <v>66</v>
      </c>
      <c r="R967" s="29"/>
      <c r="S967" s="49"/>
      <c r="V967" s="38"/>
      <c r="W967" s="38"/>
      <c r="X967" s="39"/>
      <c r="Y967" s="42"/>
      <c r="Z967" s="42"/>
      <c r="AA967" s="39"/>
      <c r="AB967" s="39"/>
      <c r="AC967" s="36"/>
    </row>
    <row r="968" spans="2:29" ht="15.75" thickBot="1" x14ac:dyDescent="0.3">
      <c r="B968" s="185"/>
      <c r="C968" s="188"/>
      <c r="D968" s="29" t="s">
        <v>83</v>
      </c>
      <c r="E968" s="30">
        <v>6</v>
      </c>
      <c r="F968" s="30">
        <v>48</v>
      </c>
      <c r="G968" s="29" t="s">
        <v>66</v>
      </c>
      <c r="H968" s="29"/>
      <c r="I968" s="49"/>
      <c r="L968" s="185"/>
      <c r="M968" s="188"/>
      <c r="N968" s="29" t="s">
        <v>83</v>
      </c>
      <c r="O968" s="30">
        <v>6</v>
      </c>
      <c r="P968" s="30">
        <v>48</v>
      </c>
      <c r="Q968" s="29" t="s">
        <v>66</v>
      </c>
      <c r="R968" s="29"/>
      <c r="S968" s="49"/>
      <c r="V968" s="38"/>
      <c r="W968" s="38"/>
      <c r="X968" s="39"/>
      <c r="Y968" s="42"/>
      <c r="Z968" s="42"/>
      <c r="AA968" s="39"/>
      <c r="AB968" s="39"/>
      <c r="AC968" s="36"/>
    </row>
    <row r="969" spans="2:29" ht="16.5" customHeight="1" x14ac:dyDescent="0.25">
      <c r="V969" s="36"/>
      <c r="W969" s="36"/>
      <c r="X969" s="36"/>
      <c r="Y969" s="36"/>
      <c r="Z969" s="36"/>
      <c r="AA969" s="36"/>
      <c r="AB969" s="36"/>
      <c r="AC969" s="36"/>
    </row>
    <row r="970" spans="2:29" ht="15.75" thickBot="1" x14ac:dyDescent="0.3"/>
    <row r="971" spans="2:29" ht="15.75" thickBot="1" x14ac:dyDescent="0.3">
      <c r="B971" s="171" t="s">
        <v>288</v>
      </c>
      <c r="C971" s="172"/>
      <c r="D971" s="172"/>
      <c r="E971" s="172"/>
      <c r="F971" s="172"/>
      <c r="G971" s="172"/>
      <c r="H971" s="172"/>
      <c r="I971" s="173"/>
      <c r="L971" s="171" t="s">
        <v>289</v>
      </c>
      <c r="M971" s="172"/>
      <c r="N971" s="172"/>
      <c r="O971" s="172"/>
      <c r="P971" s="172"/>
      <c r="Q971" s="172"/>
      <c r="R971" s="172"/>
      <c r="S971" s="173"/>
    </row>
    <row r="973" spans="2:29" ht="26.25" thickBot="1" x14ac:dyDescent="0.3">
      <c r="B973" s="15" t="s">
        <v>70</v>
      </c>
      <c r="C973" s="16" t="s">
        <v>71</v>
      </c>
      <c r="D973" s="15" t="s">
        <v>72</v>
      </c>
      <c r="E973" s="17" t="s">
        <v>73</v>
      </c>
      <c r="F973" s="17" t="s">
        <v>74</v>
      </c>
      <c r="G973" s="15" t="s">
        <v>75</v>
      </c>
      <c r="H973" s="15" t="s">
        <v>55</v>
      </c>
      <c r="I973" s="15" t="s">
        <v>76</v>
      </c>
      <c r="L973" s="15" t="s">
        <v>70</v>
      </c>
      <c r="M973" s="16" t="s">
        <v>71</v>
      </c>
      <c r="N973" s="15" t="s">
        <v>72</v>
      </c>
      <c r="O973" s="17" t="s">
        <v>73</v>
      </c>
      <c r="P973" s="17" t="s">
        <v>74</v>
      </c>
      <c r="Q973" s="15" t="s">
        <v>75</v>
      </c>
      <c r="R973" s="15" t="s">
        <v>55</v>
      </c>
      <c r="S973" s="15" t="s">
        <v>76</v>
      </c>
    </row>
    <row r="974" spans="2:29" ht="15" customHeight="1" x14ac:dyDescent="0.25">
      <c r="B974" s="174" t="s">
        <v>2</v>
      </c>
      <c r="C974" s="168" t="s">
        <v>77</v>
      </c>
      <c r="D974" s="18" t="s">
        <v>2</v>
      </c>
      <c r="E974" s="19">
        <v>1</v>
      </c>
      <c r="F974" s="19">
        <v>1</v>
      </c>
      <c r="G974" s="18" t="s">
        <v>66</v>
      </c>
      <c r="H974" s="32"/>
      <c r="I974" s="50"/>
      <c r="L974" s="174" t="s">
        <v>2</v>
      </c>
      <c r="M974" s="168" t="s">
        <v>77</v>
      </c>
      <c r="N974" s="18" t="s">
        <v>2</v>
      </c>
      <c r="O974" s="19">
        <v>1</v>
      </c>
      <c r="P974" s="19">
        <v>1</v>
      </c>
      <c r="Q974" s="18" t="s">
        <v>66</v>
      </c>
      <c r="R974" s="32"/>
      <c r="S974" s="50"/>
    </row>
    <row r="975" spans="2:29" x14ac:dyDescent="0.25">
      <c r="B975" s="175"/>
      <c r="C975" s="169"/>
      <c r="D975" s="18" t="s">
        <v>3</v>
      </c>
      <c r="E975" s="19">
        <v>2</v>
      </c>
      <c r="F975" s="19">
        <v>2</v>
      </c>
      <c r="G975" s="18" t="s">
        <v>66</v>
      </c>
      <c r="H975" s="32"/>
      <c r="I975" s="50"/>
      <c r="L975" s="175"/>
      <c r="M975" s="169"/>
      <c r="N975" s="18" t="s">
        <v>3</v>
      </c>
      <c r="O975" s="19">
        <v>2</v>
      </c>
      <c r="P975" s="19">
        <v>2</v>
      </c>
      <c r="Q975" s="18" t="s">
        <v>66</v>
      </c>
      <c r="R975" s="32"/>
      <c r="S975" s="50"/>
    </row>
    <row r="976" spans="2:29" x14ac:dyDescent="0.25">
      <c r="B976" s="175"/>
      <c r="C976" s="169"/>
      <c r="D976" s="18" t="s">
        <v>80</v>
      </c>
      <c r="E976" s="20">
        <v>3</v>
      </c>
      <c r="F976" s="20">
        <v>3</v>
      </c>
      <c r="G976" s="18" t="s">
        <v>66</v>
      </c>
      <c r="H976" s="32"/>
      <c r="I976" s="50"/>
      <c r="L976" s="175"/>
      <c r="M976" s="169"/>
      <c r="N976" s="18" t="s">
        <v>80</v>
      </c>
      <c r="O976" s="20">
        <v>3</v>
      </c>
      <c r="P976" s="20">
        <v>3</v>
      </c>
      <c r="Q976" s="18" t="s">
        <v>66</v>
      </c>
      <c r="R976" s="32"/>
      <c r="S976" s="50"/>
    </row>
    <row r="977" spans="2:19" x14ac:dyDescent="0.25">
      <c r="B977" s="175"/>
      <c r="C977" s="169"/>
      <c r="D977" s="18" t="s">
        <v>81</v>
      </c>
      <c r="E977" s="20">
        <v>4</v>
      </c>
      <c r="F977" s="20">
        <v>4</v>
      </c>
      <c r="G977" s="18" t="s">
        <v>66</v>
      </c>
      <c r="H977" s="32"/>
      <c r="I977" s="50"/>
      <c r="L977" s="175"/>
      <c r="M977" s="169"/>
      <c r="N977" s="18" t="s">
        <v>81</v>
      </c>
      <c r="O977" s="20">
        <v>4</v>
      </c>
      <c r="P977" s="20">
        <v>4</v>
      </c>
      <c r="Q977" s="18" t="s">
        <v>66</v>
      </c>
      <c r="R977" s="32"/>
      <c r="S977" s="50"/>
    </row>
    <row r="978" spans="2:19" x14ac:dyDescent="0.25">
      <c r="B978" s="175"/>
      <c r="C978" s="169"/>
      <c r="D978" s="18" t="s">
        <v>82</v>
      </c>
      <c r="E978" s="20">
        <v>5</v>
      </c>
      <c r="F978" s="20">
        <v>5</v>
      </c>
      <c r="G978" s="18" t="s">
        <v>66</v>
      </c>
      <c r="H978" s="32"/>
      <c r="I978" s="50"/>
      <c r="L978" s="175"/>
      <c r="M978" s="169"/>
      <c r="N978" s="18" t="s">
        <v>82</v>
      </c>
      <c r="O978" s="20">
        <v>5</v>
      </c>
      <c r="P978" s="20">
        <v>5</v>
      </c>
      <c r="Q978" s="18" t="s">
        <v>66</v>
      </c>
      <c r="R978" s="32"/>
      <c r="S978" s="50"/>
    </row>
    <row r="979" spans="2:19" ht="15.75" thickBot="1" x14ac:dyDescent="0.3">
      <c r="B979" s="175"/>
      <c r="C979" s="170"/>
      <c r="D979" s="18" t="s">
        <v>83</v>
      </c>
      <c r="E979" s="20">
        <v>6</v>
      </c>
      <c r="F979" s="20">
        <v>6</v>
      </c>
      <c r="G979" s="18" t="s">
        <v>66</v>
      </c>
      <c r="H979" s="32"/>
      <c r="I979" s="50"/>
      <c r="L979" s="175"/>
      <c r="M979" s="170"/>
      <c r="N979" s="18" t="s">
        <v>83</v>
      </c>
      <c r="O979" s="20">
        <v>6</v>
      </c>
      <c r="P979" s="20">
        <v>6</v>
      </c>
      <c r="Q979" s="18" t="s">
        <v>66</v>
      </c>
      <c r="R979" s="32"/>
      <c r="S979" s="50"/>
    </row>
    <row r="980" spans="2:19" x14ac:dyDescent="0.25">
      <c r="B980" s="175"/>
      <c r="C980" s="168" t="s">
        <v>84</v>
      </c>
      <c r="D980" s="18" t="s">
        <v>2</v>
      </c>
      <c r="E980" s="19">
        <v>1</v>
      </c>
      <c r="F980" s="19">
        <v>7</v>
      </c>
      <c r="G980" s="18" t="s">
        <v>66</v>
      </c>
      <c r="H980" s="32"/>
      <c r="I980" s="50"/>
      <c r="L980" s="175"/>
      <c r="M980" s="168" t="s">
        <v>84</v>
      </c>
      <c r="N980" s="18" t="s">
        <v>2</v>
      </c>
      <c r="O980" s="19">
        <v>1</v>
      </c>
      <c r="P980" s="19">
        <v>7</v>
      </c>
      <c r="Q980" s="18" t="s">
        <v>66</v>
      </c>
      <c r="R980" s="32"/>
      <c r="S980" s="50"/>
    </row>
    <row r="981" spans="2:19" x14ac:dyDescent="0.25">
      <c r="B981" s="175"/>
      <c r="C981" s="169"/>
      <c r="D981" s="18" t="s">
        <v>3</v>
      </c>
      <c r="E981" s="19">
        <v>2</v>
      </c>
      <c r="F981" s="19">
        <v>8</v>
      </c>
      <c r="G981" s="18" t="s">
        <v>66</v>
      </c>
      <c r="H981" s="32"/>
      <c r="I981" s="50"/>
      <c r="L981" s="175"/>
      <c r="M981" s="169"/>
      <c r="N981" s="18" t="s">
        <v>3</v>
      </c>
      <c r="O981" s="19">
        <v>2</v>
      </c>
      <c r="P981" s="19">
        <v>8</v>
      </c>
      <c r="Q981" s="18" t="s">
        <v>66</v>
      </c>
      <c r="R981" s="32"/>
      <c r="S981" s="50"/>
    </row>
    <row r="982" spans="2:19" x14ac:dyDescent="0.25">
      <c r="B982" s="175"/>
      <c r="C982" s="169"/>
      <c r="D982" s="18" t="s">
        <v>80</v>
      </c>
      <c r="E982" s="20">
        <v>3</v>
      </c>
      <c r="F982" s="20">
        <v>9</v>
      </c>
      <c r="G982" s="18" t="s">
        <v>66</v>
      </c>
      <c r="H982" s="32"/>
      <c r="I982" s="50"/>
      <c r="L982" s="175"/>
      <c r="M982" s="169"/>
      <c r="N982" s="18" t="s">
        <v>80</v>
      </c>
      <c r="O982" s="20">
        <v>3</v>
      </c>
      <c r="P982" s="20">
        <v>9</v>
      </c>
      <c r="Q982" s="18" t="s">
        <v>66</v>
      </c>
      <c r="R982" s="32"/>
      <c r="S982" s="50"/>
    </row>
    <row r="983" spans="2:19" x14ac:dyDescent="0.25">
      <c r="B983" s="175"/>
      <c r="C983" s="169"/>
      <c r="D983" s="18" t="s">
        <v>81</v>
      </c>
      <c r="E983" s="20">
        <v>4</v>
      </c>
      <c r="F983" s="20">
        <v>10</v>
      </c>
      <c r="G983" s="18" t="s">
        <v>66</v>
      </c>
      <c r="H983" s="32"/>
      <c r="I983" s="50"/>
      <c r="L983" s="175"/>
      <c r="M983" s="169"/>
      <c r="N983" s="18" t="s">
        <v>81</v>
      </c>
      <c r="O983" s="20">
        <v>4</v>
      </c>
      <c r="P983" s="20">
        <v>10</v>
      </c>
      <c r="Q983" s="18" t="s">
        <v>66</v>
      </c>
      <c r="R983" s="32"/>
      <c r="S983" s="50"/>
    </row>
    <row r="984" spans="2:19" x14ac:dyDescent="0.25">
      <c r="B984" s="175"/>
      <c r="C984" s="169"/>
      <c r="D984" s="18" t="s">
        <v>82</v>
      </c>
      <c r="E984" s="20">
        <v>5</v>
      </c>
      <c r="F984" s="20">
        <v>11</v>
      </c>
      <c r="G984" s="18" t="s">
        <v>66</v>
      </c>
      <c r="H984" s="32"/>
      <c r="I984" s="50"/>
      <c r="L984" s="175"/>
      <c r="M984" s="169"/>
      <c r="N984" s="18" t="s">
        <v>82</v>
      </c>
      <c r="O984" s="20">
        <v>5</v>
      </c>
      <c r="P984" s="20">
        <v>11</v>
      </c>
      <c r="Q984" s="18" t="s">
        <v>66</v>
      </c>
      <c r="R984" s="32"/>
      <c r="S984" s="50"/>
    </row>
    <row r="985" spans="2:19" ht="15.75" thickBot="1" x14ac:dyDescent="0.3">
      <c r="B985" s="176"/>
      <c r="C985" s="170"/>
      <c r="D985" s="18" t="s">
        <v>83</v>
      </c>
      <c r="E985" s="20">
        <v>6</v>
      </c>
      <c r="F985" s="20">
        <v>12</v>
      </c>
      <c r="G985" s="18" t="s">
        <v>66</v>
      </c>
      <c r="H985" s="32"/>
      <c r="I985" s="50"/>
      <c r="L985" s="176"/>
      <c r="M985" s="170"/>
      <c r="N985" s="18" t="s">
        <v>83</v>
      </c>
      <c r="O985" s="20">
        <v>6</v>
      </c>
      <c r="P985" s="20">
        <v>12</v>
      </c>
      <c r="Q985" s="18" t="s">
        <v>66</v>
      </c>
      <c r="R985" s="32"/>
      <c r="S985" s="50"/>
    </row>
    <row r="986" spans="2:19" ht="15" customHeight="1" x14ac:dyDescent="0.25">
      <c r="B986" s="180" t="s">
        <v>3</v>
      </c>
      <c r="C986" s="177" t="s">
        <v>77</v>
      </c>
      <c r="D986" s="21" t="s">
        <v>2</v>
      </c>
      <c r="E986" s="22">
        <v>1</v>
      </c>
      <c r="F986" s="22">
        <v>13</v>
      </c>
      <c r="G986" s="21" t="s">
        <v>78</v>
      </c>
      <c r="H986" s="159" t="s">
        <v>126</v>
      </c>
      <c r="I986" s="162" t="s">
        <v>173</v>
      </c>
      <c r="L986" s="180" t="s">
        <v>3</v>
      </c>
      <c r="M986" s="177" t="s">
        <v>77</v>
      </c>
      <c r="N986" s="21" t="s">
        <v>2</v>
      </c>
      <c r="O986" s="22">
        <v>1</v>
      </c>
      <c r="P986" s="22">
        <v>13</v>
      </c>
      <c r="Q986" s="21" t="s">
        <v>78</v>
      </c>
      <c r="R986" s="159" t="s">
        <v>126</v>
      </c>
      <c r="S986" s="162" t="s">
        <v>175</v>
      </c>
    </row>
    <row r="987" spans="2:19" x14ac:dyDescent="0.25">
      <c r="B987" s="181"/>
      <c r="C987" s="178"/>
      <c r="D987" s="23" t="s">
        <v>3</v>
      </c>
      <c r="E987" s="24">
        <v>2</v>
      </c>
      <c r="F987" s="24">
        <v>14</v>
      </c>
      <c r="G987" s="23" t="s">
        <v>78</v>
      </c>
      <c r="H987" s="160"/>
      <c r="I987" s="163"/>
      <c r="L987" s="181"/>
      <c r="M987" s="178"/>
      <c r="N987" s="23" t="s">
        <v>3</v>
      </c>
      <c r="O987" s="24">
        <v>2</v>
      </c>
      <c r="P987" s="24">
        <v>14</v>
      </c>
      <c r="Q987" s="23" t="s">
        <v>78</v>
      </c>
      <c r="R987" s="160"/>
      <c r="S987" s="163"/>
    </row>
    <row r="988" spans="2:19" x14ac:dyDescent="0.25">
      <c r="B988" s="181"/>
      <c r="C988" s="178"/>
      <c r="D988" s="23" t="s">
        <v>80</v>
      </c>
      <c r="E988" s="24">
        <v>3</v>
      </c>
      <c r="F988" s="24">
        <v>15</v>
      </c>
      <c r="G988" s="23" t="s">
        <v>66</v>
      </c>
      <c r="H988" s="160"/>
      <c r="I988" s="163"/>
      <c r="L988" s="181"/>
      <c r="M988" s="178"/>
      <c r="N988" s="23" t="s">
        <v>80</v>
      </c>
      <c r="O988" s="24">
        <v>3</v>
      </c>
      <c r="P988" s="24">
        <v>15</v>
      </c>
      <c r="Q988" s="23" t="s">
        <v>66</v>
      </c>
      <c r="R988" s="160"/>
      <c r="S988" s="163"/>
    </row>
    <row r="989" spans="2:19" x14ac:dyDescent="0.25">
      <c r="B989" s="181"/>
      <c r="C989" s="178"/>
      <c r="D989" s="23" t="s">
        <v>81</v>
      </c>
      <c r="E989" s="24">
        <v>4</v>
      </c>
      <c r="F989" s="24">
        <v>16</v>
      </c>
      <c r="G989" s="23" t="s">
        <v>66</v>
      </c>
      <c r="H989" s="160"/>
      <c r="I989" s="163"/>
      <c r="L989" s="181"/>
      <c r="M989" s="178"/>
      <c r="N989" s="23" t="s">
        <v>81</v>
      </c>
      <c r="O989" s="24">
        <v>4</v>
      </c>
      <c r="P989" s="24">
        <v>16</v>
      </c>
      <c r="Q989" s="23" t="s">
        <v>66</v>
      </c>
      <c r="R989" s="160"/>
      <c r="S989" s="163"/>
    </row>
    <row r="990" spans="2:19" x14ac:dyDescent="0.25">
      <c r="B990" s="181"/>
      <c r="C990" s="178"/>
      <c r="D990" s="23" t="s">
        <v>82</v>
      </c>
      <c r="E990" s="24">
        <v>5</v>
      </c>
      <c r="F990" s="24">
        <v>17</v>
      </c>
      <c r="G990" s="23" t="s">
        <v>66</v>
      </c>
      <c r="H990" s="160"/>
      <c r="I990" s="163"/>
      <c r="L990" s="181"/>
      <c r="M990" s="178"/>
      <c r="N990" s="23" t="s">
        <v>82</v>
      </c>
      <c r="O990" s="24">
        <v>5</v>
      </c>
      <c r="P990" s="24">
        <v>17</v>
      </c>
      <c r="Q990" s="23" t="s">
        <v>66</v>
      </c>
      <c r="R990" s="160"/>
      <c r="S990" s="163"/>
    </row>
    <row r="991" spans="2:19" ht="15.75" thickBot="1" x14ac:dyDescent="0.3">
      <c r="B991" s="181"/>
      <c r="C991" s="179"/>
      <c r="D991" s="23" t="s">
        <v>83</v>
      </c>
      <c r="E991" s="24">
        <v>6</v>
      </c>
      <c r="F991" s="24">
        <v>18</v>
      </c>
      <c r="G991" s="23" t="s">
        <v>66</v>
      </c>
      <c r="H991" s="161"/>
      <c r="I991" s="164"/>
      <c r="L991" s="181"/>
      <c r="M991" s="179"/>
      <c r="N991" s="23" t="s">
        <v>83</v>
      </c>
      <c r="O991" s="24">
        <v>6</v>
      </c>
      <c r="P991" s="24">
        <v>18</v>
      </c>
      <c r="Q991" s="23" t="s">
        <v>66</v>
      </c>
      <c r="R991" s="161"/>
      <c r="S991" s="164"/>
    </row>
    <row r="992" spans="2:19" x14ac:dyDescent="0.25">
      <c r="B992" s="181"/>
      <c r="C992" s="177" t="s">
        <v>84</v>
      </c>
      <c r="D992" s="23" t="s">
        <v>2</v>
      </c>
      <c r="E992" s="24">
        <v>1</v>
      </c>
      <c r="F992" s="24">
        <v>19</v>
      </c>
      <c r="G992" s="23" t="s">
        <v>66</v>
      </c>
      <c r="H992" s="23"/>
      <c r="I992" s="47"/>
      <c r="L992" s="181"/>
      <c r="M992" s="177" t="s">
        <v>84</v>
      </c>
      <c r="N992" s="23" t="s">
        <v>2</v>
      </c>
      <c r="O992" s="24">
        <v>1</v>
      </c>
      <c r="P992" s="24">
        <v>19</v>
      </c>
      <c r="Q992" s="23" t="s">
        <v>66</v>
      </c>
      <c r="R992" s="23"/>
      <c r="S992" s="47"/>
    </row>
    <row r="993" spans="2:19" x14ac:dyDescent="0.25">
      <c r="B993" s="181"/>
      <c r="C993" s="178"/>
      <c r="D993" s="23" t="s">
        <v>3</v>
      </c>
      <c r="E993" s="24">
        <v>2</v>
      </c>
      <c r="F993" s="24">
        <v>20</v>
      </c>
      <c r="G993" s="23" t="s">
        <v>66</v>
      </c>
      <c r="H993" s="23"/>
      <c r="I993" s="47"/>
      <c r="L993" s="181"/>
      <c r="M993" s="178"/>
      <c r="N993" s="23" t="s">
        <v>3</v>
      </c>
      <c r="O993" s="24">
        <v>2</v>
      </c>
      <c r="P993" s="24">
        <v>20</v>
      </c>
      <c r="Q993" s="23" t="s">
        <v>66</v>
      </c>
      <c r="R993" s="23"/>
      <c r="S993" s="47"/>
    </row>
    <row r="994" spans="2:19" x14ac:dyDescent="0.25">
      <c r="B994" s="181"/>
      <c r="C994" s="178"/>
      <c r="D994" s="23" t="s">
        <v>80</v>
      </c>
      <c r="E994" s="26">
        <v>3</v>
      </c>
      <c r="F994" s="24">
        <v>21</v>
      </c>
      <c r="G994" s="23" t="s">
        <v>66</v>
      </c>
      <c r="H994" s="23"/>
      <c r="I994" s="47"/>
      <c r="L994" s="181"/>
      <c r="M994" s="178"/>
      <c r="N994" s="23" t="s">
        <v>80</v>
      </c>
      <c r="O994" s="26">
        <v>3</v>
      </c>
      <c r="P994" s="24">
        <v>21</v>
      </c>
      <c r="Q994" s="23" t="s">
        <v>66</v>
      </c>
      <c r="R994" s="23"/>
      <c r="S994" s="47"/>
    </row>
    <row r="995" spans="2:19" x14ac:dyDescent="0.25">
      <c r="B995" s="181"/>
      <c r="C995" s="178"/>
      <c r="D995" s="23" t="s">
        <v>81</v>
      </c>
      <c r="E995" s="24">
        <v>4</v>
      </c>
      <c r="F995" s="24">
        <v>22</v>
      </c>
      <c r="G995" s="23" t="s">
        <v>66</v>
      </c>
      <c r="H995" s="23"/>
      <c r="I995" s="47"/>
      <c r="L995" s="181"/>
      <c r="M995" s="178"/>
      <c r="N995" s="23" t="s">
        <v>81</v>
      </c>
      <c r="O995" s="24">
        <v>4</v>
      </c>
      <c r="P995" s="24">
        <v>22</v>
      </c>
      <c r="Q995" s="23" t="s">
        <v>66</v>
      </c>
      <c r="R995" s="23"/>
      <c r="S995" s="47"/>
    </row>
    <row r="996" spans="2:19" x14ac:dyDescent="0.25">
      <c r="B996" s="181"/>
      <c r="C996" s="178"/>
      <c r="D996" s="23" t="s">
        <v>82</v>
      </c>
      <c r="E996" s="24">
        <v>5</v>
      </c>
      <c r="F996" s="24">
        <v>23</v>
      </c>
      <c r="G996" s="23" t="s">
        <v>66</v>
      </c>
      <c r="H996" s="23"/>
      <c r="I996" s="47"/>
      <c r="L996" s="181"/>
      <c r="M996" s="178"/>
      <c r="N996" s="23" t="s">
        <v>82</v>
      </c>
      <c r="O996" s="24">
        <v>5</v>
      </c>
      <c r="P996" s="24">
        <v>23</v>
      </c>
      <c r="Q996" s="23" t="s">
        <v>66</v>
      </c>
      <c r="R996" s="23"/>
      <c r="S996" s="47"/>
    </row>
    <row r="997" spans="2:19" ht="15.75" thickBot="1" x14ac:dyDescent="0.3">
      <c r="B997" s="182"/>
      <c r="C997" s="179"/>
      <c r="D997" s="23" t="s">
        <v>83</v>
      </c>
      <c r="E997" s="24">
        <v>6</v>
      </c>
      <c r="F997" s="24">
        <v>24</v>
      </c>
      <c r="G997" s="23" t="s">
        <v>66</v>
      </c>
      <c r="H997" s="23"/>
      <c r="I997" s="47"/>
      <c r="L997" s="182"/>
      <c r="M997" s="179"/>
      <c r="N997" s="23" t="s">
        <v>83</v>
      </c>
      <c r="O997" s="24">
        <v>6</v>
      </c>
      <c r="P997" s="24">
        <v>24</v>
      </c>
      <c r="Q997" s="23" t="s">
        <v>66</v>
      </c>
      <c r="R997" s="23"/>
      <c r="S997" s="47"/>
    </row>
    <row r="998" spans="2:19" x14ac:dyDescent="0.25">
      <c r="B998" s="189" t="s">
        <v>80</v>
      </c>
      <c r="C998" s="192" t="s">
        <v>77</v>
      </c>
      <c r="D998" s="27" t="s">
        <v>2</v>
      </c>
      <c r="E998" s="28">
        <v>1</v>
      </c>
      <c r="F998" s="28">
        <v>25</v>
      </c>
      <c r="G998" s="27" t="s">
        <v>66</v>
      </c>
      <c r="H998" s="27"/>
      <c r="I998" s="48"/>
      <c r="L998" s="189" t="s">
        <v>80</v>
      </c>
      <c r="M998" s="192" t="s">
        <v>77</v>
      </c>
      <c r="N998" s="27" t="s">
        <v>2</v>
      </c>
      <c r="O998" s="28">
        <v>1</v>
      </c>
      <c r="P998" s="28">
        <v>25</v>
      </c>
      <c r="Q998" s="27" t="s">
        <v>66</v>
      </c>
      <c r="R998" s="27"/>
      <c r="S998" s="48"/>
    </row>
    <row r="999" spans="2:19" x14ac:dyDescent="0.25">
      <c r="B999" s="190"/>
      <c r="C999" s="193"/>
      <c r="D999" s="27" t="s">
        <v>3</v>
      </c>
      <c r="E999" s="28">
        <v>2</v>
      </c>
      <c r="F999" s="28">
        <v>26</v>
      </c>
      <c r="G999" s="27" t="s">
        <v>66</v>
      </c>
      <c r="H999" s="27"/>
      <c r="I999" s="48"/>
      <c r="L999" s="190"/>
      <c r="M999" s="193"/>
      <c r="N999" s="27" t="s">
        <v>3</v>
      </c>
      <c r="O999" s="28">
        <v>2</v>
      </c>
      <c r="P999" s="28">
        <v>26</v>
      </c>
      <c r="Q999" s="27" t="s">
        <v>66</v>
      </c>
      <c r="R999" s="27"/>
      <c r="S999" s="48"/>
    </row>
    <row r="1000" spans="2:19" x14ac:dyDescent="0.25">
      <c r="B1000" s="190"/>
      <c r="C1000" s="193"/>
      <c r="D1000" s="27" t="s">
        <v>80</v>
      </c>
      <c r="E1000" s="28">
        <v>3</v>
      </c>
      <c r="F1000" s="28">
        <v>27</v>
      </c>
      <c r="G1000" s="27" t="s">
        <v>66</v>
      </c>
      <c r="H1000" s="27"/>
      <c r="I1000" s="48"/>
      <c r="L1000" s="190"/>
      <c r="M1000" s="193"/>
      <c r="N1000" s="27" t="s">
        <v>80</v>
      </c>
      <c r="O1000" s="28">
        <v>3</v>
      </c>
      <c r="P1000" s="28">
        <v>27</v>
      </c>
      <c r="Q1000" s="27" t="s">
        <v>66</v>
      </c>
      <c r="R1000" s="27"/>
      <c r="S1000" s="48"/>
    </row>
    <row r="1001" spans="2:19" x14ac:dyDescent="0.25">
      <c r="B1001" s="190"/>
      <c r="C1001" s="193"/>
      <c r="D1001" s="27" t="s">
        <v>81</v>
      </c>
      <c r="E1001" s="28">
        <v>4</v>
      </c>
      <c r="F1001" s="28">
        <v>28</v>
      </c>
      <c r="G1001" s="27" t="s">
        <v>66</v>
      </c>
      <c r="H1001" s="27"/>
      <c r="I1001" s="48"/>
      <c r="L1001" s="190"/>
      <c r="M1001" s="193"/>
      <c r="N1001" s="27" t="s">
        <v>81</v>
      </c>
      <c r="O1001" s="28">
        <v>4</v>
      </c>
      <c r="P1001" s="28">
        <v>28</v>
      </c>
      <c r="Q1001" s="27" t="s">
        <v>66</v>
      </c>
      <c r="R1001" s="27"/>
      <c r="S1001" s="48"/>
    </row>
    <row r="1002" spans="2:19" x14ac:dyDescent="0.25">
      <c r="B1002" s="190"/>
      <c r="C1002" s="193"/>
      <c r="D1002" s="27" t="s">
        <v>82</v>
      </c>
      <c r="E1002" s="28">
        <v>5</v>
      </c>
      <c r="F1002" s="28">
        <v>29</v>
      </c>
      <c r="G1002" s="27" t="s">
        <v>66</v>
      </c>
      <c r="H1002" s="27"/>
      <c r="I1002" s="48"/>
      <c r="L1002" s="190"/>
      <c r="M1002" s="193"/>
      <c r="N1002" s="27" t="s">
        <v>82</v>
      </c>
      <c r="O1002" s="28">
        <v>5</v>
      </c>
      <c r="P1002" s="28">
        <v>29</v>
      </c>
      <c r="Q1002" s="27" t="s">
        <v>66</v>
      </c>
      <c r="R1002" s="27"/>
      <c r="S1002" s="48"/>
    </row>
    <row r="1003" spans="2:19" ht="15.75" thickBot="1" x14ac:dyDescent="0.3">
      <c r="B1003" s="190"/>
      <c r="C1003" s="194"/>
      <c r="D1003" s="27" t="s">
        <v>83</v>
      </c>
      <c r="E1003" s="28">
        <v>6</v>
      </c>
      <c r="F1003" s="28">
        <v>30</v>
      </c>
      <c r="G1003" s="27" t="s">
        <v>66</v>
      </c>
      <c r="H1003" s="27"/>
      <c r="I1003" s="48"/>
      <c r="L1003" s="190"/>
      <c r="M1003" s="194"/>
      <c r="N1003" s="27" t="s">
        <v>83</v>
      </c>
      <c r="O1003" s="28">
        <v>6</v>
      </c>
      <c r="P1003" s="28">
        <v>30</v>
      </c>
      <c r="Q1003" s="27" t="s">
        <v>66</v>
      </c>
      <c r="R1003" s="27"/>
      <c r="S1003" s="48"/>
    </row>
    <row r="1004" spans="2:19" x14ac:dyDescent="0.25">
      <c r="B1004" s="190"/>
      <c r="C1004" s="192" t="s">
        <v>84</v>
      </c>
      <c r="D1004" s="27" t="s">
        <v>2</v>
      </c>
      <c r="E1004" s="28">
        <v>1</v>
      </c>
      <c r="F1004" s="28">
        <v>31</v>
      </c>
      <c r="G1004" s="27" t="s">
        <v>66</v>
      </c>
      <c r="H1004" s="27"/>
      <c r="I1004" s="48"/>
      <c r="L1004" s="190"/>
      <c r="M1004" s="192" t="s">
        <v>84</v>
      </c>
      <c r="N1004" s="27" t="s">
        <v>2</v>
      </c>
      <c r="O1004" s="28">
        <v>1</v>
      </c>
      <c r="P1004" s="28">
        <v>31</v>
      </c>
      <c r="Q1004" s="27" t="s">
        <v>66</v>
      </c>
      <c r="R1004" s="27"/>
      <c r="S1004" s="48"/>
    </row>
    <row r="1005" spans="2:19" x14ac:dyDescent="0.25">
      <c r="B1005" s="190"/>
      <c r="C1005" s="193"/>
      <c r="D1005" s="27" t="s">
        <v>3</v>
      </c>
      <c r="E1005" s="28">
        <v>2</v>
      </c>
      <c r="F1005" s="28">
        <v>32</v>
      </c>
      <c r="G1005" s="27" t="s">
        <v>66</v>
      </c>
      <c r="H1005" s="27"/>
      <c r="I1005" s="48"/>
      <c r="L1005" s="190"/>
      <c r="M1005" s="193"/>
      <c r="N1005" s="27" t="s">
        <v>3</v>
      </c>
      <c r="O1005" s="28">
        <v>2</v>
      </c>
      <c r="P1005" s="28">
        <v>32</v>
      </c>
      <c r="Q1005" s="27" t="s">
        <v>66</v>
      </c>
      <c r="R1005" s="27"/>
      <c r="S1005" s="48"/>
    </row>
    <row r="1006" spans="2:19" x14ac:dyDescent="0.25">
      <c r="B1006" s="190"/>
      <c r="C1006" s="193"/>
      <c r="D1006" s="27" t="s">
        <v>80</v>
      </c>
      <c r="E1006" s="28">
        <v>3</v>
      </c>
      <c r="F1006" s="28">
        <v>33</v>
      </c>
      <c r="G1006" s="27" t="s">
        <v>66</v>
      </c>
      <c r="H1006" s="27"/>
      <c r="I1006" s="48"/>
      <c r="L1006" s="190"/>
      <c r="M1006" s="193"/>
      <c r="N1006" s="27" t="s">
        <v>80</v>
      </c>
      <c r="O1006" s="28">
        <v>3</v>
      </c>
      <c r="P1006" s="28">
        <v>33</v>
      </c>
      <c r="Q1006" s="27" t="s">
        <v>66</v>
      </c>
      <c r="R1006" s="27"/>
      <c r="S1006" s="48"/>
    </row>
    <row r="1007" spans="2:19" x14ac:dyDescent="0.25">
      <c r="B1007" s="190"/>
      <c r="C1007" s="193"/>
      <c r="D1007" s="27" t="s">
        <v>81</v>
      </c>
      <c r="E1007" s="28">
        <v>4</v>
      </c>
      <c r="F1007" s="28">
        <v>34</v>
      </c>
      <c r="G1007" s="27" t="s">
        <v>66</v>
      </c>
      <c r="H1007" s="27"/>
      <c r="I1007" s="48"/>
      <c r="L1007" s="190"/>
      <c r="M1007" s="193"/>
      <c r="N1007" s="27" t="s">
        <v>81</v>
      </c>
      <c r="O1007" s="28">
        <v>4</v>
      </c>
      <c r="P1007" s="28">
        <v>34</v>
      </c>
      <c r="Q1007" s="27" t="s">
        <v>66</v>
      </c>
      <c r="R1007" s="27"/>
      <c r="S1007" s="48"/>
    </row>
    <row r="1008" spans="2:19" x14ac:dyDescent="0.25">
      <c r="B1008" s="190"/>
      <c r="C1008" s="193"/>
      <c r="D1008" s="27" t="s">
        <v>82</v>
      </c>
      <c r="E1008" s="28">
        <v>5</v>
      </c>
      <c r="F1008" s="28">
        <v>35</v>
      </c>
      <c r="G1008" s="27" t="s">
        <v>66</v>
      </c>
      <c r="H1008" s="27"/>
      <c r="I1008" s="48"/>
      <c r="L1008" s="190"/>
      <c r="M1008" s="193"/>
      <c r="N1008" s="27" t="s">
        <v>82</v>
      </c>
      <c r="O1008" s="28">
        <v>5</v>
      </c>
      <c r="P1008" s="28">
        <v>35</v>
      </c>
      <c r="Q1008" s="27" t="s">
        <v>66</v>
      </c>
      <c r="R1008" s="27"/>
      <c r="S1008" s="48"/>
    </row>
    <row r="1009" spans="2:19" ht="15.75" thickBot="1" x14ac:dyDescent="0.3">
      <c r="B1009" s="191"/>
      <c r="C1009" s="194"/>
      <c r="D1009" s="27" t="s">
        <v>83</v>
      </c>
      <c r="E1009" s="28">
        <v>6</v>
      </c>
      <c r="F1009" s="28">
        <v>36</v>
      </c>
      <c r="G1009" s="27" t="s">
        <v>66</v>
      </c>
      <c r="H1009" s="27"/>
      <c r="I1009" s="48"/>
      <c r="L1009" s="191"/>
      <c r="M1009" s="194"/>
      <c r="N1009" s="27" t="s">
        <v>83</v>
      </c>
      <c r="O1009" s="28">
        <v>6</v>
      </c>
      <c r="P1009" s="28">
        <v>36</v>
      </c>
      <c r="Q1009" s="27" t="s">
        <v>66</v>
      </c>
      <c r="R1009" s="27"/>
      <c r="S1009" s="48"/>
    </row>
    <row r="1010" spans="2:19" ht="15" customHeight="1" x14ac:dyDescent="0.25">
      <c r="B1010" s="183" t="s">
        <v>81</v>
      </c>
      <c r="C1010" s="186" t="s">
        <v>77</v>
      </c>
      <c r="D1010" s="29" t="s">
        <v>2</v>
      </c>
      <c r="E1010" s="30">
        <v>1</v>
      </c>
      <c r="F1010" s="30">
        <v>37</v>
      </c>
      <c r="G1010" s="29" t="s">
        <v>66</v>
      </c>
      <c r="H1010" s="29"/>
      <c r="I1010" s="49"/>
      <c r="L1010" s="183" t="s">
        <v>81</v>
      </c>
      <c r="M1010" s="186" t="s">
        <v>77</v>
      </c>
      <c r="N1010" s="29" t="s">
        <v>2</v>
      </c>
      <c r="O1010" s="30">
        <v>1</v>
      </c>
      <c r="P1010" s="30">
        <v>37</v>
      </c>
      <c r="Q1010" s="29" t="s">
        <v>66</v>
      </c>
      <c r="R1010" s="29"/>
      <c r="S1010" s="49"/>
    </row>
    <row r="1011" spans="2:19" x14ac:dyDescent="0.25">
      <c r="B1011" s="184"/>
      <c r="C1011" s="187"/>
      <c r="D1011" s="29" t="s">
        <v>3</v>
      </c>
      <c r="E1011" s="30">
        <v>2</v>
      </c>
      <c r="F1011" s="30">
        <v>38</v>
      </c>
      <c r="G1011" s="29" t="s">
        <v>66</v>
      </c>
      <c r="H1011" s="29"/>
      <c r="I1011" s="49"/>
      <c r="L1011" s="184"/>
      <c r="M1011" s="187"/>
      <c r="N1011" s="29" t="s">
        <v>3</v>
      </c>
      <c r="O1011" s="30">
        <v>2</v>
      </c>
      <c r="P1011" s="30">
        <v>38</v>
      </c>
      <c r="Q1011" s="29" t="s">
        <v>66</v>
      </c>
      <c r="R1011" s="29"/>
      <c r="S1011" s="49"/>
    </row>
    <row r="1012" spans="2:19" x14ac:dyDescent="0.25">
      <c r="B1012" s="184"/>
      <c r="C1012" s="187"/>
      <c r="D1012" s="29" t="s">
        <v>80</v>
      </c>
      <c r="E1012" s="30">
        <v>3</v>
      </c>
      <c r="F1012" s="30">
        <v>39</v>
      </c>
      <c r="G1012" s="29" t="s">
        <v>66</v>
      </c>
      <c r="H1012" s="29"/>
      <c r="I1012" s="49"/>
      <c r="L1012" s="184"/>
      <c r="M1012" s="187"/>
      <c r="N1012" s="29" t="s">
        <v>80</v>
      </c>
      <c r="O1012" s="30">
        <v>3</v>
      </c>
      <c r="P1012" s="30">
        <v>39</v>
      </c>
      <c r="Q1012" s="29" t="s">
        <v>66</v>
      </c>
      <c r="R1012" s="29"/>
      <c r="S1012" s="49"/>
    </row>
    <row r="1013" spans="2:19" x14ac:dyDescent="0.25">
      <c r="B1013" s="184"/>
      <c r="C1013" s="187"/>
      <c r="D1013" s="29" t="s">
        <v>81</v>
      </c>
      <c r="E1013" s="30">
        <v>4</v>
      </c>
      <c r="F1013" s="30">
        <v>40</v>
      </c>
      <c r="G1013" s="29" t="s">
        <v>66</v>
      </c>
      <c r="H1013" s="29"/>
      <c r="I1013" s="49"/>
      <c r="L1013" s="184"/>
      <c r="M1013" s="187"/>
      <c r="N1013" s="29" t="s">
        <v>81</v>
      </c>
      <c r="O1013" s="30">
        <v>4</v>
      </c>
      <c r="P1013" s="30">
        <v>40</v>
      </c>
      <c r="Q1013" s="29" t="s">
        <v>66</v>
      </c>
      <c r="R1013" s="29"/>
      <c r="S1013" s="49"/>
    </row>
    <row r="1014" spans="2:19" x14ac:dyDescent="0.25">
      <c r="B1014" s="184"/>
      <c r="C1014" s="187"/>
      <c r="D1014" s="29" t="s">
        <v>82</v>
      </c>
      <c r="E1014" s="30">
        <v>5</v>
      </c>
      <c r="F1014" s="30">
        <v>41</v>
      </c>
      <c r="G1014" s="29" t="s">
        <v>66</v>
      </c>
      <c r="H1014" s="29"/>
      <c r="I1014" s="49"/>
      <c r="L1014" s="184"/>
      <c r="M1014" s="187"/>
      <c r="N1014" s="29" t="s">
        <v>82</v>
      </c>
      <c r="O1014" s="30">
        <v>5</v>
      </c>
      <c r="P1014" s="30">
        <v>41</v>
      </c>
      <c r="Q1014" s="29" t="s">
        <v>66</v>
      </c>
      <c r="R1014" s="29"/>
      <c r="S1014" s="49"/>
    </row>
    <row r="1015" spans="2:19" ht="15.75" thickBot="1" x14ac:dyDescent="0.3">
      <c r="B1015" s="184"/>
      <c r="C1015" s="188"/>
      <c r="D1015" s="29" t="s">
        <v>83</v>
      </c>
      <c r="E1015" s="30">
        <v>6</v>
      </c>
      <c r="F1015" s="30">
        <v>42</v>
      </c>
      <c r="G1015" s="29" t="s">
        <v>66</v>
      </c>
      <c r="H1015" s="29"/>
      <c r="I1015" s="49"/>
      <c r="L1015" s="184"/>
      <c r="M1015" s="188"/>
      <c r="N1015" s="29" t="s">
        <v>83</v>
      </c>
      <c r="O1015" s="30">
        <v>6</v>
      </c>
      <c r="P1015" s="30">
        <v>42</v>
      </c>
      <c r="Q1015" s="29" t="s">
        <v>66</v>
      </c>
      <c r="R1015" s="29"/>
      <c r="S1015" s="49"/>
    </row>
    <row r="1016" spans="2:19" x14ac:dyDescent="0.25">
      <c r="B1016" s="184"/>
      <c r="C1016" s="186" t="s">
        <v>84</v>
      </c>
      <c r="D1016" s="29" t="s">
        <v>2</v>
      </c>
      <c r="E1016" s="30">
        <v>1</v>
      </c>
      <c r="F1016" s="30">
        <v>43</v>
      </c>
      <c r="G1016" s="29" t="s">
        <v>66</v>
      </c>
      <c r="H1016" s="29"/>
      <c r="I1016" s="49"/>
      <c r="L1016" s="184"/>
      <c r="M1016" s="186" t="s">
        <v>84</v>
      </c>
      <c r="N1016" s="29" t="s">
        <v>2</v>
      </c>
      <c r="O1016" s="30">
        <v>1</v>
      </c>
      <c r="P1016" s="30">
        <v>43</v>
      </c>
      <c r="Q1016" s="29" t="s">
        <v>66</v>
      </c>
      <c r="R1016" s="29"/>
      <c r="S1016" s="49"/>
    </row>
    <row r="1017" spans="2:19" x14ac:dyDescent="0.25">
      <c r="B1017" s="184"/>
      <c r="C1017" s="187"/>
      <c r="D1017" s="29" t="s">
        <v>3</v>
      </c>
      <c r="E1017" s="30">
        <v>2</v>
      </c>
      <c r="F1017" s="30">
        <v>44</v>
      </c>
      <c r="G1017" s="29" t="s">
        <v>66</v>
      </c>
      <c r="H1017" s="29"/>
      <c r="I1017" s="49"/>
      <c r="L1017" s="184"/>
      <c r="M1017" s="187"/>
      <c r="N1017" s="29" t="s">
        <v>3</v>
      </c>
      <c r="O1017" s="30">
        <v>2</v>
      </c>
      <c r="P1017" s="30">
        <v>44</v>
      </c>
      <c r="Q1017" s="29" t="s">
        <v>66</v>
      </c>
      <c r="R1017" s="29"/>
      <c r="S1017" s="49"/>
    </row>
    <row r="1018" spans="2:19" x14ac:dyDescent="0.25">
      <c r="B1018" s="184"/>
      <c r="C1018" s="187"/>
      <c r="D1018" s="29" t="s">
        <v>80</v>
      </c>
      <c r="E1018" s="30">
        <v>3</v>
      </c>
      <c r="F1018" s="30">
        <v>45</v>
      </c>
      <c r="G1018" s="29" t="s">
        <v>66</v>
      </c>
      <c r="H1018" s="29"/>
      <c r="I1018" s="49"/>
      <c r="L1018" s="184"/>
      <c r="M1018" s="187"/>
      <c r="N1018" s="29" t="s">
        <v>80</v>
      </c>
      <c r="O1018" s="30">
        <v>3</v>
      </c>
      <c r="P1018" s="30">
        <v>45</v>
      </c>
      <c r="Q1018" s="29" t="s">
        <v>66</v>
      </c>
      <c r="R1018" s="29"/>
      <c r="S1018" s="49"/>
    </row>
    <row r="1019" spans="2:19" x14ac:dyDescent="0.25">
      <c r="B1019" s="184"/>
      <c r="C1019" s="187"/>
      <c r="D1019" s="29" t="s">
        <v>81</v>
      </c>
      <c r="E1019" s="30">
        <v>4</v>
      </c>
      <c r="F1019" s="30">
        <v>46</v>
      </c>
      <c r="G1019" s="29" t="s">
        <v>66</v>
      </c>
      <c r="H1019" s="29"/>
      <c r="I1019" s="49"/>
      <c r="L1019" s="184"/>
      <c r="M1019" s="187"/>
      <c r="N1019" s="29" t="s">
        <v>81</v>
      </c>
      <c r="O1019" s="30">
        <v>4</v>
      </c>
      <c r="P1019" s="30">
        <v>46</v>
      </c>
      <c r="Q1019" s="29" t="s">
        <v>66</v>
      </c>
      <c r="R1019" s="29"/>
      <c r="S1019" s="49"/>
    </row>
    <row r="1020" spans="2:19" x14ac:dyDescent="0.25">
      <c r="B1020" s="184"/>
      <c r="C1020" s="187"/>
      <c r="D1020" s="29" t="s">
        <v>82</v>
      </c>
      <c r="E1020" s="30">
        <v>5</v>
      </c>
      <c r="F1020" s="30">
        <v>47</v>
      </c>
      <c r="G1020" s="29" t="s">
        <v>66</v>
      </c>
      <c r="H1020" s="29"/>
      <c r="I1020" s="49"/>
      <c r="L1020" s="184"/>
      <c r="M1020" s="187"/>
      <c r="N1020" s="29" t="s">
        <v>82</v>
      </c>
      <c r="O1020" s="30">
        <v>5</v>
      </c>
      <c r="P1020" s="30">
        <v>47</v>
      </c>
      <c r="Q1020" s="29" t="s">
        <v>66</v>
      </c>
      <c r="R1020" s="29"/>
      <c r="S1020" s="49"/>
    </row>
    <row r="1021" spans="2:19" ht="15.75" thickBot="1" x14ac:dyDescent="0.3">
      <c r="B1021" s="185"/>
      <c r="C1021" s="188"/>
      <c r="D1021" s="29" t="s">
        <v>83</v>
      </c>
      <c r="E1021" s="30">
        <v>6</v>
      </c>
      <c r="F1021" s="30">
        <v>48</v>
      </c>
      <c r="G1021" s="29" t="s">
        <v>66</v>
      </c>
      <c r="H1021" s="29"/>
      <c r="I1021" s="49"/>
      <c r="L1021" s="185"/>
      <c r="M1021" s="188"/>
      <c r="N1021" s="29" t="s">
        <v>83</v>
      </c>
      <c r="O1021" s="30">
        <v>6</v>
      </c>
      <c r="P1021" s="30">
        <v>48</v>
      </c>
      <c r="Q1021" s="29" t="s">
        <v>66</v>
      </c>
      <c r="R1021" s="29"/>
      <c r="S1021" s="49"/>
    </row>
    <row r="1023" spans="2:19" ht="15.75" thickBot="1" x14ac:dyDescent="0.3"/>
    <row r="1024" spans="2:19" ht="15.75" thickBot="1" x14ac:dyDescent="0.3">
      <c r="B1024" s="171" t="s">
        <v>290</v>
      </c>
      <c r="C1024" s="172"/>
      <c r="D1024" s="172"/>
      <c r="E1024" s="172"/>
      <c r="F1024" s="172"/>
      <c r="G1024" s="172"/>
      <c r="H1024" s="172"/>
      <c r="I1024" s="173"/>
      <c r="L1024" s="171" t="s">
        <v>291</v>
      </c>
      <c r="M1024" s="172"/>
      <c r="N1024" s="172"/>
      <c r="O1024" s="172"/>
      <c r="P1024" s="172"/>
      <c r="Q1024" s="172"/>
      <c r="R1024" s="172"/>
      <c r="S1024" s="173"/>
    </row>
    <row r="1026" spans="2:19" ht="26.25" thickBot="1" x14ac:dyDescent="0.3">
      <c r="B1026" s="15" t="s">
        <v>70</v>
      </c>
      <c r="C1026" s="16" t="s">
        <v>71</v>
      </c>
      <c r="D1026" s="15" t="s">
        <v>72</v>
      </c>
      <c r="E1026" s="17" t="s">
        <v>73</v>
      </c>
      <c r="F1026" s="17" t="s">
        <v>74</v>
      </c>
      <c r="G1026" s="15" t="s">
        <v>75</v>
      </c>
      <c r="H1026" s="15" t="s">
        <v>55</v>
      </c>
      <c r="I1026" s="15" t="s">
        <v>76</v>
      </c>
      <c r="L1026" s="15" t="s">
        <v>70</v>
      </c>
      <c r="M1026" s="16" t="s">
        <v>71</v>
      </c>
      <c r="N1026" s="15" t="s">
        <v>72</v>
      </c>
      <c r="O1026" s="17" t="s">
        <v>73</v>
      </c>
      <c r="P1026" s="17" t="s">
        <v>74</v>
      </c>
      <c r="Q1026" s="15" t="s">
        <v>75</v>
      </c>
      <c r="R1026" s="15" t="s">
        <v>55</v>
      </c>
      <c r="S1026" s="15" t="s">
        <v>76</v>
      </c>
    </row>
    <row r="1027" spans="2:19" ht="15" customHeight="1" x14ac:dyDescent="0.25">
      <c r="B1027" s="174" t="s">
        <v>2</v>
      </c>
      <c r="C1027" s="168" t="s">
        <v>77</v>
      </c>
      <c r="D1027" s="18" t="s">
        <v>2</v>
      </c>
      <c r="E1027" s="19">
        <v>1</v>
      </c>
      <c r="F1027" s="19">
        <v>1</v>
      </c>
      <c r="G1027" s="18" t="s">
        <v>66</v>
      </c>
      <c r="H1027" s="32"/>
      <c r="I1027" s="50"/>
      <c r="L1027" s="174" t="s">
        <v>2</v>
      </c>
      <c r="M1027" s="168" t="s">
        <v>77</v>
      </c>
      <c r="N1027" s="18" t="s">
        <v>2</v>
      </c>
      <c r="O1027" s="19">
        <v>1</v>
      </c>
      <c r="P1027" s="19">
        <v>1</v>
      </c>
      <c r="Q1027" s="18" t="s">
        <v>66</v>
      </c>
      <c r="R1027" s="32"/>
      <c r="S1027" s="50"/>
    </row>
    <row r="1028" spans="2:19" x14ac:dyDescent="0.25">
      <c r="B1028" s="175"/>
      <c r="C1028" s="169"/>
      <c r="D1028" s="18" t="s">
        <v>3</v>
      </c>
      <c r="E1028" s="19">
        <v>2</v>
      </c>
      <c r="F1028" s="19">
        <v>2</v>
      </c>
      <c r="G1028" s="18" t="s">
        <v>66</v>
      </c>
      <c r="H1028" s="32"/>
      <c r="I1028" s="50"/>
      <c r="L1028" s="175"/>
      <c r="M1028" s="169"/>
      <c r="N1028" s="18" t="s">
        <v>3</v>
      </c>
      <c r="O1028" s="19">
        <v>2</v>
      </c>
      <c r="P1028" s="19">
        <v>2</v>
      </c>
      <c r="Q1028" s="18" t="s">
        <v>66</v>
      </c>
      <c r="R1028" s="32"/>
      <c r="S1028" s="50"/>
    </row>
    <row r="1029" spans="2:19" x14ac:dyDescent="0.25">
      <c r="B1029" s="175"/>
      <c r="C1029" s="169"/>
      <c r="D1029" s="18" t="s">
        <v>80</v>
      </c>
      <c r="E1029" s="20">
        <v>3</v>
      </c>
      <c r="F1029" s="20">
        <v>3</v>
      </c>
      <c r="G1029" s="18" t="s">
        <v>66</v>
      </c>
      <c r="H1029" s="32"/>
      <c r="I1029" s="50"/>
      <c r="L1029" s="175"/>
      <c r="M1029" s="169"/>
      <c r="N1029" s="18" t="s">
        <v>80</v>
      </c>
      <c r="O1029" s="20">
        <v>3</v>
      </c>
      <c r="P1029" s="20">
        <v>3</v>
      </c>
      <c r="Q1029" s="18" t="s">
        <v>66</v>
      </c>
      <c r="R1029" s="32"/>
      <c r="S1029" s="50"/>
    </row>
    <row r="1030" spans="2:19" x14ac:dyDescent="0.25">
      <c r="B1030" s="175"/>
      <c r="C1030" s="169"/>
      <c r="D1030" s="18" t="s">
        <v>81</v>
      </c>
      <c r="E1030" s="20">
        <v>4</v>
      </c>
      <c r="F1030" s="20">
        <v>4</v>
      </c>
      <c r="G1030" s="18" t="s">
        <v>66</v>
      </c>
      <c r="H1030" s="32"/>
      <c r="I1030" s="50"/>
      <c r="L1030" s="175"/>
      <c r="M1030" s="169"/>
      <c r="N1030" s="18" t="s">
        <v>81</v>
      </c>
      <c r="O1030" s="20">
        <v>4</v>
      </c>
      <c r="P1030" s="20">
        <v>4</v>
      </c>
      <c r="Q1030" s="18" t="s">
        <v>66</v>
      </c>
      <c r="R1030" s="32"/>
      <c r="S1030" s="50"/>
    </row>
    <row r="1031" spans="2:19" x14ac:dyDescent="0.25">
      <c r="B1031" s="175"/>
      <c r="C1031" s="169"/>
      <c r="D1031" s="18" t="s">
        <v>82</v>
      </c>
      <c r="E1031" s="20">
        <v>5</v>
      </c>
      <c r="F1031" s="20">
        <v>5</v>
      </c>
      <c r="G1031" s="18" t="s">
        <v>66</v>
      </c>
      <c r="H1031" s="32"/>
      <c r="I1031" s="50"/>
      <c r="L1031" s="175"/>
      <c r="M1031" s="169"/>
      <c r="N1031" s="18" t="s">
        <v>82</v>
      </c>
      <c r="O1031" s="20">
        <v>5</v>
      </c>
      <c r="P1031" s="20">
        <v>5</v>
      </c>
      <c r="Q1031" s="18" t="s">
        <v>66</v>
      </c>
      <c r="R1031" s="32"/>
      <c r="S1031" s="50"/>
    </row>
    <row r="1032" spans="2:19" ht="15.75" thickBot="1" x14ac:dyDescent="0.3">
      <c r="B1032" s="175"/>
      <c r="C1032" s="170"/>
      <c r="D1032" s="18" t="s">
        <v>83</v>
      </c>
      <c r="E1032" s="20">
        <v>6</v>
      </c>
      <c r="F1032" s="20">
        <v>6</v>
      </c>
      <c r="G1032" s="18" t="s">
        <v>66</v>
      </c>
      <c r="H1032" s="32"/>
      <c r="I1032" s="50"/>
      <c r="L1032" s="175"/>
      <c r="M1032" s="170"/>
      <c r="N1032" s="18" t="s">
        <v>83</v>
      </c>
      <c r="O1032" s="20">
        <v>6</v>
      </c>
      <c r="P1032" s="20">
        <v>6</v>
      </c>
      <c r="Q1032" s="18" t="s">
        <v>66</v>
      </c>
      <c r="R1032" s="32"/>
      <c r="S1032" s="50"/>
    </row>
    <row r="1033" spans="2:19" x14ac:dyDescent="0.25">
      <c r="B1033" s="175"/>
      <c r="C1033" s="168" t="s">
        <v>84</v>
      </c>
      <c r="D1033" s="18" t="s">
        <v>2</v>
      </c>
      <c r="E1033" s="19">
        <v>1</v>
      </c>
      <c r="F1033" s="19">
        <v>7</v>
      </c>
      <c r="G1033" s="18" t="s">
        <v>66</v>
      </c>
      <c r="H1033" s="32"/>
      <c r="I1033" s="50"/>
      <c r="L1033" s="175"/>
      <c r="M1033" s="168" t="s">
        <v>84</v>
      </c>
      <c r="N1033" s="18" t="s">
        <v>2</v>
      </c>
      <c r="O1033" s="19">
        <v>1</v>
      </c>
      <c r="P1033" s="19">
        <v>7</v>
      </c>
      <c r="Q1033" s="18" t="s">
        <v>66</v>
      </c>
      <c r="R1033" s="32"/>
      <c r="S1033" s="50"/>
    </row>
    <row r="1034" spans="2:19" x14ac:dyDescent="0.25">
      <c r="B1034" s="175"/>
      <c r="C1034" s="169"/>
      <c r="D1034" s="18" t="s">
        <v>3</v>
      </c>
      <c r="E1034" s="19">
        <v>2</v>
      </c>
      <c r="F1034" s="19">
        <v>8</v>
      </c>
      <c r="G1034" s="18" t="s">
        <v>66</v>
      </c>
      <c r="H1034" s="32"/>
      <c r="I1034" s="50"/>
      <c r="L1034" s="175"/>
      <c r="M1034" s="169"/>
      <c r="N1034" s="18" t="s">
        <v>3</v>
      </c>
      <c r="O1034" s="19">
        <v>2</v>
      </c>
      <c r="P1034" s="19">
        <v>8</v>
      </c>
      <c r="Q1034" s="18" t="s">
        <v>66</v>
      </c>
      <c r="R1034" s="32"/>
      <c r="S1034" s="50"/>
    </row>
    <row r="1035" spans="2:19" x14ac:dyDescent="0.25">
      <c r="B1035" s="175"/>
      <c r="C1035" s="169"/>
      <c r="D1035" s="18" t="s">
        <v>80</v>
      </c>
      <c r="E1035" s="20">
        <v>3</v>
      </c>
      <c r="F1035" s="20">
        <v>9</v>
      </c>
      <c r="G1035" s="18" t="s">
        <v>66</v>
      </c>
      <c r="H1035" s="32"/>
      <c r="I1035" s="50"/>
      <c r="L1035" s="175"/>
      <c r="M1035" s="169"/>
      <c r="N1035" s="18" t="s">
        <v>80</v>
      </c>
      <c r="O1035" s="20">
        <v>3</v>
      </c>
      <c r="P1035" s="20">
        <v>9</v>
      </c>
      <c r="Q1035" s="18" t="s">
        <v>66</v>
      </c>
      <c r="R1035" s="32"/>
      <c r="S1035" s="50"/>
    </row>
    <row r="1036" spans="2:19" x14ac:dyDescent="0.25">
      <c r="B1036" s="175"/>
      <c r="C1036" s="169"/>
      <c r="D1036" s="18" t="s">
        <v>81</v>
      </c>
      <c r="E1036" s="20">
        <v>4</v>
      </c>
      <c r="F1036" s="20">
        <v>10</v>
      </c>
      <c r="G1036" s="18" t="s">
        <v>66</v>
      </c>
      <c r="H1036" s="32"/>
      <c r="I1036" s="50"/>
      <c r="L1036" s="175"/>
      <c r="M1036" s="169"/>
      <c r="N1036" s="18" t="s">
        <v>81</v>
      </c>
      <c r="O1036" s="20">
        <v>4</v>
      </c>
      <c r="P1036" s="20">
        <v>10</v>
      </c>
      <c r="Q1036" s="18" t="s">
        <v>66</v>
      </c>
      <c r="R1036" s="32"/>
      <c r="S1036" s="50"/>
    </row>
    <row r="1037" spans="2:19" x14ac:dyDescent="0.25">
      <c r="B1037" s="175"/>
      <c r="C1037" s="169"/>
      <c r="D1037" s="18" t="s">
        <v>82</v>
      </c>
      <c r="E1037" s="20">
        <v>5</v>
      </c>
      <c r="F1037" s="20">
        <v>11</v>
      </c>
      <c r="G1037" s="18" t="s">
        <v>66</v>
      </c>
      <c r="H1037" s="32"/>
      <c r="I1037" s="50"/>
      <c r="L1037" s="175"/>
      <c r="M1037" s="169"/>
      <c r="N1037" s="18" t="s">
        <v>82</v>
      </c>
      <c r="O1037" s="20">
        <v>5</v>
      </c>
      <c r="P1037" s="20">
        <v>11</v>
      </c>
      <c r="Q1037" s="18" t="s">
        <v>66</v>
      </c>
      <c r="R1037" s="32"/>
      <c r="S1037" s="50"/>
    </row>
    <row r="1038" spans="2:19" ht="15.75" thickBot="1" x14ac:dyDescent="0.3">
      <c r="B1038" s="176"/>
      <c r="C1038" s="170"/>
      <c r="D1038" s="18" t="s">
        <v>83</v>
      </c>
      <c r="E1038" s="20">
        <v>6</v>
      </c>
      <c r="F1038" s="20">
        <v>12</v>
      </c>
      <c r="G1038" s="18" t="s">
        <v>66</v>
      </c>
      <c r="H1038" s="32"/>
      <c r="I1038" s="50"/>
      <c r="L1038" s="176"/>
      <c r="M1038" s="170"/>
      <c r="N1038" s="18" t="s">
        <v>83</v>
      </c>
      <c r="O1038" s="20">
        <v>6</v>
      </c>
      <c r="P1038" s="20">
        <v>12</v>
      </c>
      <c r="Q1038" s="18" t="s">
        <v>66</v>
      </c>
      <c r="R1038" s="32"/>
      <c r="S1038" s="50"/>
    </row>
    <row r="1039" spans="2:19" x14ac:dyDescent="0.25">
      <c r="B1039" s="180" t="s">
        <v>3</v>
      </c>
      <c r="C1039" s="177" t="s">
        <v>77</v>
      </c>
      <c r="D1039" s="21" t="s">
        <v>2</v>
      </c>
      <c r="E1039" s="22">
        <v>1</v>
      </c>
      <c r="F1039" s="22">
        <v>13</v>
      </c>
      <c r="G1039" s="21" t="s">
        <v>78</v>
      </c>
      <c r="H1039" s="159" t="s">
        <v>126</v>
      </c>
      <c r="I1039" s="162" t="s">
        <v>174</v>
      </c>
      <c r="L1039" s="180" t="s">
        <v>3</v>
      </c>
      <c r="M1039" s="177" t="s">
        <v>77</v>
      </c>
      <c r="N1039" s="21" t="s">
        <v>2</v>
      </c>
      <c r="O1039" s="22">
        <v>1</v>
      </c>
      <c r="P1039" s="22">
        <v>13</v>
      </c>
      <c r="Q1039" s="21" t="s">
        <v>78</v>
      </c>
      <c r="R1039" s="159" t="s">
        <v>126</v>
      </c>
      <c r="S1039" s="162" t="s">
        <v>156</v>
      </c>
    </row>
    <row r="1040" spans="2:19" x14ac:dyDescent="0.25">
      <c r="B1040" s="181"/>
      <c r="C1040" s="178"/>
      <c r="D1040" s="23" t="s">
        <v>3</v>
      </c>
      <c r="E1040" s="24">
        <v>2</v>
      </c>
      <c r="F1040" s="24">
        <v>14</v>
      </c>
      <c r="G1040" s="23" t="s">
        <v>78</v>
      </c>
      <c r="H1040" s="160"/>
      <c r="I1040" s="163"/>
      <c r="L1040" s="181"/>
      <c r="M1040" s="178"/>
      <c r="N1040" s="23" t="s">
        <v>3</v>
      </c>
      <c r="O1040" s="24">
        <v>2</v>
      </c>
      <c r="P1040" s="24">
        <v>14</v>
      </c>
      <c r="Q1040" s="23" t="s">
        <v>78</v>
      </c>
      <c r="R1040" s="160"/>
      <c r="S1040" s="163"/>
    </row>
    <row r="1041" spans="2:19" x14ac:dyDescent="0.25">
      <c r="B1041" s="181"/>
      <c r="C1041" s="178"/>
      <c r="D1041" s="23" t="s">
        <v>80</v>
      </c>
      <c r="E1041" s="24">
        <v>3</v>
      </c>
      <c r="F1041" s="24">
        <v>15</v>
      </c>
      <c r="G1041" s="23" t="s">
        <v>66</v>
      </c>
      <c r="H1041" s="160"/>
      <c r="I1041" s="163"/>
      <c r="L1041" s="181"/>
      <c r="M1041" s="178"/>
      <c r="N1041" s="23" t="s">
        <v>80</v>
      </c>
      <c r="O1041" s="24">
        <v>3</v>
      </c>
      <c r="P1041" s="24">
        <v>15</v>
      </c>
      <c r="Q1041" s="23" t="s">
        <v>66</v>
      </c>
      <c r="R1041" s="160"/>
      <c r="S1041" s="163"/>
    </row>
    <row r="1042" spans="2:19" x14ac:dyDescent="0.25">
      <c r="B1042" s="181"/>
      <c r="C1042" s="178"/>
      <c r="D1042" s="23" t="s">
        <v>81</v>
      </c>
      <c r="E1042" s="24">
        <v>4</v>
      </c>
      <c r="F1042" s="24">
        <v>16</v>
      </c>
      <c r="G1042" s="23" t="s">
        <v>66</v>
      </c>
      <c r="H1042" s="160"/>
      <c r="I1042" s="163"/>
      <c r="L1042" s="181"/>
      <c r="M1042" s="178"/>
      <c r="N1042" s="23" t="s">
        <v>81</v>
      </c>
      <c r="O1042" s="24">
        <v>4</v>
      </c>
      <c r="P1042" s="24">
        <v>16</v>
      </c>
      <c r="Q1042" s="23" t="s">
        <v>66</v>
      </c>
      <c r="R1042" s="160"/>
      <c r="S1042" s="163"/>
    </row>
    <row r="1043" spans="2:19" x14ac:dyDescent="0.25">
      <c r="B1043" s="181"/>
      <c r="C1043" s="178"/>
      <c r="D1043" s="23" t="s">
        <v>82</v>
      </c>
      <c r="E1043" s="24">
        <v>5</v>
      </c>
      <c r="F1043" s="24">
        <v>17</v>
      </c>
      <c r="G1043" s="23" t="s">
        <v>66</v>
      </c>
      <c r="H1043" s="160"/>
      <c r="I1043" s="163"/>
      <c r="L1043" s="181"/>
      <c r="M1043" s="178"/>
      <c r="N1043" s="23" t="s">
        <v>82</v>
      </c>
      <c r="O1043" s="24">
        <v>5</v>
      </c>
      <c r="P1043" s="24">
        <v>17</v>
      </c>
      <c r="Q1043" s="23" t="s">
        <v>66</v>
      </c>
      <c r="R1043" s="160"/>
      <c r="S1043" s="163"/>
    </row>
    <row r="1044" spans="2:19" ht="15.75" thickBot="1" x14ac:dyDescent="0.3">
      <c r="B1044" s="181"/>
      <c r="C1044" s="179"/>
      <c r="D1044" s="23" t="s">
        <v>83</v>
      </c>
      <c r="E1044" s="24">
        <v>6</v>
      </c>
      <c r="F1044" s="24">
        <v>18</v>
      </c>
      <c r="G1044" s="23" t="s">
        <v>66</v>
      </c>
      <c r="H1044" s="161"/>
      <c r="I1044" s="164"/>
      <c r="L1044" s="181"/>
      <c r="M1044" s="179"/>
      <c r="N1044" s="23" t="s">
        <v>83</v>
      </c>
      <c r="O1044" s="24">
        <v>6</v>
      </c>
      <c r="P1044" s="24">
        <v>18</v>
      </c>
      <c r="Q1044" s="23" t="s">
        <v>66</v>
      </c>
      <c r="R1044" s="161"/>
      <c r="S1044" s="164"/>
    </row>
    <row r="1045" spans="2:19" x14ac:dyDescent="0.25">
      <c r="B1045" s="181"/>
      <c r="C1045" s="177" t="s">
        <v>84</v>
      </c>
      <c r="D1045" s="23" t="s">
        <v>2</v>
      </c>
      <c r="E1045" s="24">
        <v>1</v>
      </c>
      <c r="F1045" s="24">
        <v>19</v>
      </c>
      <c r="G1045" s="23" t="s">
        <v>66</v>
      </c>
      <c r="H1045" s="23"/>
      <c r="I1045" s="47"/>
      <c r="L1045" s="181"/>
      <c r="M1045" s="177" t="s">
        <v>84</v>
      </c>
      <c r="N1045" s="23" t="s">
        <v>2</v>
      </c>
      <c r="O1045" s="24">
        <v>1</v>
      </c>
      <c r="P1045" s="24">
        <v>19</v>
      </c>
      <c r="Q1045" s="23" t="s">
        <v>66</v>
      </c>
      <c r="R1045" s="23"/>
      <c r="S1045" s="47"/>
    </row>
    <row r="1046" spans="2:19" x14ac:dyDescent="0.25">
      <c r="B1046" s="181"/>
      <c r="C1046" s="178"/>
      <c r="D1046" s="23" t="s">
        <v>3</v>
      </c>
      <c r="E1046" s="24">
        <v>2</v>
      </c>
      <c r="F1046" s="24">
        <v>20</v>
      </c>
      <c r="G1046" s="23" t="s">
        <v>66</v>
      </c>
      <c r="H1046" s="23"/>
      <c r="I1046" s="47"/>
      <c r="L1046" s="181"/>
      <c r="M1046" s="178"/>
      <c r="N1046" s="23" t="s">
        <v>3</v>
      </c>
      <c r="O1046" s="24">
        <v>2</v>
      </c>
      <c r="P1046" s="24">
        <v>20</v>
      </c>
      <c r="Q1046" s="23" t="s">
        <v>66</v>
      </c>
      <c r="R1046" s="23"/>
      <c r="S1046" s="47"/>
    </row>
    <row r="1047" spans="2:19" x14ac:dyDescent="0.25">
      <c r="B1047" s="181"/>
      <c r="C1047" s="178"/>
      <c r="D1047" s="23" t="s">
        <v>80</v>
      </c>
      <c r="E1047" s="26">
        <v>3</v>
      </c>
      <c r="F1047" s="24">
        <v>21</v>
      </c>
      <c r="G1047" s="23" t="s">
        <v>66</v>
      </c>
      <c r="H1047" s="23"/>
      <c r="I1047" s="47"/>
      <c r="L1047" s="181"/>
      <c r="M1047" s="178"/>
      <c r="N1047" s="23" t="s">
        <v>80</v>
      </c>
      <c r="O1047" s="26">
        <v>3</v>
      </c>
      <c r="P1047" s="24">
        <v>21</v>
      </c>
      <c r="Q1047" s="23" t="s">
        <v>66</v>
      </c>
      <c r="R1047" s="23"/>
      <c r="S1047" s="47"/>
    </row>
    <row r="1048" spans="2:19" x14ac:dyDescent="0.25">
      <c r="B1048" s="181"/>
      <c r="C1048" s="178"/>
      <c r="D1048" s="23" t="s">
        <v>81</v>
      </c>
      <c r="E1048" s="24">
        <v>4</v>
      </c>
      <c r="F1048" s="24">
        <v>22</v>
      </c>
      <c r="G1048" s="23" t="s">
        <v>66</v>
      </c>
      <c r="H1048" s="23"/>
      <c r="I1048" s="47"/>
      <c r="L1048" s="181"/>
      <c r="M1048" s="178"/>
      <c r="N1048" s="23" t="s">
        <v>81</v>
      </c>
      <c r="O1048" s="24">
        <v>4</v>
      </c>
      <c r="P1048" s="24">
        <v>22</v>
      </c>
      <c r="Q1048" s="23" t="s">
        <v>66</v>
      </c>
      <c r="R1048" s="23"/>
      <c r="S1048" s="47"/>
    </row>
    <row r="1049" spans="2:19" x14ac:dyDescent="0.25">
      <c r="B1049" s="181"/>
      <c r="C1049" s="178"/>
      <c r="D1049" s="23" t="s">
        <v>82</v>
      </c>
      <c r="E1049" s="24">
        <v>5</v>
      </c>
      <c r="F1049" s="24">
        <v>23</v>
      </c>
      <c r="G1049" s="23" t="s">
        <v>66</v>
      </c>
      <c r="H1049" s="23"/>
      <c r="I1049" s="47"/>
      <c r="L1049" s="181"/>
      <c r="M1049" s="178"/>
      <c r="N1049" s="23" t="s">
        <v>82</v>
      </c>
      <c r="O1049" s="24">
        <v>5</v>
      </c>
      <c r="P1049" s="24">
        <v>23</v>
      </c>
      <c r="Q1049" s="23" t="s">
        <v>66</v>
      </c>
      <c r="R1049" s="23"/>
      <c r="S1049" s="47"/>
    </row>
    <row r="1050" spans="2:19" ht="15.75" thickBot="1" x14ac:dyDescent="0.3">
      <c r="B1050" s="182"/>
      <c r="C1050" s="179"/>
      <c r="D1050" s="23" t="s">
        <v>83</v>
      </c>
      <c r="E1050" s="24">
        <v>6</v>
      </c>
      <c r="F1050" s="24">
        <v>24</v>
      </c>
      <c r="G1050" s="23" t="s">
        <v>66</v>
      </c>
      <c r="H1050" s="23"/>
      <c r="I1050" s="47"/>
      <c r="L1050" s="182"/>
      <c r="M1050" s="179"/>
      <c r="N1050" s="23" t="s">
        <v>83</v>
      </c>
      <c r="O1050" s="24">
        <v>6</v>
      </c>
      <c r="P1050" s="24">
        <v>24</v>
      </c>
      <c r="Q1050" s="23" t="s">
        <v>66</v>
      </c>
      <c r="R1050" s="23"/>
      <c r="S1050" s="47"/>
    </row>
    <row r="1051" spans="2:19" x14ac:dyDescent="0.25">
      <c r="B1051" s="189" t="s">
        <v>80</v>
      </c>
      <c r="C1051" s="192" t="s">
        <v>77</v>
      </c>
      <c r="D1051" s="27" t="s">
        <v>2</v>
      </c>
      <c r="E1051" s="28">
        <v>1</v>
      </c>
      <c r="F1051" s="28">
        <v>25</v>
      </c>
      <c r="G1051" s="27" t="s">
        <v>66</v>
      </c>
      <c r="H1051" s="27"/>
      <c r="I1051" s="48"/>
      <c r="L1051" s="189" t="s">
        <v>80</v>
      </c>
      <c r="M1051" s="192" t="s">
        <v>77</v>
      </c>
      <c r="N1051" s="27" t="s">
        <v>2</v>
      </c>
      <c r="O1051" s="28">
        <v>1</v>
      </c>
      <c r="P1051" s="28">
        <v>25</v>
      </c>
      <c r="Q1051" s="27" t="s">
        <v>66</v>
      </c>
      <c r="R1051" s="27"/>
      <c r="S1051" s="48"/>
    </row>
    <row r="1052" spans="2:19" x14ac:dyDescent="0.25">
      <c r="B1052" s="190"/>
      <c r="C1052" s="193"/>
      <c r="D1052" s="27" t="s">
        <v>3</v>
      </c>
      <c r="E1052" s="28">
        <v>2</v>
      </c>
      <c r="F1052" s="28">
        <v>26</v>
      </c>
      <c r="G1052" s="27" t="s">
        <v>66</v>
      </c>
      <c r="H1052" s="27"/>
      <c r="I1052" s="48"/>
      <c r="L1052" s="190"/>
      <c r="M1052" s="193"/>
      <c r="N1052" s="27" t="s">
        <v>3</v>
      </c>
      <c r="O1052" s="28">
        <v>2</v>
      </c>
      <c r="P1052" s="28">
        <v>26</v>
      </c>
      <c r="Q1052" s="27" t="s">
        <v>66</v>
      </c>
      <c r="R1052" s="27"/>
      <c r="S1052" s="48"/>
    </row>
    <row r="1053" spans="2:19" x14ac:dyDescent="0.25">
      <c r="B1053" s="190"/>
      <c r="C1053" s="193"/>
      <c r="D1053" s="27" t="s">
        <v>80</v>
      </c>
      <c r="E1053" s="28">
        <v>3</v>
      </c>
      <c r="F1053" s="28">
        <v>27</v>
      </c>
      <c r="G1053" s="27" t="s">
        <v>66</v>
      </c>
      <c r="H1053" s="27"/>
      <c r="I1053" s="48"/>
      <c r="L1053" s="190"/>
      <c r="M1053" s="193"/>
      <c r="N1053" s="27" t="s">
        <v>80</v>
      </c>
      <c r="O1053" s="28">
        <v>3</v>
      </c>
      <c r="P1053" s="28">
        <v>27</v>
      </c>
      <c r="Q1053" s="27" t="s">
        <v>66</v>
      </c>
      <c r="R1053" s="27"/>
      <c r="S1053" s="48"/>
    </row>
    <row r="1054" spans="2:19" x14ac:dyDescent="0.25">
      <c r="B1054" s="190"/>
      <c r="C1054" s="193"/>
      <c r="D1054" s="27" t="s">
        <v>81</v>
      </c>
      <c r="E1054" s="28">
        <v>4</v>
      </c>
      <c r="F1054" s="28">
        <v>28</v>
      </c>
      <c r="G1054" s="27" t="s">
        <v>66</v>
      </c>
      <c r="H1054" s="27"/>
      <c r="I1054" s="48"/>
      <c r="L1054" s="190"/>
      <c r="M1054" s="193"/>
      <c r="N1054" s="27" t="s">
        <v>81</v>
      </c>
      <c r="O1054" s="28">
        <v>4</v>
      </c>
      <c r="P1054" s="28">
        <v>28</v>
      </c>
      <c r="Q1054" s="27" t="s">
        <v>66</v>
      </c>
      <c r="R1054" s="27"/>
      <c r="S1054" s="48"/>
    </row>
    <row r="1055" spans="2:19" x14ac:dyDescent="0.25">
      <c r="B1055" s="190"/>
      <c r="C1055" s="193"/>
      <c r="D1055" s="27" t="s">
        <v>82</v>
      </c>
      <c r="E1055" s="28">
        <v>5</v>
      </c>
      <c r="F1055" s="28">
        <v>29</v>
      </c>
      <c r="G1055" s="27" t="s">
        <v>66</v>
      </c>
      <c r="H1055" s="27"/>
      <c r="I1055" s="48"/>
      <c r="L1055" s="190"/>
      <c r="M1055" s="193"/>
      <c r="N1055" s="27" t="s">
        <v>82</v>
      </c>
      <c r="O1055" s="28">
        <v>5</v>
      </c>
      <c r="P1055" s="28">
        <v>29</v>
      </c>
      <c r="Q1055" s="27" t="s">
        <v>66</v>
      </c>
      <c r="R1055" s="27"/>
      <c r="S1055" s="48"/>
    </row>
    <row r="1056" spans="2:19" ht="15.75" thickBot="1" x14ac:dyDescent="0.3">
      <c r="B1056" s="190"/>
      <c r="C1056" s="194"/>
      <c r="D1056" s="27" t="s">
        <v>83</v>
      </c>
      <c r="E1056" s="28">
        <v>6</v>
      </c>
      <c r="F1056" s="28">
        <v>30</v>
      </c>
      <c r="G1056" s="27" t="s">
        <v>66</v>
      </c>
      <c r="H1056" s="27"/>
      <c r="I1056" s="48"/>
      <c r="L1056" s="190"/>
      <c r="M1056" s="194"/>
      <c r="N1056" s="27" t="s">
        <v>83</v>
      </c>
      <c r="O1056" s="28">
        <v>6</v>
      </c>
      <c r="P1056" s="28">
        <v>30</v>
      </c>
      <c r="Q1056" s="27" t="s">
        <v>66</v>
      </c>
      <c r="R1056" s="27"/>
      <c r="S1056" s="48"/>
    </row>
    <row r="1057" spans="2:19" x14ac:dyDescent="0.25">
      <c r="B1057" s="190"/>
      <c r="C1057" s="192" t="s">
        <v>84</v>
      </c>
      <c r="D1057" s="27" t="s">
        <v>2</v>
      </c>
      <c r="E1057" s="28">
        <v>1</v>
      </c>
      <c r="F1057" s="28">
        <v>31</v>
      </c>
      <c r="G1057" s="27" t="s">
        <v>66</v>
      </c>
      <c r="H1057" s="27"/>
      <c r="I1057" s="48"/>
      <c r="L1057" s="190"/>
      <c r="M1057" s="192" t="s">
        <v>84</v>
      </c>
      <c r="N1057" s="27" t="s">
        <v>2</v>
      </c>
      <c r="O1057" s="28">
        <v>1</v>
      </c>
      <c r="P1057" s="28">
        <v>31</v>
      </c>
      <c r="Q1057" s="27" t="s">
        <v>66</v>
      </c>
      <c r="R1057" s="27"/>
      <c r="S1057" s="48"/>
    </row>
    <row r="1058" spans="2:19" x14ac:dyDescent="0.25">
      <c r="B1058" s="190"/>
      <c r="C1058" s="193"/>
      <c r="D1058" s="27" t="s">
        <v>3</v>
      </c>
      <c r="E1058" s="28">
        <v>2</v>
      </c>
      <c r="F1058" s="28">
        <v>32</v>
      </c>
      <c r="G1058" s="27" t="s">
        <v>66</v>
      </c>
      <c r="H1058" s="27"/>
      <c r="I1058" s="48"/>
      <c r="L1058" s="190"/>
      <c r="M1058" s="193"/>
      <c r="N1058" s="27" t="s">
        <v>3</v>
      </c>
      <c r="O1058" s="28">
        <v>2</v>
      </c>
      <c r="P1058" s="28">
        <v>32</v>
      </c>
      <c r="Q1058" s="27" t="s">
        <v>66</v>
      </c>
      <c r="R1058" s="27"/>
      <c r="S1058" s="48"/>
    </row>
    <row r="1059" spans="2:19" x14ac:dyDescent="0.25">
      <c r="B1059" s="190"/>
      <c r="C1059" s="193"/>
      <c r="D1059" s="27" t="s">
        <v>80</v>
      </c>
      <c r="E1059" s="28">
        <v>3</v>
      </c>
      <c r="F1059" s="28">
        <v>33</v>
      </c>
      <c r="G1059" s="27" t="s">
        <v>66</v>
      </c>
      <c r="H1059" s="27"/>
      <c r="I1059" s="48"/>
      <c r="L1059" s="190"/>
      <c r="M1059" s="193"/>
      <c r="N1059" s="27" t="s">
        <v>80</v>
      </c>
      <c r="O1059" s="28">
        <v>3</v>
      </c>
      <c r="P1059" s="28">
        <v>33</v>
      </c>
      <c r="Q1059" s="27" t="s">
        <v>66</v>
      </c>
      <c r="R1059" s="27"/>
      <c r="S1059" s="48"/>
    </row>
    <row r="1060" spans="2:19" x14ac:dyDescent="0.25">
      <c r="B1060" s="190"/>
      <c r="C1060" s="193"/>
      <c r="D1060" s="27" t="s">
        <v>81</v>
      </c>
      <c r="E1060" s="28">
        <v>4</v>
      </c>
      <c r="F1060" s="28">
        <v>34</v>
      </c>
      <c r="G1060" s="27" t="s">
        <v>66</v>
      </c>
      <c r="H1060" s="27"/>
      <c r="I1060" s="48"/>
      <c r="L1060" s="190"/>
      <c r="M1060" s="193"/>
      <c r="N1060" s="27" t="s">
        <v>81</v>
      </c>
      <c r="O1060" s="28">
        <v>4</v>
      </c>
      <c r="P1060" s="28">
        <v>34</v>
      </c>
      <c r="Q1060" s="27" t="s">
        <v>66</v>
      </c>
      <c r="R1060" s="27"/>
      <c r="S1060" s="48"/>
    </row>
    <row r="1061" spans="2:19" x14ac:dyDescent="0.25">
      <c r="B1061" s="190"/>
      <c r="C1061" s="193"/>
      <c r="D1061" s="27" t="s">
        <v>82</v>
      </c>
      <c r="E1061" s="28">
        <v>5</v>
      </c>
      <c r="F1061" s="28">
        <v>35</v>
      </c>
      <c r="G1061" s="27" t="s">
        <v>66</v>
      </c>
      <c r="H1061" s="27"/>
      <c r="I1061" s="48"/>
      <c r="L1061" s="190"/>
      <c r="M1061" s="193"/>
      <c r="N1061" s="27" t="s">
        <v>82</v>
      </c>
      <c r="O1061" s="28">
        <v>5</v>
      </c>
      <c r="P1061" s="28">
        <v>35</v>
      </c>
      <c r="Q1061" s="27" t="s">
        <v>66</v>
      </c>
      <c r="R1061" s="27"/>
      <c r="S1061" s="48"/>
    </row>
    <row r="1062" spans="2:19" ht="15.75" thickBot="1" x14ac:dyDescent="0.3">
      <c r="B1062" s="191"/>
      <c r="C1062" s="194"/>
      <c r="D1062" s="27" t="s">
        <v>83</v>
      </c>
      <c r="E1062" s="28">
        <v>6</v>
      </c>
      <c r="F1062" s="28">
        <v>36</v>
      </c>
      <c r="G1062" s="27" t="s">
        <v>66</v>
      </c>
      <c r="H1062" s="27"/>
      <c r="I1062" s="48"/>
      <c r="L1062" s="191"/>
      <c r="M1062" s="194"/>
      <c r="N1062" s="27" t="s">
        <v>83</v>
      </c>
      <c r="O1062" s="28">
        <v>6</v>
      </c>
      <c r="P1062" s="28">
        <v>36</v>
      </c>
      <c r="Q1062" s="27" t="s">
        <v>66</v>
      </c>
      <c r="R1062" s="27"/>
      <c r="S1062" s="48"/>
    </row>
    <row r="1063" spans="2:19" x14ac:dyDescent="0.25">
      <c r="B1063" s="183" t="s">
        <v>81</v>
      </c>
      <c r="C1063" s="186" t="s">
        <v>77</v>
      </c>
      <c r="D1063" s="29" t="s">
        <v>2</v>
      </c>
      <c r="E1063" s="30">
        <v>1</v>
      </c>
      <c r="F1063" s="30">
        <v>37</v>
      </c>
      <c r="G1063" s="29" t="s">
        <v>66</v>
      </c>
      <c r="H1063" s="29"/>
      <c r="I1063" s="49"/>
      <c r="L1063" s="183" t="s">
        <v>81</v>
      </c>
      <c r="M1063" s="186" t="s">
        <v>77</v>
      </c>
      <c r="N1063" s="29" t="s">
        <v>2</v>
      </c>
      <c r="O1063" s="30">
        <v>1</v>
      </c>
      <c r="P1063" s="30">
        <v>37</v>
      </c>
      <c r="Q1063" s="29" t="s">
        <v>66</v>
      </c>
      <c r="R1063" s="29"/>
      <c r="S1063" s="49"/>
    </row>
    <row r="1064" spans="2:19" x14ac:dyDescent="0.25">
      <c r="B1064" s="184"/>
      <c r="C1064" s="187"/>
      <c r="D1064" s="29" t="s">
        <v>3</v>
      </c>
      <c r="E1064" s="30">
        <v>2</v>
      </c>
      <c r="F1064" s="30">
        <v>38</v>
      </c>
      <c r="G1064" s="29" t="s">
        <v>66</v>
      </c>
      <c r="H1064" s="29"/>
      <c r="I1064" s="49"/>
      <c r="L1064" s="184"/>
      <c r="M1064" s="187"/>
      <c r="N1064" s="29" t="s">
        <v>3</v>
      </c>
      <c r="O1064" s="30">
        <v>2</v>
      </c>
      <c r="P1064" s="30">
        <v>38</v>
      </c>
      <c r="Q1064" s="29" t="s">
        <v>66</v>
      </c>
      <c r="R1064" s="29"/>
      <c r="S1064" s="49"/>
    </row>
    <row r="1065" spans="2:19" x14ac:dyDescent="0.25">
      <c r="B1065" s="184"/>
      <c r="C1065" s="187"/>
      <c r="D1065" s="29" t="s">
        <v>80</v>
      </c>
      <c r="E1065" s="30">
        <v>3</v>
      </c>
      <c r="F1065" s="30">
        <v>39</v>
      </c>
      <c r="G1065" s="29" t="s">
        <v>66</v>
      </c>
      <c r="H1065" s="29"/>
      <c r="I1065" s="49"/>
      <c r="L1065" s="184"/>
      <c r="M1065" s="187"/>
      <c r="N1065" s="29" t="s">
        <v>80</v>
      </c>
      <c r="O1065" s="30">
        <v>3</v>
      </c>
      <c r="P1065" s="30">
        <v>39</v>
      </c>
      <c r="Q1065" s="29" t="s">
        <v>66</v>
      </c>
      <c r="R1065" s="29"/>
      <c r="S1065" s="49"/>
    </row>
    <row r="1066" spans="2:19" x14ac:dyDescent="0.25">
      <c r="B1066" s="184"/>
      <c r="C1066" s="187"/>
      <c r="D1066" s="29" t="s">
        <v>81</v>
      </c>
      <c r="E1066" s="30">
        <v>4</v>
      </c>
      <c r="F1066" s="30">
        <v>40</v>
      </c>
      <c r="G1066" s="29" t="s">
        <v>66</v>
      </c>
      <c r="H1066" s="29"/>
      <c r="I1066" s="49"/>
      <c r="L1066" s="184"/>
      <c r="M1066" s="187"/>
      <c r="N1066" s="29" t="s">
        <v>81</v>
      </c>
      <c r="O1066" s="30">
        <v>4</v>
      </c>
      <c r="P1066" s="30">
        <v>40</v>
      </c>
      <c r="Q1066" s="29" t="s">
        <v>66</v>
      </c>
      <c r="R1066" s="29"/>
      <c r="S1066" s="49"/>
    </row>
    <row r="1067" spans="2:19" x14ac:dyDescent="0.25">
      <c r="B1067" s="184"/>
      <c r="C1067" s="187"/>
      <c r="D1067" s="29" t="s">
        <v>82</v>
      </c>
      <c r="E1067" s="30">
        <v>5</v>
      </c>
      <c r="F1067" s="30">
        <v>41</v>
      </c>
      <c r="G1067" s="29" t="s">
        <v>66</v>
      </c>
      <c r="H1067" s="29"/>
      <c r="I1067" s="49"/>
      <c r="L1067" s="184"/>
      <c r="M1067" s="187"/>
      <c r="N1067" s="29" t="s">
        <v>82</v>
      </c>
      <c r="O1067" s="30">
        <v>5</v>
      </c>
      <c r="P1067" s="30">
        <v>41</v>
      </c>
      <c r="Q1067" s="29" t="s">
        <v>66</v>
      </c>
      <c r="R1067" s="29"/>
      <c r="S1067" s="49"/>
    </row>
    <row r="1068" spans="2:19" ht="15.75" thickBot="1" x14ac:dyDescent="0.3">
      <c r="B1068" s="184"/>
      <c r="C1068" s="188"/>
      <c r="D1068" s="29" t="s">
        <v>83</v>
      </c>
      <c r="E1068" s="30">
        <v>6</v>
      </c>
      <c r="F1068" s="30">
        <v>42</v>
      </c>
      <c r="G1068" s="29" t="s">
        <v>66</v>
      </c>
      <c r="H1068" s="29"/>
      <c r="I1068" s="49"/>
      <c r="L1068" s="184"/>
      <c r="M1068" s="188"/>
      <c r="N1068" s="29" t="s">
        <v>83</v>
      </c>
      <c r="O1068" s="30">
        <v>6</v>
      </c>
      <c r="P1068" s="30">
        <v>42</v>
      </c>
      <c r="Q1068" s="29" t="s">
        <v>66</v>
      </c>
      <c r="R1068" s="29"/>
      <c r="S1068" s="49"/>
    </row>
    <row r="1069" spans="2:19" x14ac:dyDescent="0.25">
      <c r="B1069" s="184"/>
      <c r="C1069" s="186" t="s">
        <v>84</v>
      </c>
      <c r="D1069" s="29" t="s">
        <v>2</v>
      </c>
      <c r="E1069" s="30">
        <v>1</v>
      </c>
      <c r="F1069" s="30">
        <v>43</v>
      </c>
      <c r="G1069" s="29" t="s">
        <v>66</v>
      </c>
      <c r="H1069" s="29"/>
      <c r="I1069" s="49"/>
      <c r="L1069" s="184"/>
      <c r="M1069" s="186" t="s">
        <v>84</v>
      </c>
      <c r="N1069" s="29" t="s">
        <v>2</v>
      </c>
      <c r="O1069" s="30">
        <v>1</v>
      </c>
      <c r="P1069" s="30">
        <v>43</v>
      </c>
      <c r="Q1069" s="29" t="s">
        <v>66</v>
      </c>
      <c r="R1069" s="29"/>
      <c r="S1069" s="49"/>
    </row>
    <row r="1070" spans="2:19" x14ac:dyDescent="0.25">
      <c r="B1070" s="184"/>
      <c r="C1070" s="187"/>
      <c r="D1070" s="29" t="s">
        <v>3</v>
      </c>
      <c r="E1070" s="30">
        <v>2</v>
      </c>
      <c r="F1070" s="30">
        <v>44</v>
      </c>
      <c r="G1070" s="29" t="s">
        <v>66</v>
      </c>
      <c r="H1070" s="29"/>
      <c r="I1070" s="49"/>
      <c r="L1070" s="184"/>
      <c r="M1070" s="187"/>
      <c r="N1070" s="29" t="s">
        <v>3</v>
      </c>
      <c r="O1070" s="30">
        <v>2</v>
      </c>
      <c r="P1070" s="30">
        <v>44</v>
      </c>
      <c r="Q1070" s="29" t="s">
        <v>66</v>
      </c>
      <c r="R1070" s="29"/>
      <c r="S1070" s="49"/>
    </row>
    <row r="1071" spans="2:19" x14ac:dyDescent="0.25">
      <c r="B1071" s="184"/>
      <c r="C1071" s="187"/>
      <c r="D1071" s="29" t="s">
        <v>80</v>
      </c>
      <c r="E1071" s="30">
        <v>3</v>
      </c>
      <c r="F1071" s="30">
        <v>45</v>
      </c>
      <c r="G1071" s="29" t="s">
        <v>66</v>
      </c>
      <c r="H1071" s="29"/>
      <c r="I1071" s="49"/>
      <c r="L1071" s="184"/>
      <c r="M1071" s="187"/>
      <c r="N1071" s="29" t="s">
        <v>80</v>
      </c>
      <c r="O1071" s="30">
        <v>3</v>
      </c>
      <c r="P1071" s="30">
        <v>45</v>
      </c>
      <c r="Q1071" s="29" t="s">
        <v>66</v>
      </c>
      <c r="R1071" s="29"/>
      <c r="S1071" s="49"/>
    </row>
    <row r="1072" spans="2:19" x14ac:dyDescent="0.25">
      <c r="B1072" s="184"/>
      <c r="C1072" s="187"/>
      <c r="D1072" s="29" t="s">
        <v>81</v>
      </c>
      <c r="E1072" s="30">
        <v>4</v>
      </c>
      <c r="F1072" s="30">
        <v>46</v>
      </c>
      <c r="G1072" s="29" t="s">
        <v>66</v>
      </c>
      <c r="H1072" s="29"/>
      <c r="I1072" s="49"/>
      <c r="L1072" s="184"/>
      <c r="M1072" s="187"/>
      <c r="N1072" s="29" t="s">
        <v>81</v>
      </c>
      <c r="O1072" s="30">
        <v>4</v>
      </c>
      <c r="P1072" s="30">
        <v>46</v>
      </c>
      <c r="Q1072" s="29" t="s">
        <v>66</v>
      </c>
      <c r="R1072" s="29"/>
      <c r="S1072" s="49"/>
    </row>
    <row r="1073" spans="2:19" x14ac:dyDescent="0.25">
      <c r="B1073" s="184"/>
      <c r="C1073" s="187"/>
      <c r="D1073" s="29" t="s">
        <v>82</v>
      </c>
      <c r="E1073" s="30">
        <v>5</v>
      </c>
      <c r="F1073" s="30">
        <v>47</v>
      </c>
      <c r="G1073" s="29" t="s">
        <v>66</v>
      </c>
      <c r="H1073" s="29"/>
      <c r="I1073" s="49"/>
      <c r="L1073" s="184"/>
      <c r="M1073" s="187"/>
      <c r="N1073" s="29" t="s">
        <v>82</v>
      </c>
      <c r="O1073" s="30">
        <v>5</v>
      </c>
      <c r="P1073" s="30">
        <v>47</v>
      </c>
      <c r="Q1073" s="29" t="s">
        <v>66</v>
      </c>
      <c r="R1073" s="29"/>
      <c r="S1073" s="49"/>
    </row>
    <row r="1074" spans="2:19" ht="15.75" thickBot="1" x14ac:dyDescent="0.3">
      <c r="B1074" s="185"/>
      <c r="C1074" s="188"/>
      <c r="D1074" s="29" t="s">
        <v>83</v>
      </c>
      <c r="E1074" s="30">
        <v>6</v>
      </c>
      <c r="F1074" s="30">
        <v>48</v>
      </c>
      <c r="G1074" s="29" t="s">
        <v>66</v>
      </c>
      <c r="H1074" s="29"/>
      <c r="I1074" s="49"/>
      <c r="L1074" s="185"/>
      <c r="M1074" s="188"/>
      <c r="N1074" s="29" t="s">
        <v>83</v>
      </c>
      <c r="O1074" s="30">
        <v>6</v>
      </c>
      <c r="P1074" s="30">
        <v>48</v>
      </c>
      <c r="Q1074" s="29" t="s">
        <v>66</v>
      </c>
      <c r="R1074" s="29"/>
      <c r="S1074" s="49"/>
    </row>
    <row r="1083" spans="2:19" ht="15.75" thickBot="1" x14ac:dyDescent="0.3"/>
    <row r="1084" spans="2:19" ht="15.75" thickBot="1" x14ac:dyDescent="0.3">
      <c r="B1084" s="171" t="s">
        <v>292</v>
      </c>
      <c r="C1084" s="172"/>
      <c r="D1084" s="172"/>
      <c r="E1084" s="172"/>
      <c r="F1084" s="172"/>
      <c r="G1084" s="172"/>
      <c r="H1084" s="172"/>
      <c r="I1084" s="173"/>
      <c r="L1084" s="171" t="s">
        <v>293</v>
      </c>
      <c r="M1084" s="172"/>
      <c r="N1084" s="172"/>
      <c r="O1084" s="172"/>
      <c r="P1084" s="172"/>
      <c r="Q1084" s="172"/>
      <c r="R1084" s="172"/>
      <c r="S1084" s="173"/>
    </row>
    <row r="1086" spans="2:19" ht="26.25" thickBot="1" x14ac:dyDescent="0.3">
      <c r="B1086" s="15" t="s">
        <v>70</v>
      </c>
      <c r="C1086" s="16" t="s">
        <v>71</v>
      </c>
      <c r="D1086" s="15" t="s">
        <v>72</v>
      </c>
      <c r="E1086" s="17" t="s">
        <v>73</v>
      </c>
      <c r="F1086" s="17" t="s">
        <v>74</v>
      </c>
      <c r="G1086" s="15" t="s">
        <v>75</v>
      </c>
      <c r="H1086" s="15" t="s">
        <v>55</v>
      </c>
      <c r="I1086" s="15" t="s">
        <v>76</v>
      </c>
      <c r="L1086" s="15" t="s">
        <v>70</v>
      </c>
      <c r="M1086" s="16" t="s">
        <v>71</v>
      </c>
      <c r="N1086" s="15" t="s">
        <v>72</v>
      </c>
      <c r="O1086" s="17" t="s">
        <v>73</v>
      </c>
      <c r="P1086" s="17" t="s">
        <v>74</v>
      </c>
      <c r="Q1086" s="15" t="s">
        <v>75</v>
      </c>
      <c r="R1086" s="15" t="s">
        <v>55</v>
      </c>
      <c r="S1086" s="15" t="s">
        <v>76</v>
      </c>
    </row>
    <row r="1087" spans="2:19" x14ac:dyDescent="0.25">
      <c r="B1087" s="174" t="s">
        <v>2</v>
      </c>
      <c r="C1087" s="168" t="s">
        <v>77</v>
      </c>
      <c r="D1087" s="18" t="s">
        <v>2</v>
      </c>
      <c r="E1087" s="19">
        <v>1</v>
      </c>
      <c r="F1087" s="19">
        <v>1</v>
      </c>
      <c r="G1087" s="18" t="s">
        <v>78</v>
      </c>
      <c r="H1087" s="156" t="s">
        <v>152</v>
      </c>
      <c r="I1087" s="156" t="s">
        <v>228</v>
      </c>
      <c r="L1087" s="174" t="s">
        <v>2</v>
      </c>
      <c r="M1087" s="168" t="s">
        <v>77</v>
      </c>
      <c r="N1087" s="18" t="s">
        <v>2</v>
      </c>
      <c r="O1087" s="19">
        <v>1</v>
      </c>
      <c r="P1087" s="19">
        <v>1</v>
      </c>
      <c r="Q1087" s="18" t="s">
        <v>78</v>
      </c>
      <c r="R1087" s="156" t="s">
        <v>152</v>
      </c>
      <c r="S1087" s="156" t="s">
        <v>161</v>
      </c>
    </row>
    <row r="1088" spans="2:19" x14ac:dyDescent="0.25">
      <c r="B1088" s="175"/>
      <c r="C1088" s="169"/>
      <c r="D1088" s="18" t="s">
        <v>3</v>
      </c>
      <c r="E1088" s="19">
        <v>2</v>
      </c>
      <c r="F1088" s="19">
        <v>2</v>
      </c>
      <c r="G1088" s="18" t="s">
        <v>78</v>
      </c>
      <c r="H1088" s="157"/>
      <c r="I1088" s="157"/>
      <c r="L1088" s="175"/>
      <c r="M1088" s="169"/>
      <c r="N1088" s="18" t="s">
        <v>3</v>
      </c>
      <c r="O1088" s="19">
        <v>2</v>
      </c>
      <c r="P1088" s="19">
        <v>2</v>
      </c>
      <c r="Q1088" s="18" t="s">
        <v>78</v>
      </c>
      <c r="R1088" s="157"/>
      <c r="S1088" s="157"/>
    </row>
    <row r="1089" spans="2:19" x14ac:dyDescent="0.25">
      <c r="B1089" s="175"/>
      <c r="C1089" s="169"/>
      <c r="D1089" s="18" t="s">
        <v>80</v>
      </c>
      <c r="E1089" s="20">
        <v>3</v>
      </c>
      <c r="F1089" s="20">
        <v>3</v>
      </c>
      <c r="G1089" s="18" t="s">
        <v>66</v>
      </c>
      <c r="H1089" s="157"/>
      <c r="I1089" s="157"/>
      <c r="L1089" s="175"/>
      <c r="M1089" s="169"/>
      <c r="N1089" s="18" t="s">
        <v>80</v>
      </c>
      <c r="O1089" s="20">
        <v>3</v>
      </c>
      <c r="P1089" s="20">
        <v>3</v>
      </c>
      <c r="Q1089" s="18" t="s">
        <v>66</v>
      </c>
      <c r="R1089" s="157"/>
      <c r="S1089" s="157"/>
    </row>
    <row r="1090" spans="2:19" x14ac:dyDescent="0.25">
      <c r="B1090" s="175"/>
      <c r="C1090" s="169"/>
      <c r="D1090" s="18" t="s">
        <v>81</v>
      </c>
      <c r="E1090" s="20">
        <v>4</v>
      </c>
      <c r="F1090" s="20">
        <v>4</v>
      </c>
      <c r="G1090" s="18" t="s">
        <v>66</v>
      </c>
      <c r="H1090" s="157"/>
      <c r="I1090" s="157"/>
      <c r="L1090" s="175"/>
      <c r="M1090" s="169"/>
      <c r="N1090" s="18" t="s">
        <v>81</v>
      </c>
      <c r="O1090" s="20">
        <v>4</v>
      </c>
      <c r="P1090" s="20">
        <v>4</v>
      </c>
      <c r="Q1090" s="18" t="s">
        <v>66</v>
      </c>
      <c r="R1090" s="157"/>
      <c r="S1090" s="157"/>
    </row>
    <row r="1091" spans="2:19" x14ac:dyDescent="0.25">
      <c r="B1091" s="175"/>
      <c r="C1091" s="169"/>
      <c r="D1091" s="18" t="s">
        <v>82</v>
      </c>
      <c r="E1091" s="20">
        <v>5</v>
      </c>
      <c r="F1091" s="20">
        <v>5</v>
      </c>
      <c r="G1091" s="18" t="s">
        <v>66</v>
      </c>
      <c r="H1091" s="157"/>
      <c r="I1091" s="157"/>
      <c r="L1091" s="175"/>
      <c r="M1091" s="169"/>
      <c r="N1091" s="18" t="s">
        <v>82</v>
      </c>
      <c r="O1091" s="20">
        <v>5</v>
      </c>
      <c r="P1091" s="20">
        <v>5</v>
      </c>
      <c r="Q1091" s="18" t="s">
        <v>66</v>
      </c>
      <c r="R1091" s="157"/>
      <c r="S1091" s="157"/>
    </row>
    <row r="1092" spans="2:19" ht="15.75" thickBot="1" x14ac:dyDescent="0.3">
      <c r="B1092" s="175"/>
      <c r="C1092" s="170"/>
      <c r="D1092" s="18" t="s">
        <v>83</v>
      </c>
      <c r="E1092" s="20">
        <v>6</v>
      </c>
      <c r="F1092" s="20">
        <v>6</v>
      </c>
      <c r="G1092" s="18" t="s">
        <v>66</v>
      </c>
      <c r="H1092" s="158"/>
      <c r="I1092" s="158"/>
      <c r="L1092" s="175"/>
      <c r="M1092" s="170"/>
      <c r="N1092" s="18" t="s">
        <v>83</v>
      </c>
      <c r="O1092" s="20">
        <v>6</v>
      </c>
      <c r="P1092" s="20">
        <v>6</v>
      </c>
      <c r="Q1092" s="18" t="s">
        <v>66</v>
      </c>
      <c r="R1092" s="158"/>
      <c r="S1092" s="158"/>
    </row>
    <row r="1093" spans="2:19" x14ac:dyDescent="0.25">
      <c r="B1093" s="175"/>
      <c r="C1093" s="168" t="s">
        <v>84</v>
      </c>
      <c r="D1093" s="18" t="s">
        <v>2</v>
      </c>
      <c r="E1093" s="19">
        <v>1</v>
      </c>
      <c r="F1093" s="19">
        <v>7</v>
      </c>
      <c r="G1093" s="18" t="s">
        <v>66</v>
      </c>
      <c r="H1093" s="32"/>
      <c r="I1093" s="50"/>
      <c r="L1093" s="175"/>
      <c r="M1093" s="168" t="s">
        <v>84</v>
      </c>
      <c r="N1093" s="18" t="s">
        <v>2</v>
      </c>
      <c r="O1093" s="19">
        <v>1</v>
      </c>
      <c r="P1093" s="19">
        <v>7</v>
      </c>
      <c r="Q1093" s="18" t="s">
        <v>66</v>
      </c>
      <c r="R1093" s="32"/>
      <c r="S1093" s="50"/>
    </row>
    <row r="1094" spans="2:19" x14ac:dyDescent="0.25">
      <c r="B1094" s="175"/>
      <c r="C1094" s="169"/>
      <c r="D1094" s="18" t="s">
        <v>3</v>
      </c>
      <c r="E1094" s="19">
        <v>2</v>
      </c>
      <c r="F1094" s="19">
        <v>8</v>
      </c>
      <c r="G1094" s="18" t="s">
        <v>66</v>
      </c>
      <c r="H1094" s="32"/>
      <c r="I1094" s="50"/>
      <c r="L1094" s="175"/>
      <c r="M1094" s="169"/>
      <c r="N1094" s="18" t="s">
        <v>3</v>
      </c>
      <c r="O1094" s="19">
        <v>2</v>
      </c>
      <c r="P1094" s="19">
        <v>8</v>
      </c>
      <c r="Q1094" s="18" t="s">
        <v>66</v>
      </c>
      <c r="R1094" s="32"/>
      <c r="S1094" s="50"/>
    </row>
    <row r="1095" spans="2:19" x14ac:dyDescent="0.25">
      <c r="B1095" s="175"/>
      <c r="C1095" s="169"/>
      <c r="D1095" s="18" t="s">
        <v>80</v>
      </c>
      <c r="E1095" s="20">
        <v>3</v>
      </c>
      <c r="F1095" s="20">
        <v>9</v>
      </c>
      <c r="G1095" s="18" t="s">
        <v>66</v>
      </c>
      <c r="H1095" s="32"/>
      <c r="I1095" s="50"/>
      <c r="L1095" s="175"/>
      <c r="M1095" s="169"/>
      <c r="N1095" s="18" t="s">
        <v>80</v>
      </c>
      <c r="O1095" s="20">
        <v>3</v>
      </c>
      <c r="P1095" s="20">
        <v>9</v>
      </c>
      <c r="Q1095" s="18" t="s">
        <v>66</v>
      </c>
      <c r="R1095" s="32"/>
      <c r="S1095" s="50"/>
    </row>
    <row r="1096" spans="2:19" x14ac:dyDescent="0.25">
      <c r="B1096" s="175"/>
      <c r="C1096" s="169"/>
      <c r="D1096" s="18" t="s">
        <v>81</v>
      </c>
      <c r="E1096" s="20">
        <v>4</v>
      </c>
      <c r="F1096" s="20">
        <v>10</v>
      </c>
      <c r="G1096" s="18" t="s">
        <v>66</v>
      </c>
      <c r="H1096" s="32"/>
      <c r="I1096" s="50"/>
      <c r="L1096" s="175"/>
      <c r="M1096" s="169"/>
      <c r="N1096" s="18" t="s">
        <v>81</v>
      </c>
      <c r="O1096" s="20">
        <v>4</v>
      </c>
      <c r="P1096" s="20">
        <v>10</v>
      </c>
      <c r="Q1096" s="18" t="s">
        <v>66</v>
      </c>
      <c r="R1096" s="32"/>
      <c r="S1096" s="50"/>
    </row>
    <row r="1097" spans="2:19" x14ac:dyDescent="0.25">
      <c r="B1097" s="175"/>
      <c r="C1097" s="169"/>
      <c r="D1097" s="18" t="s">
        <v>82</v>
      </c>
      <c r="E1097" s="20">
        <v>5</v>
      </c>
      <c r="F1097" s="20">
        <v>11</v>
      </c>
      <c r="G1097" s="18" t="s">
        <v>66</v>
      </c>
      <c r="H1097" s="32"/>
      <c r="I1097" s="50"/>
      <c r="L1097" s="175"/>
      <c r="M1097" s="169"/>
      <c r="N1097" s="18" t="s">
        <v>82</v>
      </c>
      <c r="O1097" s="20">
        <v>5</v>
      </c>
      <c r="P1097" s="20">
        <v>11</v>
      </c>
      <c r="Q1097" s="18" t="s">
        <v>66</v>
      </c>
      <c r="R1097" s="32"/>
      <c r="S1097" s="50"/>
    </row>
    <row r="1098" spans="2:19" ht="15.75" thickBot="1" x14ac:dyDescent="0.3">
      <c r="B1098" s="176"/>
      <c r="C1098" s="170"/>
      <c r="D1098" s="18" t="s">
        <v>83</v>
      </c>
      <c r="E1098" s="20">
        <v>6</v>
      </c>
      <c r="F1098" s="20">
        <v>12</v>
      </c>
      <c r="G1098" s="18" t="s">
        <v>66</v>
      </c>
      <c r="H1098" s="32"/>
      <c r="I1098" s="50"/>
      <c r="L1098" s="176"/>
      <c r="M1098" s="170"/>
      <c r="N1098" s="18" t="s">
        <v>83</v>
      </c>
      <c r="O1098" s="20">
        <v>6</v>
      </c>
      <c r="P1098" s="20">
        <v>12</v>
      </c>
      <c r="Q1098" s="18" t="s">
        <v>66</v>
      </c>
      <c r="R1098" s="32"/>
      <c r="S1098" s="50"/>
    </row>
    <row r="1099" spans="2:19" ht="15" customHeight="1" x14ac:dyDescent="0.25">
      <c r="B1099" s="180" t="s">
        <v>3</v>
      </c>
      <c r="C1099" s="177" t="s">
        <v>77</v>
      </c>
      <c r="D1099" s="21" t="s">
        <v>2</v>
      </c>
      <c r="E1099" s="22">
        <v>1</v>
      </c>
      <c r="F1099" s="22">
        <v>13</v>
      </c>
      <c r="G1099" s="21" t="s">
        <v>66</v>
      </c>
      <c r="H1099" s="63"/>
      <c r="I1099" s="64"/>
      <c r="L1099" s="180" t="s">
        <v>3</v>
      </c>
      <c r="M1099" s="177" t="s">
        <v>77</v>
      </c>
      <c r="N1099" s="21" t="s">
        <v>2</v>
      </c>
      <c r="O1099" s="22">
        <v>1</v>
      </c>
      <c r="P1099" s="22">
        <v>13</v>
      </c>
      <c r="Q1099" s="21" t="s">
        <v>66</v>
      </c>
      <c r="R1099" s="63"/>
      <c r="S1099" s="64"/>
    </row>
    <row r="1100" spans="2:19" x14ac:dyDescent="0.25">
      <c r="B1100" s="181"/>
      <c r="C1100" s="178"/>
      <c r="D1100" s="23" t="s">
        <v>3</v>
      </c>
      <c r="E1100" s="24">
        <v>2</v>
      </c>
      <c r="F1100" s="24">
        <v>14</v>
      </c>
      <c r="G1100" s="23" t="s">
        <v>66</v>
      </c>
      <c r="H1100" s="63"/>
      <c r="I1100" s="64"/>
      <c r="L1100" s="181"/>
      <c r="M1100" s="178"/>
      <c r="N1100" s="23" t="s">
        <v>3</v>
      </c>
      <c r="O1100" s="24">
        <v>2</v>
      </c>
      <c r="P1100" s="24">
        <v>14</v>
      </c>
      <c r="Q1100" s="23" t="s">
        <v>66</v>
      </c>
      <c r="R1100" s="63"/>
      <c r="S1100" s="64"/>
    </row>
    <row r="1101" spans="2:19" x14ac:dyDescent="0.25">
      <c r="B1101" s="181"/>
      <c r="C1101" s="178"/>
      <c r="D1101" s="23" t="s">
        <v>80</v>
      </c>
      <c r="E1101" s="24">
        <v>3</v>
      </c>
      <c r="F1101" s="24">
        <v>15</v>
      </c>
      <c r="G1101" s="23" t="s">
        <v>66</v>
      </c>
      <c r="H1101" s="63"/>
      <c r="I1101" s="64"/>
      <c r="L1101" s="181"/>
      <c r="M1101" s="178"/>
      <c r="N1101" s="23" t="s">
        <v>80</v>
      </c>
      <c r="O1101" s="24">
        <v>3</v>
      </c>
      <c r="P1101" s="24">
        <v>15</v>
      </c>
      <c r="Q1101" s="23" t="s">
        <v>66</v>
      </c>
      <c r="R1101" s="63"/>
      <c r="S1101" s="64"/>
    </row>
    <row r="1102" spans="2:19" x14ac:dyDescent="0.25">
      <c r="B1102" s="181"/>
      <c r="C1102" s="178"/>
      <c r="D1102" s="23" t="s">
        <v>81</v>
      </c>
      <c r="E1102" s="24">
        <v>4</v>
      </c>
      <c r="F1102" s="24">
        <v>16</v>
      </c>
      <c r="G1102" s="23" t="s">
        <v>66</v>
      </c>
      <c r="H1102" s="63"/>
      <c r="I1102" s="64"/>
      <c r="L1102" s="181"/>
      <c r="M1102" s="178"/>
      <c r="N1102" s="23" t="s">
        <v>81</v>
      </c>
      <c r="O1102" s="24">
        <v>4</v>
      </c>
      <c r="P1102" s="24">
        <v>16</v>
      </c>
      <c r="Q1102" s="23" t="s">
        <v>66</v>
      </c>
      <c r="R1102" s="63"/>
      <c r="S1102" s="64"/>
    </row>
    <row r="1103" spans="2:19" x14ac:dyDescent="0.25">
      <c r="B1103" s="181"/>
      <c r="C1103" s="178"/>
      <c r="D1103" s="23" t="s">
        <v>82</v>
      </c>
      <c r="E1103" s="24">
        <v>5</v>
      </c>
      <c r="F1103" s="24">
        <v>17</v>
      </c>
      <c r="G1103" s="23" t="s">
        <v>66</v>
      </c>
      <c r="H1103" s="63"/>
      <c r="I1103" s="64"/>
      <c r="L1103" s="181"/>
      <c r="M1103" s="178"/>
      <c r="N1103" s="23" t="s">
        <v>82</v>
      </c>
      <c r="O1103" s="24">
        <v>5</v>
      </c>
      <c r="P1103" s="24">
        <v>17</v>
      </c>
      <c r="Q1103" s="23" t="s">
        <v>66</v>
      </c>
      <c r="R1103" s="63"/>
      <c r="S1103" s="64"/>
    </row>
    <row r="1104" spans="2:19" ht="15.75" thickBot="1" x14ac:dyDescent="0.3">
      <c r="B1104" s="181"/>
      <c r="C1104" s="179"/>
      <c r="D1104" s="23" t="s">
        <v>83</v>
      </c>
      <c r="E1104" s="24">
        <v>6</v>
      </c>
      <c r="F1104" s="24">
        <v>18</v>
      </c>
      <c r="G1104" s="23" t="s">
        <v>66</v>
      </c>
      <c r="H1104" s="63"/>
      <c r="I1104" s="64"/>
      <c r="L1104" s="181"/>
      <c r="M1104" s="179"/>
      <c r="N1104" s="23" t="s">
        <v>83</v>
      </c>
      <c r="O1104" s="24">
        <v>6</v>
      </c>
      <c r="P1104" s="24">
        <v>18</v>
      </c>
      <c r="Q1104" s="23" t="s">
        <v>66</v>
      </c>
      <c r="R1104" s="63"/>
      <c r="S1104" s="64"/>
    </row>
    <row r="1105" spans="2:19" x14ac:dyDescent="0.25">
      <c r="B1105" s="181"/>
      <c r="C1105" s="177" t="s">
        <v>84</v>
      </c>
      <c r="D1105" s="23" t="s">
        <v>2</v>
      </c>
      <c r="E1105" s="24">
        <v>1</v>
      </c>
      <c r="F1105" s="24">
        <v>19</v>
      </c>
      <c r="G1105" s="23" t="s">
        <v>66</v>
      </c>
      <c r="H1105" s="63"/>
      <c r="I1105" s="64"/>
      <c r="L1105" s="181"/>
      <c r="M1105" s="177" t="s">
        <v>84</v>
      </c>
      <c r="N1105" s="23" t="s">
        <v>2</v>
      </c>
      <c r="O1105" s="24">
        <v>1</v>
      </c>
      <c r="P1105" s="24">
        <v>19</v>
      </c>
      <c r="Q1105" s="23" t="s">
        <v>66</v>
      </c>
      <c r="R1105" s="63"/>
      <c r="S1105" s="64"/>
    </row>
    <row r="1106" spans="2:19" x14ac:dyDescent="0.25">
      <c r="B1106" s="181"/>
      <c r="C1106" s="178"/>
      <c r="D1106" s="23" t="s">
        <v>3</v>
      </c>
      <c r="E1106" s="24">
        <v>2</v>
      </c>
      <c r="F1106" s="24">
        <v>20</v>
      </c>
      <c r="G1106" s="23" t="s">
        <v>66</v>
      </c>
      <c r="H1106" s="63"/>
      <c r="I1106" s="64"/>
      <c r="L1106" s="181"/>
      <c r="M1106" s="178"/>
      <c r="N1106" s="23" t="s">
        <v>3</v>
      </c>
      <c r="O1106" s="24">
        <v>2</v>
      </c>
      <c r="P1106" s="24">
        <v>20</v>
      </c>
      <c r="Q1106" s="23" t="s">
        <v>66</v>
      </c>
      <c r="R1106" s="63"/>
      <c r="S1106" s="64"/>
    </row>
    <row r="1107" spans="2:19" x14ac:dyDescent="0.25">
      <c r="B1107" s="181"/>
      <c r="C1107" s="178"/>
      <c r="D1107" s="23" t="s">
        <v>80</v>
      </c>
      <c r="E1107" s="26">
        <v>3</v>
      </c>
      <c r="F1107" s="24">
        <v>21</v>
      </c>
      <c r="G1107" s="23" t="s">
        <v>66</v>
      </c>
      <c r="H1107" s="63"/>
      <c r="I1107" s="64"/>
      <c r="L1107" s="181"/>
      <c r="M1107" s="178"/>
      <c r="N1107" s="23" t="s">
        <v>80</v>
      </c>
      <c r="O1107" s="26">
        <v>3</v>
      </c>
      <c r="P1107" s="24">
        <v>21</v>
      </c>
      <c r="Q1107" s="23" t="s">
        <v>66</v>
      </c>
      <c r="R1107" s="63"/>
      <c r="S1107" s="64"/>
    </row>
    <row r="1108" spans="2:19" x14ac:dyDescent="0.25">
      <c r="B1108" s="181"/>
      <c r="C1108" s="178"/>
      <c r="D1108" s="23" t="s">
        <v>81</v>
      </c>
      <c r="E1108" s="24">
        <v>4</v>
      </c>
      <c r="F1108" s="24">
        <v>22</v>
      </c>
      <c r="G1108" s="23" t="s">
        <v>66</v>
      </c>
      <c r="H1108" s="63"/>
      <c r="I1108" s="64"/>
      <c r="L1108" s="181"/>
      <c r="M1108" s="178"/>
      <c r="N1108" s="23" t="s">
        <v>81</v>
      </c>
      <c r="O1108" s="24">
        <v>4</v>
      </c>
      <c r="P1108" s="24">
        <v>22</v>
      </c>
      <c r="Q1108" s="23" t="s">
        <v>66</v>
      </c>
      <c r="R1108" s="63"/>
      <c r="S1108" s="64"/>
    </row>
    <row r="1109" spans="2:19" x14ac:dyDescent="0.25">
      <c r="B1109" s="181"/>
      <c r="C1109" s="178"/>
      <c r="D1109" s="23" t="s">
        <v>82</v>
      </c>
      <c r="E1109" s="24">
        <v>5</v>
      </c>
      <c r="F1109" s="24">
        <v>23</v>
      </c>
      <c r="G1109" s="23" t="s">
        <v>66</v>
      </c>
      <c r="H1109" s="63"/>
      <c r="I1109" s="64"/>
      <c r="L1109" s="181"/>
      <c r="M1109" s="178"/>
      <c r="N1109" s="23" t="s">
        <v>82</v>
      </c>
      <c r="O1109" s="24">
        <v>5</v>
      </c>
      <c r="P1109" s="24">
        <v>23</v>
      </c>
      <c r="Q1109" s="23" t="s">
        <v>66</v>
      </c>
      <c r="R1109" s="63"/>
      <c r="S1109" s="64"/>
    </row>
    <row r="1110" spans="2:19" ht="15.75" thickBot="1" x14ac:dyDescent="0.3">
      <c r="B1110" s="182"/>
      <c r="C1110" s="179"/>
      <c r="D1110" s="23" t="s">
        <v>83</v>
      </c>
      <c r="E1110" s="24">
        <v>6</v>
      </c>
      <c r="F1110" s="24">
        <v>24</v>
      </c>
      <c r="G1110" s="23" t="s">
        <v>66</v>
      </c>
      <c r="H1110" s="63"/>
      <c r="I1110" s="64"/>
      <c r="L1110" s="182"/>
      <c r="M1110" s="179"/>
      <c r="N1110" s="23" t="s">
        <v>83</v>
      </c>
      <c r="O1110" s="24">
        <v>6</v>
      </c>
      <c r="P1110" s="24">
        <v>24</v>
      </c>
      <c r="Q1110" s="23" t="s">
        <v>66</v>
      </c>
      <c r="R1110" s="63"/>
      <c r="S1110" s="64"/>
    </row>
    <row r="1111" spans="2:19" x14ac:dyDescent="0.25">
      <c r="B1111" s="189" t="s">
        <v>80</v>
      </c>
      <c r="C1111" s="192" t="s">
        <v>77</v>
      </c>
      <c r="D1111" s="27" t="s">
        <v>2</v>
      </c>
      <c r="E1111" s="28">
        <v>1</v>
      </c>
      <c r="F1111" s="28">
        <v>25</v>
      </c>
      <c r="G1111" s="27" t="s">
        <v>66</v>
      </c>
      <c r="H1111" s="27"/>
      <c r="I1111" s="48"/>
      <c r="L1111" s="189" t="s">
        <v>80</v>
      </c>
      <c r="M1111" s="192" t="s">
        <v>77</v>
      </c>
      <c r="N1111" s="27" t="s">
        <v>2</v>
      </c>
      <c r="O1111" s="28">
        <v>1</v>
      </c>
      <c r="P1111" s="28">
        <v>25</v>
      </c>
      <c r="Q1111" s="27" t="s">
        <v>66</v>
      </c>
      <c r="R1111" s="27"/>
      <c r="S1111" s="48"/>
    </row>
    <row r="1112" spans="2:19" x14ac:dyDescent="0.25">
      <c r="B1112" s="190"/>
      <c r="C1112" s="193"/>
      <c r="D1112" s="27" t="s">
        <v>3</v>
      </c>
      <c r="E1112" s="28">
        <v>2</v>
      </c>
      <c r="F1112" s="28">
        <v>26</v>
      </c>
      <c r="G1112" s="27" t="s">
        <v>66</v>
      </c>
      <c r="H1112" s="27"/>
      <c r="I1112" s="48"/>
      <c r="L1112" s="190"/>
      <c r="M1112" s="193"/>
      <c r="N1112" s="27" t="s">
        <v>3</v>
      </c>
      <c r="O1112" s="28">
        <v>2</v>
      </c>
      <c r="P1112" s="28">
        <v>26</v>
      </c>
      <c r="Q1112" s="27" t="s">
        <v>66</v>
      </c>
      <c r="R1112" s="27"/>
      <c r="S1112" s="48"/>
    </row>
    <row r="1113" spans="2:19" x14ac:dyDescent="0.25">
      <c r="B1113" s="190"/>
      <c r="C1113" s="193"/>
      <c r="D1113" s="27" t="s">
        <v>80</v>
      </c>
      <c r="E1113" s="28">
        <v>3</v>
      </c>
      <c r="F1113" s="28">
        <v>27</v>
      </c>
      <c r="G1113" s="27" t="s">
        <v>66</v>
      </c>
      <c r="H1113" s="27"/>
      <c r="I1113" s="48"/>
      <c r="L1113" s="190"/>
      <c r="M1113" s="193"/>
      <c r="N1113" s="27" t="s">
        <v>80</v>
      </c>
      <c r="O1113" s="28">
        <v>3</v>
      </c>
      <c r="P1113" s="28">
        <v>27</v>
      </c>
      <c r="Q1113" s="27" t="s">
        <v>66</v>
      </c>
      <c r="R1113" s="27"/>
      <c r="S1113" s="48"/>
    </row>
    <row r="1114" spans="2:19" x14ac:dyDescent="0.25">
      <c r="B1114" s="190"/>
      <c r="C1114" s="193"/>
      <c r="D1114" s="27" t="s">
        <v>81</v>
      </c>
      <c r="E1114" s="28">
        <v>4</v>
      </c>
      <c r="F1114" s="28">
        <v>28</v>
      </c>
      <c r="G1114" s="27" t="s">
        <v>66</v>
      </c>
      <c r="H1114" s="27"/>
      <c r="I1114" s="48"/>
      <c r="L1114" s="190"/>
      <c r="M1114" s="193"/>
      <c r="N1114" s="27" t="s">
        <v>81</v>
      </c>
      <c r="O1114" s="28">
        <v>4</v>
      </c>
      <c r="P1114" s="28">
        <v>28</v>
      </c>
      <c r="Q1114" s="27" t="s">
        <v>66</v>
      </c>
      <c r="R1114" s="27"/>
      <c r="S1114" s="48"/>
    </row>
    <row r="1115" spans="2:19" x14ac:dyDescent="0.25">
      <c r="B1115" s="190"/>
      <c r="C1115" s="193"/>
      <c r="D1115" s="27" t="s">
        <v>82</v>
      </c>
      <c r="E1115" s="28">
        <v>5</v>
      </c>
      <c r="F1115" s="28">
        <v>29</v>
      </c>
      <c r="G1115" s="27" t="s">
        <v>66</v>
      </c>
      <c r="H1115" s="27"/>
      <c r="I1115" s="48"/>
      <c r="L1115" s="190"/>
      <c r="M1115" s="193"/>
      <c r="N1115" s="27" t="s">
        <v>82</v>
      </c>
      <c r="O1115" s="28">
        <v>5</v>
      </c>
      <c r="P1115" s="28">
        <v>29</v>
      </c>
      <c r="Q1115" s="27" t="s">
        <v>66</v>
      </c>
      <c r="R1115" s="27"/>
      <c r="S1115" s="48"/>
    </row>
    <row r="1116" spans="2:19" ht="15.75" thickBot="1" x14ac:dyDescent="0.3">
      <c r="B1116" s="190"/>
      <c r="C1116" s="194"/>
      <c r="D1116" s="27" t="s">
        <v>83</v>
      </c>
      <c r="E1116" s="28">
        <v>6</v>
      </c>
      <c r="F1116" s="28">
        <v>30</v>
      </c>
      <c r="G1116" s="27" t="s">
        <v>66</v>
      </c>
      <c r="H1116" s="27"/>
      <c r="I1116" s="48"/>
      <c r="L1116" s="190"/>
      <c r="M1116" s="194"/>
      <c r="N1116" s="27" t="s">
        <v>83</v>
      </c>
      <c r="O1116" s="28">
        <v>6</v>
      </c>
      <c r="P1116" s="28">
        <v>30</v>
      </c>
      <c r="Q1116" s="27" t="s">
        <v>66</v>
      </c>
      <c r="R1116" s="27"/>
      <c r="S1116" s="48"/>
    </row>
    <row r="1117" spans="2:19" x14ac:dyDescent="0.25">
      <c r="B1117" s="190"/>
      <c r="C1117" s="192" t="s">
        <v>84</v>
      </c>
      <c r="D1117" s="27" t="s">
        <v>2</v>
      </c>
      <c r="E1117" s="28">
        <v>1</v>
      </c>
      <c r="F1117" s="28">
        <v>31</v>
      </c>
      <c r="G1117" s="27" t="s">
        <v>66</v>
      </c>
      <c r="H1117" s="27"/>
      <c r="I1117" s="48"/>
      <c r="L1117" s="190"/>
      <c r="M1117" s="192" t="s">
        <v>84</v>
      </c>
      <c r="N1117" s="27" t="s">
        <v>2</v>
      </c>
      <c r="O1117" s="28">
        <v>1</v>
      </c>
      <c r="P1117" s="28">
        <v>31</v>
      </c>
      <c r="Q1117" s="27" t="s">
        <v>66</v>
      </c>
      <c r="R1117" s="27"/>
      <c r="S1117" s="48"/>
    </row>
    <row r="1118" spans="2:19" x14ac:dyDescent="0.25">
      <c r="B1118" s="190"/>
      <c r="C1118" s="193"/>
      <c r="D1118" s="27" t="s">
        <v>3</v>
      </c>
      <c r="E1118" s="28">
        <v>2</v>
      </c>
      <c r="F1118" s="28">
        <v>32</v>
      </c>
      <c r="G1118" s="27" t="s">
        <v>66</v>
      </c>
      <c r="H1118" s="27"/>
      <c r="I1118" s="48"/>
      <c r="L1118" s="190"/>
      <c r="M1118" s="193"/>
      <c r="N1118" s="27" t="s">
        <v>3</v>
      </c>
      <c r="O1118" s="28">
        <v>2</v>
      </c>
      <c r="P1118" s="28">
        <v>32</v>
      </c>
      <c r="Q1118" s="27" t="s">
        <v>66</v>
      </c>
      <c r="R1118" s="27"/>
      <c r="S1118" s="48"/>
    </row>
    <row r="1119" spans="2:19" x14ac:dyDescent="0.25">
      <c r="B1119" s="190"/>
      <c r="C1119" s="193"/>
      <c r="D1119" s="27" t="s">
        <v>80</v>
      </c>
      <c r="E1119" s="28">
        <v>3</v>
      </c>
      <c r="F1119" s="28">
        <v>33</v>
      </c>
      <c r="G1119" s="27" t="s">
        <v>66</v>
      </c>
      <c r="H1119" s="27"/>
      <c r="I1119" s="48"/>
      <c r="L1119" s="190"/>
      <c r="M1119" s="193"/>
      <c r="N1119" s="27" t="s">
        <v>80</v>
      </c>
      <c r="O1119" s="28">
        <v>3</v>
      </c>
      <c r="P1119" s="28">
        <v>33</v>
      </c>
      <c r="Q1119" s="27" t="s">
        <v>66</v>
      </c>
      <c r="R1119" s="27"/>
      <c r="S1119" s="48"/>
    </row>
    <row r="1120" spans="2:19" x14ac:dyDescent="0.25">
      <c r="B1120" s="190"/>
      <c r="C1120" s="193"/>
      <c r="D1120" s="27" t="s">
        <v>81</v>
      </c>
      <c r="E1120" s="28">
        <v>4</v>
      </c>
      <c r="F1120" s="28">
        <v>34</v>
      </c>
      <c r="G1120" s="27" t="s">
        <v>66</v>
      </c>
      <c r="H1120" s="27"/>
      <c r="I1120" s="48"/>
      <c r="L1120" s="190"/>
      <c r="M1120" s="193"/>
      <c r="N1120" s="27" t="s">
        <v>81</v>
      </c>
      <c r="O1120" s="28">
        <v>4</v>
      </c>
      <c r="P1120" s="28">
        <v>34</v>
      </c>
      <c r="Q1120" s="27" t="s">
        <v>66</v>
      </c>
      <c r="R1120" s="27"/>
      <c r="S1120" s="48"/>
    </row>
    <row r="1121" spans="2:19" x14ac:dyDescent="0.25">
      <c r="B1121" s="190"/>
      <c r="C1121" s="193"/>
      <c r="D1121" s="27" t="s">
        <v>82</v>
      </c>
      <c r="E1121" s="28">
        <v>5</v>
      </c>
      <c r="F1121" s="28">
        <v>35</v>
      </c>
      <c r="G1121" s="27" t="s">
        <v>66</v>
      </c>
      <c r="H1121" s="27"/>
      <c r="I1121" s="48"/>
      <c r="L1121" s="190"/>
      <c r="M1121" s="193"/>
      <c r="N1121" s="27" t="s">
        <v>82</v>
      </c>
      <c r="O1121" s="28">
        <v>5</v>
      </c>
      <c r="P1121" s="28">
        <v>35</v>
      </c>
      <c r="Q1121" s="27" t="s">
        <v>66</v>
      </c>
      <c r="R1121" s="27"/>
      <c r="S1121" s="48"/>
    </row>
    <row r="1122" spans="2:19" ht="15.75" thickBot="1" x14ac:dyDescent="0.3">
      <c r="B1122" s="191"/>
      <c r="C1122" s="194"/>
      <c r="D1122" s="27" t="s">
        <v>83</v>
      </c>
      <c r="E1122" s="28">
        <v>6</v>
      </c>
      <c r="F1122" s="28">
        <v>36</v>
      </c>
      <c r="G1122" s="27" t="s">
        <v>66</v>
      </c>
      <c r="H1122" s="27"/>
      <c r="I1122" s="48"/>
      <c r="L1122" s="191"/>
      <c r="M1122" s="194"/>
      <c r="N1122" s="27" t="s">
        <v>83</v>
      </c>
      <c r="O1122" s="28">
        <v>6</v>
      </c>
      <c r="P1122" s="28">
        <v>36</v>
      </c>
      <c r="Q1122" s="27" t="s">
        <v>66</v>
      </c>
      <c r="R1122" s="27"/>
      <c r="S1122" s="48"/>
    </row>
    <row r="1123" spans="2:19" x14ac:dyDescent="0.25">
      <c r="B1123" s="183" t="s">
        <v>81</v>
      </c>
      <c r="C1123" s="186" t="s">
        <v>77</v>
      </c>
      <c r="D1123" s="29" t="s">
        <v>2</v>
      </c>
      <c r="E1123" s="30">
        <v>1</v>
      </c>
      <c r="F1123" s="30">
        <v>37</v>
      </c>
      <c r="G1123" s="29" t="s">
        <v>66</v>
      </c>
      <c r="H1123" s="29"/>
      <c r="I1123" s="49"/>
      <c r="L1123" s="183" t="s">
        <v>81</v>
      </c>
      <c r="M1123" s="186" t="s">
        <v>77</v>
      </c>
      <c r="N1123" s="29" t="s">
        <v>2</v>
      </c>
      <c r="O1123" s="30">
        <v>1</v>
      </c>
      <c r="P1123" s="30">
        <v>37</v>
      </c>
      <c r="Q1123" s="29" t="s">
        <v>66</v>
      </c>
      <c r="R1123" s="29"/>
      <c r="S1123" s="49"/>
    </row>
    <row r="1124" spans="2:19" x14ac:dyDescent="0.25">
      <c r="B1124" s="184"/>
      <c r="C1124" s="187"/>
      <c r="D1124" s="29" t="s">
        <v>3</v>
      </c>
      <c r="E1124" s="30">
        <v>2</v>
      </c>
      <c r="F1124" s="30">
        <v>38</v>
      </c>
      <c r="G1124" s="29" t="s">
        <v>66</v>
      </c>
      <c r="H1124" s="29"/>
      <c r="I1124" s="49"/>
      <c r="L1124" s="184"/>
      <c r="M1124" s="187"/>
      <c r="N1124" s="29" t="s">
        <v>3</v>
      </c>
      <c r="O1124" s="30">
        <v>2</v>
      </c>
      <c r="P1124" s="30">
        <v>38</v>
      </c>
      <c r="Q1124" s="29" t="s">
        <v>66</v>
      </c>
      <c r="R1124" s="29"/>
      <c r="S1124" s="49"/>
    </row>
    <row r="1125" spans="2:19" x14ac:dyDescent="0.25">
      <c r="B1125" s="184"/>
      <c r="C1125" s="187"/>
      <c r="D1125" s="29" t="s">
        <v>80</v>
      </c>
      <c r="E1125" s="30">
        <v>3</v>
      </c>
      <c r="F1125" s="30">
        <v>39</v>
      </c>
      <c r="G1125" s="29" t="s">
        <v>66</v>
      </c>
      <c r="H1125" s="29"/>
      <c r="I1125" s="49"/>
      <c r="L1125" s="184"/>
      <c r="M1125" s="187"/>
      <c r="N1125" s="29" t="s">
        <v>80</v>
      </c>
      <c r="O1125" s="30">
        <v>3</v>
      </c>
      <c r="P1125" s="30">
        <v>39</v>
      </c>
      <c r="Q1125" s="29" t="s">
        <v>66</v>
      </c>
      <c r="R1125" s="29"/>
      <c r="S1125" s="49"/>
    </row>
    <row r="1126" spans="2:19" x14ac:dyDescent="0.25">
      <c r="B1126" s="184"/>
      <c r="C1126" s="187"/>
      <c r="D1126" s="29" t="s">
        <v>81</v>
      </c>
      <c r="E1126" s="30">
        <v>4</v>
      </c>
      <c r="F1126" s="30">
        <v>40</v>
      </c>
      <c r="G1126" s="29" t="s">
        <v>66</v>
      </c>
      <c r="H1126" s="29"/>
      <c r="I1126" s="49"/>
      <c r="L1126" s="184"/>
      <c r="M1126" s="187"/>
      <c r="N1126" s="29" t="s">
        <v>81</v>
      </c>
      <c r="O1126" s="30">
        <v>4</v>
      </c>
      <c r="P1126" s="30">
        <v>40</v>
      </c>
      <c r="Q1126" s="29" t="s">
        <v>66</v>
      </c>
      <c r="R1126" s="29"/>
      <c r="S1126" s="49"/>
    </row>
    <row r="1127" spans="2:19" x14ac:dyDescent="0.25">
      <c r="B1127" s="184"/>
      <c r="C1127" s="187"/>
      <c r="D1127" s="29" t="s">
        <v>82</v>
      </c>
      <c r="E1127" s="30">
        <v>5</v>
      </c>
      <c r="F1127" s="30">
        <v>41</v>
      </c>
      <c r="G1127" s="29" t="s">
        <v>66</v>
      </c>
      <c r="H1127" s="29"/>
      <c r="I1127" s="49"/>
      <c r="L1127" s="184"/>
      <c r="M1127" s="187"/>
      <c r="N1127" s="29" t="s">
        <v>82</v>
      </c>
      <c r="O1127" s="30">
        <v>5</v>
      </c>
      <c r="P1127" s="30">
        <v>41</v>
      </c>
      <c r="Q1127" s="29" t="s">
        <v>66</v>
      </c>
      <c r="R1127" s="29"/>
      <c r="S1127" s="49"/>
    </row>
    <row r="1128" spans="2:19" ht="15.75" thickBot="1" x14ac:dyDescent="0.3">
      <c r="B1128" s="184"/>
      <c r="C1128" s="188"/>
      <c r="D1128" s="29" t="s">
        <v>83</v>
      </c>
      <c r="E1128" s="30">
        <v>6</v>
      </c>
      <c r="F1128" s="30">
        <v>42</v>
      </c>
      <c r="G1128" s="29" t="s">
        <v>66</v>
      </c>
      <c r="H1128" s="29"/>
      <c r="I1128" s="49"/>
      <c r="L1128" s="184"/>
      <c r="M1128" s="188"/>
      <c r="N1128" s="29" t="s">
        <v>83</v>
      </c>
      <c r="O1128" s="30">
        <v>6</v>
      </c>
      <c r="P1128" s="30">
        <v>42</v>
      </c>
      <c r="Q1128" s="29" t="s">
        <v>66</v>
      </c>
      <c r="R1128" s="29"/>
      <c r="S1128" s="49"/>
    </row>
    <row r="1129" spans="2:19" x14ac:dyDescent="0.25">
      <c r="B1129" s="184"/>
      <c r="C1129" s="186" t="s">
        <v>84</v>
      </c>
      <c r="D1129" s="29" t="s">
        <v>2</v>
      </c>
      <c r="E1129" s="30">
        <v>1</v>
      </c>
      <c r="F1129" s="30">
        <v>43</v>
      </c>
      <c r="G1129" s="29" t="s">
        <v>66</v>
      </c>
      <c r="H1129" s="29"/>
      <c r="I1129" s="49"/>
      <c r="L1129" s="184"/>
      <c r="M1129" s="186" t="s">
        <v>84</v>
      </c>
      <c r="N1129" s="29" t="s">
        <v>2</v>
      </c>
      <c r="O1129" s="30">
        <v>1</v>
      </c>
      <c r="P1129" s="30">
        <v>43</v>
      </c>
      <c r="Q1129" s="29" t="s">
        <v>66</v>
      </c>
      <c r="R1129" s="29"/>
      <c r="S1129" s="49"/>
    </row>
    <row r="1130" spans="2:19" x14ac:dyDescent="0.25">
      <c r="B1130" s="184"/>
      <c r="C1130" s="187"/>
      <c r="D1130" s="29" t="s">
        <v>3</v>
      </c>
      <c r="E1130" s="30">
        <v>2</v>
      </c>
      <c r="F1130" s="30">
        <v>44</v>
      </c>
      <c r="G1130" s="29" t="s">
        <v>66</v>
      </c>
      <c r="H1130" s="29"/>
      <c r="I1130" s="49"/>
      <c r="L1130" s="184"/>
      <c r="M1130" s="187"/>
      <c r="N1130" s="29" t="s">
        <v>3</v>
      </c>
      <c r="O1130" s="30">
        <v>2</v>
      </c>
      <c r="P1130" s="30">
        <v>44</v>
      </c>
      <c r="Q1130" s="29" t="s">
        <v>66</v>
      </c>
      <c r="R1130" s="29"/>
      <c r="S1130" s="49"/>
    </row>
    <row r="1131" spans="2:19" x14ac:dyDescent="0.25">
      <c r="B1131" s="184"/>
      <c r="C1131" s="187"/>
      <c r="D1131" s="29" t="s">
        <v>80</v>
      </c>
      <c r="E1131" s="30">
        <v>3</v>
      </c>
      <c r="F1131" s="30">
        <v>45</v>
      </c>
      <c r="G1131" s="29" t="s">
        <v>66</v>
      </c>
      <c r="H1131" s="29"/>
      <c r="I1131" s="49"/>
      <c r="L1131" s="184"/>
      <c r="M1131" s="187"/>
      <c r="N1131" s="29" t="s">
        <v>80</v>
      </c>
      <c r="O1131" s="30">
        <v>3</v>
      </c>
      <c r="P1131" s="30">
        <v>45</v>
      </c>
      <c r="Q1131" s="29" t="s">
        <v>66</v>
      </c>
      <c r="R1131" s="29"/>
      <c r="S1131" s="49"/>
    </row>
    <row r="1132" spans="2:19" x14ac:dyDescent="0.25">
      <c r="B1132" s="184"/>
      <c r="C1132" s="187"/>
      <c r="D1132" s="29" t="s">
        <v>81</v>
      </c>
      <c r="E1132" s="30">
        <v>4</v>
      </c>
      <c r="F1132" s="30">
        <v>46</v>
      </c>
      <c r="G1132" s="29" t="s">
        <v>66</v>
      </c>
      <c r="H1132" s="29"/>
      <c r="I1132" s="49"/>
      <c r="L1132" s="184"/>
      <c r="M1132" s="187"/>
      <c r="N1132" s="29" t="s">
        <v>81</v>
      </c>
      <c r="O1132" s="30">
        <v>4</v>
      </c>
      <c r="P1132" s="30">
        <v>46</v>
      </c>
      <c r="Q1132" s="29" t="s">
        <v>66</v>
      </c>
      <c r="R1132" s="29"/>
      <c r="S1132" s="49"/>
    </row>
    <row r="1133" spans="2:19" x14ac:dyDescent="0.25">
      <c r="B1133" s="184"/>
      <c r="C1133" s="187"/>
      <c r="D1133" s="29" t="s">
        <v>82</v>
      </c>
      <c r="E1133" s="30">
        <v>5</v>
      </c>
      <c r="F1133" s="30">
        <v>47</v>
      </c>
      <c r="G1133" s="29" t="s">
        <v>66</v>
      </c>
      <c r="H1133" s="29"/>
      <c r="I1133" s="49"/>
      <c r="L1133" s="184"/>
      <c r="M1133" s="187"/>
      <c r="N1133" s="29" t="s">
        <v>82</v>
      </c>
      <c r="O1133" s="30">
        <v>5</v>
      </c>
      <c r="P1133" s="30">
        <v>47</v>
      </c>
      <c r="Q1133" s="29" t="s">
        <v>66</v>
      </c>
      <c r="R1133" s="29"/>
      <c r="S1133" s="49"/>
    </row>
    <row r="1134" spans="2:19" ht="15.75" thickBot="1" x14ac:dyDescent="0.3">
      <c r="B1134" s="185"/>
      <c r="C1134" s="188"/>
      <c r="D1134" s="29" t="s">
        <v>83</v>
      </c>
      <c r="E1134" s="30">
        <v>6</v>
      </c>
      <c r="F1134" s="30">
        <v>48</v>
      </c>
      <c r="G1134" s="29" t="s">
        <v>66</v>
      </c>
      <c r="H1134" s="29"/>
      <c r="I1134" s="49"/>
      <c r="L1134" s="185"/>
      <c r="M1134" s="188"/>
      <c r="N1134" s="29" t="s">
        <v>83</v>
      </c>
      <c r="O1134" s="30">
        <v>6</v>
      </c>
      <c r="P1134" s="30">
        <v>48</v>
      </c>
      <c r="Q1134" s="29" t="s">
        <v>66</v>
      </c>
      <c r="R1134" s="29"/>
      <c r="S1134" s="49"/>
    </row>
    <row r="1135" spans="2:19" ht="15.75" thickBot="1" x14ac:dyDescent="0.3"/>
    <row r="1136" spans="2:19" ht="15.75" thickBot="1" x14ac:dyDescent="0.3">
      <c r="B1136" s="171" t="s">
        <v>294</v>
      </c>
      <c r="C1136" s="172"/>
      <c r="D1136" s="172"/>
      <c r="E1136" s="172"/>
      <c r="F1136" s="172"/>
      <c r="G1136" s="172"/>
      <c r="H1136" s="172"/>
      <c r="I1136" s="173"/>
      <c r="L1136" s="171" t="s">
        <v>295</v>
      </c>
      <c r="M1136" s="172"/>
      <c r="N1136" s="172"/>
      <c r="O1136" s="172"/>
      <c r="P1136" s="172"/>
      <c r="Q1136" s="172"/>
      <c r="R1136" s="172"/>
      <c r="S1136" s="173"/>
    </row>
    <row r="1138" spans="2:19" ht="26.25" thickBot="1" x14ac:dyDescent="0.3">
      <c r="B1138" s="15" t="s">
        <v>70</v>
      </c>
      <c r="C1138" s="16" t="s">
        <v>71</v>
      </c>
      <c r="D1138" s="15" t="s">
        <v>72</v>
      </c>
      <c r="E1138" s="17" t="s">
        <v>73</v>
      </c>
      <c r="F1138" s="17" t="s">
        <v>74</v>
      </c>
      <c r="G1138" s="15" t="s">
        <v>75</v>
      </c>
      <c r="H1138" s="15" t="s">
        <v>55</v>
      </c>
      <c r="I1138" s="15" t="s">
        <v>76</v>
      </c>
      <c r="L1138" s="15" t="s">
        <v>70</v>
      </c>
      <c r="M1138" s="16" t="s">
        <v>71</v>
      </c>
      <c r="N1138" s="15" t="s">
        <v>72</v>
      </c>
      <c r="O1138" s="17" t="s">
        <v>73</v>
      </c>
      <c r="P1138" s="17" t="s">
        <v>74</v>
      </c>
      <c r="Q1138" s="15" t="s">
        <v>75</v>
      </c>
      <c r="R1138" s="15" t="s">
        <v>55</v>
      </c>
      <c r="S1138" s="15" t="s">
        <v>76</v>
      </c>
    </row>
    <row r="1139" spans="2:19" ht="15" customHeight="1" x14ac:dyDescent="0.25">
      <c r="B1139" s="174" t="s">
        <v>2</v>
      </c>
      <c r="C1139" s="168" t="s">
        <v>77</v>
      </c>
      <c r="D1139" s="18" t="s">
        <v>2</v>
      </c>
      <c r="E1139" s="19">
        <v>1</v>
      </c>
      <c r="F1139" s="19">
        <v>1</v>
      </c>
      <c r="G1139" s="18" t="s">
        <v>78</v>
      </c>
      <c r="H1139" s="156" t="s">
        <v>153</v>
      </c>
      <c r="I1139" s="156" t="s">
        <v>229</v>
      </c>
      <c r="L1139" s="174" t="s">
        <v>2</v>
      </c>
      <c r="M1139" s="168" t="s">
        <v>77</v>
      </c>
      <c r="N1139" s="18" t="s">
        <v>2</v>
      </c>
      <c r="O1139" s="19">
        <v>1</v>
      </c>
      <c r="P1139" s="19">
        <v>1</v>
      </c>
      <c r="Q1139" s="18" t="s">
        <v>78</v>
      </c>
      <c r="R1139" s="156" t="s">
        <v>153</v>
      </c>
      <c r="S1139" s="156" t="s">
        <v>166</v>
      </c>
    </row>
    <row r="1140" spans="2:19" x14ac:dyDescent="0.25">
      <c r="B1140" s="175"/>
      <c r="C1140" s="169"/>
      <c r="D1140" s="18" t="s">
        <v>3</v>
      </c>
      <c r="E1140" s="19">
        <v>2</v>
      </c>
      <c r="F1140" s="19">
        <v>2</v>
      </c>
      <c r="G1140" s="18" t="s">
        <v>78</v>
      </c>
      <c r="H1140" s="157"/>
      <c r="I1140" s="157"/>
      <c r="L1140" s="175"/>
      <c r="M1140" s="169"/>
      <c r="N1140" s="18" t="s">
        <v>3</v>
      </c>
      <c r="O1140" s="19">
        <v>2</v>
      </c>
      <c r="P1140" s="19">
        <v>2</v>
      </c>
      <c r="Q1140" s="18" t="s">
        <v>78</v>
      </c>
      <c r="R1140" s="157"/>
      <c r="S1140" s="157"/>
    </row>
    <row r="1141" spans="2:19" x14ac:dyDescent="0.25">
      <c r="B1141" s="175"/>
      <c r="C1141" s="169"/>
      <c r="D1141" s="18" t="s">
        <v>80</v>
      </c>
      <c r="E1141" s="20">
        <v>3</v>
      </c>
      <c r="F1141" s="20">
        <v>3</v>
      </c>
      <c r="G1141" s="18" t="s">
        <v>66</v>
      </c>
      <c r="H1141" s="157"/>
      <c r="I1141" s="157"/>
      <c r="L1141" s="175"/>
      <c r="M1141" s="169"/>
      <c r="N1141" s="18" t="s">
        <v>80</v>
      </c>
      <c r="O1141" s="20">
        <v>3</v>
      </c>
      <c r="P1141" s="20">
        <v>3</v>
      </c>
      <c r="Q1141" s="18" t="s">
        <v>66</v>
      </c>
      <c r="R1141" s="157"/>
      <c r="S1141" s="157"/>
    </row>
    <row r="1142" spans="2:19" x14ac:dyDescent="0.25">
      <c r="B1142" s="175"/>
      <c r="C1142" s="169"/>
      <c r="D1142" s="18" t="s">
        <v>81</v>
      </c>
      <c r="E1142" s="20">
        <v>4</v>
      </c>
      <c r="F1142" s="20">
        <v>4</v>
      </c>
      <c r="G1142" s="18" t="s">
        <v>66</v>
      </c>
      <c r="H1142" s="157"/>
      <c r="I1142" s="157"/>
      <c r="L1142" s="175"/>
      <c r="M1142" s="169"/>
      <c r="N1142" s="18" t="s">
        <v>81</v>
      </c>
      <c r="O1142" s="20">
        <v>4</v>
      </c>
      <c r="P1142" s="20">
        <v>4</v>
      </c>
      <c r="Q1142" s="18" t="s">
        <v>66</v>
      </c>
      <c r="R1142" s="157"/>
      <c r="S1142" s="157"/>
    </row>
    <row r="1143" spans="2:19" x14ac:dyDescent="0.25">
      <c r="B1143" s="175"/>
      <c r="C1143" s="169"/>
      <c r="D1143" s="18" t="s">
        <v>82</v>
      </c>
      <c r="E1143" s="20">
        <v>5</v>
      </c>
      <c r="F1143" s="20">
        <v>5</v>
      </c>
      <c r="G1143" s="18" t="s">
        <v>66</v>
      </c>
      <c r="H1143" s="157"/>
      <c r="I1143" s="157"/>
      <c r="L1143" s="175"/>
      <c r="M1143" s="169"/>
      <c r="N1143" s="18" t="s">
        <v>82</v>
      </c>
      <c r="O1143" s="20">
        <v>5</v>
      </c>
      <c r="P1143" s="20">
        <v>5</v>
      </c>
      <c r="Q1143" s="18" t="s">
        <v>66</v>
      </c>
      <c r="R1143" s="157"/>
      <c r="S1143" s="157"/>
    </row>
    <row r="1144" spans="2:19" ht="15.75" thickBot="1" x14ac:dyDescent="0.3">
      <c r="B1144" s="175"/>
      <c r="C1144" s="170"/>
      <c r="D1144" s="18" t="s">
        <v>83</v>
      </c>
      <c r="E1144" s="20">
        <v>6</v>
      </c>
      <c r="F1144" s="20">
        <v>6</v>
      </c>
      <c r="G1144" s="18" t="s">
        <v>66</v>
      </c>
      <c r="H1144" s="158"/>
      <c r="I1144" s="158"/>
      <c r="L1144" s="175"/>
      <c r="M1144" s="170"/>
      <c r="N1144" s="18" t="s">
        <v>83</v>
      </c>
      <c r="O1144" s="20">
        <v>6</v>
      </c>
      <c r="P1144" s="20">
        <v>6</v>
      </c>
      <c r="Q1144" s="18" t="s">
        <v>66</v>
      </c>
      <c r="R1144" s="158"/>
      <c r="S1144" s="158"/>
    </row>
    <row r="1145" spans="2:19" x14ac:dyDescent="0.25">
      <c r="B1145" s="175"/>
      <c r="C1145" s="168" t="s">
        <v>84</v>
      </c>
      <c r="D1145" s="18" t="s">
        <v>2</v>
      </c>
      <c r="E1145" s="19">
        <v>1</v>
      </c>
      <c r="F1145" s="19">
        <v>7</v>
      </c>
      <c r="G1145" s="18" t="s">
        <v>66</v>
      </c>
      <c r="H1145" s="32"/>
      <c r="I1145" s="50"/>
      <c r="L1145" s="175"/>
      <c r="M1145" s="168" t="s">
        <v>84</v>
      </c>
      <c r="N1145" s="18" t="s">
        <v>2</v>
      </c>
      <c r="O1145" s="19">
        <v>1</v>
      </c>
      <c r="P1145" s="19">
        <v>7</v>
      </c>
      <c r="Q1145" s="18" t="s">
        <v>66</v>
      </c>
      <c r="R1145" s="32"/>
      <c r="S1145" s="50"/>
    </row>
    <row r="1146" spans="2:19" x14ac:dyDescent="0.25">
      <c r="B1146" s="175"/>
      <c r="C1146" s="169"/>
      <c r="D1146" s="18" t="s">
        <v>3</v>
      </c>
      <c r="E1146" s="19">
        <v>2</v>
      </c>
      <c r="F1146" s="19">
        <v>8</v>
      </c>
      <c r="G1146" s="18" t="s">
        <v>66</v>
      </c>
      <c r="H1146" s="32"/>
      <c r="I1146" s="50"/>
      <c r="L1146" s="175"/>
      <c r="M1146" s="169"/>
      <c r="N1146" s="18" t="s">
        <v>3</v>
      </c>
      <c r="O1146" s="19">
        <v>2</v>
      </c>
      <c r="P1146" s="19">
        <v>8</v>
      </c>
      <c r="Q1146" s="18" t="s">
        <v>66</v>
      </c>
      <c r="R1146" s="32"/>
      <c r="S1146" s="50"/>
    </row>
    <row r="1147" spans="2:19" x14ac:dyDescent="0.25">
      <c r="B1147" s="175"/>
      <c r="C1147" s="169"/>
      <c r="D1147" s="18" t="s">
        <v>80</v>
      </c>
      <c r="E1147" s="20">
        <v>3</v>
      </c>
      <c r="F1147" s="20">
        <v>9</v>
      </c>
      <c r="G1147" s="18" t="s">
        <v>66</v>
      </c>
      <c r="H1147" s="32"/>
      <c r="I1147" s="50"/>
      <c r="L1147" s="175"/>
      <c r="M1147" s="169"/>
      <c r="N1147" s="18" t="s">
        <v>80</v>
      </c>
      <c r="O1147" s="20">
        <v>3</v>
      </c>
      <c r="P1147" s="20">
        <v>9</v>
      </c>
      <c r="Q1147" s="18" t="s">
        <v>66</v>
      </c>
      <c r="R1147" s="32"/>
      <c r="S1147" s="50"/>
    </row>
    <row r="1148" spans="2:19" x14ac:dyDescent="0.25">
      <c r="B1148" s="175"/>
      <c r="C1148" s="169"/>
      <c r="D1148" s="18" t="s">
        <v>81</v>
      </c>
      <c r="E1148" s="20">
        <v>4</v>
      </c>
      <c r="F1148" s="20">
        <v>10</v>
      </c>
      <c r="G1148" s="18" t="s">
        <v>66</v>
      </c>
      <c r="H1148" s="32"/>
      <c r="I1148" s="50"/>
      <c r="L1148" s="175"/>
      <c r="M1148" s="169"/>
      <c r="N1148" s="18" t="s">
        <v>81</v>
      </c>
      <c r="O1148" s="20">
        <v>4</v>
      </c>
      <c r="P1148" s="20">
        <v>10</v>
      </c>
      <c r="Q1148" s="18" t="s">
        <v>66</v>
      </c>
      <c r="R1148" s="32"/>
      <c r="S1148" s="50"/>
    </row>
    <row r="1149" spans="2:19" x14ac:dyDescent="0.25">
      <c r="B1149" s="175"/>
      <c r="C1149" s="169"/>
      <c r="D1149" s="18" t="s">
        <v>82</v>
      </c>
      <c r="E1149" s="20">
        <v>5</v>
      </c>
      <c r="F1149" s="20">
        <v>11</v>
      </c>
      <c r="G1149" s="18" t="s">
        <v>66</v>
      </c>
      <c r="H1149" s="32"/>
      <c r="I1149" s="50"/>
      <c r="L1149" s="175"/>
      <c r="M1149" s="169"/>
      <c r="N1149" s="18" t="s">
        <v>82</v>
      </c>
      <c r="O1149" s="20">
        <v>5</v>
      </c>
      <c r="P1149" s="20">
        <v>11</v>
      </c>
      <c r="Q1149" s="18" t="s">
        <v>66</v>
      </c>
      <c r="R1149" s="32"/>
      <c r="S1149" s="50"/>
    </row>
    <row r="1150" spans="2:19" ht="15.75" thickBot="1" x14ac:dyDescent="0.3">
      <c r="B1150" s="176"/>
      <c r="C1150" s="170"/>
      <c r="D1150" s="18" t="s">
        <v>83</v>
      </c>
      <c r="E1150" s="20">
        <v>6</v>
      </c>
      <c r="F1150" s="20">
        <v>12</v>
      </c>
      <c r="G1150" s="18" t="s">
        <v>66</v>
      </c>
      <c r="H1150" s="32"/>
      <c r="I1150" s="50"/>
      <c r="L1150" s="176"/>
      <c r="M1150" s="170"/>
      <c r="N1150" s="18" t="s">
        <v>83</v>
      </c>
      <c r="O1150" s="20">
        <v>6</v>
      </c>
      <c r="P1150" s="20">
        <v>12</v>
      </c>
      <c r="Q1150" s="18" t="s">
        <v>66</v>
      </c>
      <c r="R1150" s="32"/>
      <c r="S1150" s="50"/>
    </row>
    <row r="1151" spans="2:19" x14ac:dyDescent="0.25">
      <c r="B1151" s="180" t="s">
        <v>3</v>
      </c>
      <c r="C1151" s="177" t="s">
        <v>77</v>
      </c>
      <c r="D1151" s="21" t="s">
        <v>2</v>
      </c>
      <c r="E1151" s="22">
        <v>1</v>
      </c>
      <c r="F1151" s="22">
        <v>13</v>
      </c>
      <c r="G1151" s="21" t="s">
        <v>66</v>
      </c>
      <c r="H1151" s="63"/>
      <c r="I1151" s="64"/>
      <c r="L1151" s="180" t="s">
        <v>3</v>
      </c>
      <c r="M1151" s="177" t="s">
        <v>77</v>
      </c>
      <c r="N1151" s="21" t="s">
        <v>2</v>
      </c>
      <c r="O1151" s="22">
        <v>1</v>
      </c>
      <c r="P1151" s="22">
        <v>13</v>
      </c>
      <c r="Q1151" s="21" t="s">
        <v>66</v>
      </c>
      <c r="R1151" s="63"/>
      <c r="S1151" s="64"/>
    </row>
    <row r="1152" spans="2:19" x14ac:dyDescent="0.25">
      <c r="B1152" s="181"/>
      <c r="C1152" s="178"/>
      <c r="D1152" s="23" t="s">
        <v>3</v>
      </c>
      <c r="E1152" s="24">
        <v>2</v>
      </c>
      <c r="F1152" s="24">
        <v>14</v>
      </c>
      <c r="G1152" s="23" t="s">
        <v>66</v>
      </c>
      <c r="H1152" s="63"/>
      <c r="I1152" s="64"/>
      <c r="L1152" s="181"/>
      <c r="M1152" s="178"/>
      <c r="N1152" s="23" t="s">
        <v>3</v>
      </c>
      <c r="O1152" s="24">
        <v>2</v>
      </c>
      <c r="P1152" s="24">
        <v>14</v>
      </c>
      <c r="Q1152" s="23" t="s">
        <v>66</v>
      </c>
      <c r="R1152" s="63"/>
      <c r="S1152" s="64"/>
    </row>
    <row r="1153" spans="2:19" x14ac:dyDescent="0.25">
      <c r="B1153" s="181"/>
      <c r="C1153" s="178"/>
      <c r="D1153" s="23" t="s">
        <v>80</v>
      </c>
      <c r="E1153" s="24">
        <v>3</v>
      </c>
      <c r="F1153" s="24">
        <v>15</v>
      </c>
      <c r="G1153" s="23" t="s">
        <v>66</v>
      </c>
      <c r="H1153" s="63"/>
      <c r="I1153" s="64"/>
      <c r="L1153" s="181"/>
      <c r="M1153" s="178"/>
      <c r="N1153" s="23" t="s">
        <v>80</v>
      </c>
      <c r="O1153" s="24">
        <v>3</v>
      </c>
      <c r="P1153" s="24">
        <v>15</v>
      </c>
      <c r="Q1153" s="23" t="s">
        <v>66</v>
      </c>
      <c r="R1153" s="63"/>
      <c r="S1153" s="64"/>
    </row>
    <row r="1154" spans="2:19" x14ac:dyDescent="0.25">
      <c r="B1154" s="181"/>
      <c r="C1154" s="178"/>
      <c r="D1154" s="23" t="s">
        <v>81</v>
      </c>
      <c r="E1154" s="24">
        <v>4</v>
      </c>
      <c r="F1154" s="24">
        <v>16</v>
      </c>
      <c r="G1154" s="23" t="s">
        <v>66</v>
      </c>
      <c r="H1154" s="63"/>
      <c r="I1154" s="64"/>
      <c r="L1154" s="181"/>
      <c r="M1154" s="178"/>
      <c r="N1154" s="23" t="s">
        <v>81</v>
      </c>
      <c r="O1154" s="24">
        <v>4</v>
      </c>
      <c r="P1154" s="24">
        <v>16</v>
      </c>
      <c r="Q1154" s="23" t="s">
        <v>66</v>
      </c>
      <c r="R1154" s="63"/>
      <c r="S1154" s="64"/>
    </row>
    <row r="1155" spans="2:19" x14ac:dyDescent="0.25">
      <c r="B1155" s="181"/>
      <c r="C1155" s="178"/>
      <c r="D1155" s="23" t="s">
        <v>82</v>
      </c>
      <c r="E1155" s="24">
        <v>5</v>
      </c>
      <c r="F1155" s="24">
        <v>17</v>
      </c>
      <c r="G1155" s="23" t="s">
        <v>66</v>
      </c>
      <c r="H1155" s="63"/>
      <c r="I1155" s="64"/>
      <c r="L1155" s="181"/>
      <c r="M1155" s="178"/>
      <c r="N1155" s="23" t="s">
        <v>82</v>
      </c>
      <c r="O1155" s="24">
        <v>5</v>
      </c>
      <c r="P1155" s="24">
        <v>17</v>
      </c>
      <c r="Q1155" s="23" t="s">
        <v>66</v>
      </c>
      <c r="R1155" s="63"/>
      <c r="S1155" s="64"/>
    </row>
    <row r="1156" spans="2:19" ht="15.75" thickBot="1" x14ac:dyDescent="0.3">
      <c r="B1156" s="181"/>
      <c r="C1156" s="179"/>
      <c r="D1156" s="23" t="s">
        <v>83</v>
      </c>
      <c r="E1156" s="24">
        <v>6</v>
      </c>
      <c r="F1156" s="24">
        <v>18</v>
      </c>
      <c r="G1156" s="23" t="s">
        <v>66</v>
      </c>
      <c r="H1156" s="63"/>
      <c r="I1156" s="64"/>
      <c r="L1156" s="181"/>
      <c r="M1156" s="179"/>
      <c r="N1156" s="23" t="s">
        <v>83</v>
      </c>
      <c r="O1156" s="24">
        <v>6</v>
      </c>
      <c r="P1156" s="24">
        <v>18</v>
      </c>
      <c r="Q1156" s="23" t="s">
        <v>66</v>
      </c>
      <c r="R1156" s="63"/>
      <c r="S1156" s="64"/>
    </row>
    <row r="1157" spans="2:19" x14ac:dyDescent="0.25">
      <c r="B1157" s="181"/>
      <c r="C1157" s="177" t="s">
        <v>84</v>
      </c>
      <c r="D1157" s="23" t="s">
        <v>2</v>
      </c>
      <c r="E1157" s="24">
        <v>1</v>
      </c>
      <c r="F1157" s="24">
        <v>19</v>
      </c>
      <c r="G1157" s="23" t="s">
        <v>66</v>
      </c>
      <c r="H1157" s="63"/>
      <c r="I1157" s="64"/>
      <c r="L1157" s="181"/>
      <c r="M1157" s="177" t="s">
        <v>84</v>
      </c>
      <c r="N1157" s="23" t="s">
        <v>2</v>
      </c>
      <c r="O1157" s="24">
        <v>1</v>
      </c>
      <c r="P1157" s="24">
        <v>19</v>
      </c>
      <c r="Q1157" s="23" t="s">
        <v>66</v>
      </c>
      <c r="R1157" s="63"/>
      <c r="S1157" s="64"/>
    </row>
    <row r="1158" spans="2:19" x14ac:dyDescent="0.25">
      <c r="B1158" s="181"/>
      <c r="C1158" s="178"/>
      <c r="D1158" s="23" t="s">
        <v>3</v>
      </c>
      <c r="E1158" s="24">
        <v>2</v>
      </c>
      <c r="F1158" s="24">
        <v>20</v>
      </c>
      <c r="G1158" s="23" t="s">
        <v>66</v>
      </c>
      <c r="H1158" s="63"/>
      <c r="I1158" s="64"/>
      <c r="L1158" s="181"/>
      <c r="M1158" s="178"/>
      <c r="N1158" s="23" t="s">
        <v>3</v>
      </c>
      <c r="O1158" s="24">
        <v>2</v>
      </c>
      <c r="P1158" s="24">
        <v>20</v>
      </c>
      <c r="Q1158" s="23" t="s">
        <v>66</v>
      </c>
      <c r="R1158" s="63"/>
      <c r="S1158" s="64"/>
    </row>
    <row r="1159" spans="2:19" x14ac:dyDescent="0.25">
      <c r="B1159" s="181"/>
      <c r="C1159" s="178"/>
      <c r="D1159" s="23" t="s">
        <v>80</v>
      </c>
      <c r="E1159" s="26">
        <v>3</v>
      </c>
      <c r="F1159" s="24">
        <v>21</v>
      </c>
      <c r="G1159" s="23" t="s">
        <v>66</v>
      </c>
      <c r="H1159" s="63"/>
      <c r="I1159" s="64"/>
      <c r="L1159" s="181"/>
      <c r="M1159" s="178"/>
      <c r="N1159" s="23" t="s">
        <v>80</v>
      </c>
      <c r="O1159" s="26">
        <v>3</v>
      </c>
      <c r="P1159" s="24">
        <v>21</v>
      </c>
      <c r="Q1159" s="23" t="s">
        <v>66</v>
      </c>
      <c r="R1159" s="63"/>
      <c r="S1159" s="64"/>
    </row>
    <row r="1160" spans="2:19" x14ac:dyDescent="0.25">
      <c r="B1160" s="181"/>
      <c r="C1160" s="178"/>
      <c r="D1160" s="23" t="s">
        <v>81</v>
      </c>
      <c r="E1160" s="24">
        <v>4</v>
      </c>
      <c r="F1160" s="24">
        <v>22</v>
      </c>
      <c r="G1160" s="23" t="s">
        <v>66</v>
      </c>
      <c r="H1160" s="63"/>
      <c r="I1160" s="64"/>
      <c r="L1160" s="181"/>
      <c r="M1160" s="178"/>
      <c r="N1160" s="23" t="s">
        <v>81</v>
      </c>
      <c r="O1160" s="24">
        <v>4</v>
      </c>
      <c r="P1160" s="24">
        <v>22</v>
      </c>
      <c r="Q1160" s="23" t="s">
        <v>66</v>
      </c>
      <c r="R1160" s="63"/>
      <c r="S1160" s="64"/>
    </row>
    <row r="1161" spans="2:19" x14ac:dyDescent="0.25">
      <c r="B1161" s="181"/>
      <c r="C1161" s="178"/>
      <c r="D1161" s="23" t="s">
        <v>82</v>
      </c>
      <c r="E1161" s="24">
        <v>5</v>
      </c>
      <c r="F1161" s="24">
        <v>23</v>
      </c>
      <c r="G1161" s="23" t="s">
        <v>66</v>
      </c>
      <c r="H1161" s="63"/>
      <c r="I1161" s="64"/>
      <c r="L1161" s="181"/>
      <c r="M1161" s="178"/>
      <c r="N1161" s="23" t="s">
        <v>82</v>
      </c>
      <c r="O1161" s="24">
        <v>5</v>
      </c>
      <c r="P1161" s="24">
        <v>23</v>
      </c>
      <c r="Q1161" s="23" t="s">
        <v>66</v>
      </c>
      <c r="R1161" s="63"/>
      <c r="S1161" s="64"/>
    </row>
    <row r="1162" spans="2:19" ht="15.75" thickBot="1" x14ac:dyDescent="0.3">
      <c r="B1162" s="182"/>
      <c r="C1162" s="179"/>
      <c r="D1162" s="23" t="s">
        <v>83</v>
      </c>
      <c r="E1162" s="24">
        <v>6</v>
      </c>
      <c r="F1162" s="24">
        <v>24</v>
      </c>
      <c r="G1162" s="23" t="s">
        <v>66</v>
      </c>
      <c r="H1162" s="63"/>
      <c r="I1162" s="64"/>
      <c r="L1162" s="182"/>
      <c r="M1162" s="179"/>
      <c r="N1162" s="23" t="s">
        <v>83</v>
      </c>
      <c r="O1162" s="24">
        <v>6</v>
      </c>
      <c r="P1162" s="24">
        <v>24</v>
      </c>
      <c r="Q1162" s="23" t="s">
        <v>66</v>
      </c>
      <c r="R1162" s="63"/>
      <c r="S1162" s="64"/>
    </row>
    <row r="1163" spans="2:19" x14ac:dyDescent="0.25">
      <c r="B1163" s="189" t="s">
        <v>80</v>
      </c>
      <c r="C1163" s="192" t="s">
        <v>77</v>
      </c>
      <c r="D1163" s="27" t="s">
        <v>2</v>
      </c>
      <c r="E1163" s="28">
        <v>1</v>
      </c>
      <c r="F1163" s="28">
        <v>25</v>
      </c>
      <c r="G1163" s="27" t="s">
        <v>66</v>
      </c>
      <c r="H1163" s="27"/>
      <c r="I1163" s="48"/>
      <c r="L1163" s="189" t="s">
        <v>80</v>
      </c>
      <c r="M1163" s="192" t="s">
        <v>77</v>
      </c>
      <c r="N1163" s="27" t="s">
        <v>2</v>
      </c>
      <c r="O1163" s="28">
        <v>1</v>
      </c>
      <c r="P1163" s="28">
        <v>25</v>
      </c>
      <c r="Q1163" s="27" t="s">
        <v>66</v>
      </c>
      <c r="R1163" s="27"/>
      <c r="S1163" s="48"/>
    </row>
    <row r="1164" spans="2:19" x14ac:dyDescent="0.25">
      <c r="B1164" s="190"/>
      <c r="C1164" s="193"/>
      <c r="D1164" s="27" t="s">
        <v>3</v>
      </c>
      <c r="E1164" s="28">
        <v>2</v>
      </c>
      <c r="F1164" s="28">
        <v>26</v>
      </c>
      <c r="G1164" s="27" t="s">
        <v>66</v>
      </c>
      <c r="H1164" s="27"/>
      <c r="I1164" s="48"/>
      <c r="L1164" s="190"/>
      <c r="M1164" s="193"/>
      <c r="N1164" s="27" t="s">
        <v>3</v>
      </c>
      <c r="O1164" s="28">
        <v>2</v>
      </c>
      <c r="P1164" s="28">
        <v>26</v>
      </c>
      <c r="Q1164" s="27" t="s">
        <v>66</v>
      </c>
      <c r="R1164" s="27"/>
      <c r="S1164" s="48"/>
    </row>
    <row r="1165" spans="2:19" x14ac:dyDescent="0.25">
      <c r="B1165" s="190"/>
      <c r="C1165" s="193"/>
      <c r="D1165" s="27" t="s">
        <v>80</v>
      </c>
      <c r="E1165" s="28">
        <v>3</v>
      </c>
      <c r="F1165" s="28">
        <v>27</v>
      </c>
      <c r="G1165" s="27" t="s">
        <v>66</v>
      </c>
      <c r="H1165" s="27"/>
      <c r="I1165" s="48"/>
      <c r="L1165" s="190"/>
      <c r="M1165" s="193"/>
      <c r="N1165" s="27" t="s">
        <v>80</v>
      </c>
      <c r="O1165" s="28">
        <v>3</v>
      </c>
      <c r="P1165" s="28">
        <v>27</v>
      </c>
      <c r="Q1165" s="27" t="s">
        <v>66</v>
      </c>
      <c r="R1165" s="27"/>
      <c r="S1165" s="48"/>
    </row>
    <row r="1166" spans="2:19" x14ac:dyDescent="0.25">
      <c r="B1166" s="190"/>
      <c r="C1166" s="193"/>
      <c r="D1166" s="27" t="s">
        <v>81</v>
      </c>
      <c r="E1166" s="28">
        <v>4</v>
      </c>
      <c r="F1166" s="28">
        <v>28</v>
      </c>
      <c r="G1166" s="27" t="s">
        <v>66</v>
      </c>
      <c r="H1166" s="27"/>
      <c r="I1166" s="48"/>
      <c r="L1166" s="190"/>
      <c r="M1166" s="193"/>
      <c r="N1166" s="27" t="s">
        <v>81</v>
      </c>
      <c r="O1166" s="28">
        <v>4</v>
      </c>
      <c r="P1166" s="28">
        <v>28</v>
      </c>
      <c r="Q1166" s="27" t="s">
        <v>66</v>
      </c>
      <c r="R1166" s="27"/>
      <c r="S1166" s="48"/>
    </row>
    <row r="1167" spans="2:19" x14ac:dyDescent="0.25">
      <c r="B1167" s="190"/>
      <c r="C1167" s="193"/>
      <c r="D1167" s="27" t="s">
        <v>82</v>
      </c>
      <c r="E1167" s="28">
        <v>5</v>
      </c>
      <c r="F1167" s="28">
        <v>29</v>
      </c>
      <c r="G1167" s="27" t="s">
        <v>66</v>
      </c>
      <c r="H1167" s="27"/>
      <c r="I1167" s="48"/>
      <c r="L1167" s="190"/>
      <c r="M1167" s="193"/>
      <c r="N1167" s="27" t="s">
        <v>82</v>
      </c>
      <c r="O1167" s="28">
        <v>5</v>
      </c>
      <c r="P1167" s="28">
        <v>29</v>
      </c>
      <c r="Q1167" s="27" t="s">
        <v>66</v>
      </c>
      <c r="R1167" s="27"/>
      <c r="S1167" s="48"/>
    </row>
    <row r="1168" spans="2:19" ht="15.75" thickBot="1" x14ac:dyDescent="0.3">
      <c r="B1168" s="190"/>
      <c r="C1168" s="194"/>
      <c r="D1168" s="27" t="s">
        <v>83</v>
      </c>
      <c r="E1168" s="28">
        <v>6</v>
      </c>
      <c r="F1168" s="28">
        <v>30</v>
      </c>
      <c r="G1168" s="27" t="s">
        <v>66</v>
      </c>
      <c r="H1168" s="27"/>
      <c r="I1168" s="48"/>
      <c r="L1168" s="190"/>
      <c r="M1168" s="194"/>
      <c r="N1168" s="27" t="s">
        <v>83</v>
      </c>
      <c r="O1168" s="28">
        <v>6</v>
      </c>
      <c r="P1168" s="28">
        <v>30</v>
      </c>
      <c r="Q1168" s="27" t="s">
        <v>66</v>
      </c>
      <c r="R1168" s="27"/>
      <c r="S1168" s="48"/>
    </row>
    <row r="1169" spans="2:19" x14ac:dyDescent="0.25">
      <c r="B1169" s="190"/>
      <c r="C1169" s="192" t="s">
        <v>84</v>
      </c>
      <c r="D1169" s="27" t="s">
        <v>2</v>
      </c>
      <c r="E1169" s="28">
        <v>1</v>
      </c>
      <c r="F1169" s="28">
        <v>31</v>
      </c>
      <c r="G1169" s="27" t="s">
        <v>66</v>
      </c>
      <c r="H1169" s="27"/>
      <c r="I1169" s="48"/>
      <c r="L1169" s="190"/>
      <c r="M1169" s="192" t="s">
        <v>84</v>
      </c>
      <c r="N1169" s="27" t="s">
        <v>2</v>
      </c>
      <c r="O1169" s="28">
        <v>1</v>
      </c>
      <c r="P1169" s="28">
        <v>31</v>
      </c>
      <c r="Q1169" s="27" t="s">
        <v>66</v>
      </c>
      <c r="R1169" s="27"/>
      <c r="S1169" s="48"/>
    </row>
    <row r="1170" spans="2:19" x14ac:dyDescent="0.25">
      <c r="B1170" s="190"/>
      <c r="C1170" s="193"/>
      <c r="D1170" s="27" t="s">
        <v>3</v>
      </c>
      <c r="E1170" s="28">
        <v>2</v>
      </c>
      <c r="F1170" s="28">
        <v>32</v>
      </c>
      <c r="G1170" s="27" t="s">
        <v>66</v>
      </c>
      <c r="H1170" s="27"/>
      <c r="I1170" s="48"/>
      <c r="L1170" s="190"/>
      <c r="M1170" s="193"/>
      <c r="N1170" s="27" t="s">
        <v>3</v>
      </c>
      <c r="O1170" s="28">
        <v>2</v>
      </c>
      <c r="P1170" s="28">
        <v>32</v>
      </c>
      <c r="Q1170" s="27" t="s">
        <v>66</v>
      </c>
      <c r="R1170" s="27"/>
      <c r="S1170" s="48"/>
    </row>
    <row r="1171" spans="2:19" x14ac:dyDescent="0.25">
      <c r="B1171" s="190"/>
      <c r="C1171" s="193"/>
      <c r="D1171" s="27" t="s">
        <v>80</v>
      </c>
      <c r="E1171" s="28">
        <v>3</v>
      </c>
      <c r="F1171" s="28">
        <v>33</v>
      </c>
      <c r="G1171" s="27" t="s">
        <v>66</v>
      </c>
      <c r="H1171" s="27"/>
      <c r="I1171" s="48"/>
      <c r="L1171" s="190"/>
      <c r="M1171" s="193"/>
      <c r="N1171" s="27" t="s">
        <v>80</v>
      </c>
      <c r="O1171" s="28">
        <v>3</v>
      </c>
      <c r="P1171" s="28">
        <v>33</v>
      </c>
      <c r="Q1171" s="27" t="s">
        <v>66</v>
      </c>
      <c r="R1171" s="27"/>
      <c r="S1171" s="48"/>
    </row>
    <row r="1172" spans="2:19" x14ac:dyDescent="0.25">
      <c r="B1172" s="190"/>
      <c r="C1172" s="193"/>
      <c r="D1172" s="27" t="s">
        <v>81</v>
      </c>
      <c r="E1172" s="28">
        <v>4</v>
      </c>
      <c r="F1172" s="28">
        <v>34</v>
      </c>
      <c r="G1172" s="27" t="s">
        <v>66</v>
      </c>
      <c r="H1172" s="27"/>
      <c r="I1172" s="48"/>
      <c r="L1172" s="190"/>
      <c r="M1172" s="193"/>
      <c r="N1172" s="27" t="s">
        <v>81</v>
      </c>
      <c r="O1172" s="28">
        <v>4</v>
      </c>
      <c r="P1172" s="28">
        <v>34</v>
      </c>
      <c r="Q1172" s="27" t="s">
        <v>66</v>
      </c>
      <c r="R1172" s="27"/>
      <c r="S1172" s="48"/>
    </row>
    <row r="1173" spans="2:19" x14ac:dyDescent="0.25">
      <c r="B1173" s="190"/>
      <c r="C1173" s="193"/>
      <c r="D1173" s="27" t="s">
        <v>82</v>
      </c>
      <c r="E1173" s="28">
        <v>5</v>
      </c>
      <c r="F1173" s="28">
        <v>35</v>
      </c>
      <c r="G1173" s="27" t="s">
        <v>66</v>
      </c>
      <c r="H1173" s="27"/>
      <c r="I1173" s="48"/>
      <c r="L1173" s="190"/>
      <c r="M1173" s="193"/>
      <c r="N1173" s="27" t="s">
        <v>82</v>
      </c>
      <c r="O1173" s="28">
        <v>5</v>
      </c>
      <c r="P1173" s="28">
        <v>35</v>
      </c>
      <c r="Q1173" s="27" t="s">
        <v>66</v>
      </c>
      <c r="R1173" s="27"/>
      <c r="S1173" s="48"/>
    </row>
    <row r="1174" spans="2:19" ht="15.75" thickBot="1" x14ac:dyDescent="0.3">
      <c r="B1174" s="191"/>
      <c r="C1174" s="194"/>
      <c r="D1174" s="27" t="s">
        <v>83</v>
      </c>
      <c r="E1174" s="28">
        <v>6</v>
      </c>
      <c r="F1174" s="28">
        <v>36</v>
      </c>
      <c r="G1174" s="27" t="s">
        <v>66</v>
      </c>
      <c r="H1174" s="27"/>
      <c r="I1174" s="48"/>
      <c r="L1174" s="191"/>
      <c r="M1174" s="194"/>
      <c r="N1174" s="27" t="s">
        <v>83</v>
      </c>
      <c r="O1174" s="28">
        <v>6</v>
      </c>
      <c r="P1174" s="28">
        <v>36</v>
      </c>
      <c r="Q1174" s="27" t="s">
        <v>66</v>
      </c>
      <c r="R1174" s="27"/>
      <c r="S1174" s="48"/>
    </row>
    <row r="1175" spans="2:19" x14ac:dyDescent="0.25">
      <c r="B1175" s="183" t="s">
        <v>81</v>
      </c>
      <c r="C1175" s="186" t="s">
        <v>77</v>
      </c>
      <c r="D1175" s="29" t="s">
        <v>2</v>
      </c>
      <c r="E1175" s="30">
        <v>1</v>
      </c>
      <c r="F1175" s="30">
        <v>37</v>
      </c>
      <c r="G1175" s="29" t="s">
        <v>66</v>
      </c>
      <c r="H1175" s="29"/>
      <c r="I1175" s="49"/>
      <c r="L1175" s="183" t="s">
        <v>81</v>
      </c>
      <c r="M1175" s="186" t="s">
        <v>77</v>
      </c>
      <c r="N1175" s="29" t="s">
        <v>2</v>
      </c>
      <c r="O1175" s="30">
        <v>1</v>
      </c>
      <c r="P1175" s="30">
        <v>37</v>
      </c>
      <c r="Q1175" s="29" t="s">
        <v>66</v>
      </c>
      <c r="R1175" s="29"/>
      <c r="S1175" s="49"/>
    </row>
    <row r="1176" spans="2:19" x14ac:dyDescent="0.25">
      <c r="B1176" s="184"/>
      <c r="C1176" s="187"/>
      <c r="D1176" s="29" t="s">
        <v>3</v>
      </c>
      <c r="E1176" s="30">
        <v>2</v>
      </c>
      <c r="F1176" s="30">
        <v>38</v>
      </c>
      <c r="G1176" s="29" t="s">
        <v>66</v>
      </c>
      <c r="H1176" s="29"/>
      <c r="I1176" s="49"/>
      <c r="L1176" s="184"/>
      <c r="M1176" s="187"/>
      <c r="N1176" s="29" t="s">
        <v>3</v>
      </c>
      <c r="O1176" s="30">
        <v>2</v>
      </c>
      <c r="P1176" s="30">
        <v>38</v>
      </c>
      <c r="Q1176" s="29" t="s">
        <v>66</v>
      </c>
      <c r="R1176" s="29"/>
      <c r="S1176" s="49"/>
    </row>
    <row r="1177" spans="2:19" x14ac:dyDescent="0.25">
      <c r="B1177" s="184"/>
      <c r="C1177" s="187"/>
      <c r="D1177" s="29" t="s">
        <v>80</v>
      </c>
      <c r="E1177" s="30">
        <v>3</v>
      </c>
      <c r="F1177" s="30">
        <v>39</v>
      </c>
      <c r="G1177" s="29" t="s">
        <v>66</v>
      </c>
      <c r="H1177" s="29"/>
      <c r="I1177" s="49"/>
      <c r="L1177" s="184"/>
      <c r="M1177" s="187"/>
      <c r="N1177" s="29" t="s">
        <v>80</v>
      </c>
      <c r="O1177" s="30">
        <v>3</v>
      </c>
      <c r="P1177" s="30">
        <v>39</v>
      </c>
      <c r="Q1177" s="29" t="s">
        <v>66</v>
      </c>
      <c r="R1177" s="29"/>
      <c r="S1177" s="49"/>
    </row>
    <row r="1178" spans="2:19" x14ac:dyDescent="0.25">
      <c r="B1178" s="184"/>
      <c r="C1178" s="187"/>
      <c r="D1178" s="29" t="s">
        <v>81</v>
      </c>
      <c r="E1178" s="30">
        <v>4</v>
      </c>
      <c r="F1178" s="30">
        <v>40</v>
      </c>
      <c r="G1178" s="29" t="s">
        <v>66</v>
      </c>
      <c r="H1178" s="29"/>
      <c r="I1178" s="49"/>
      <c r="L1178" s="184"/>
      <c r="M1178" s="187"/>
      <c r="N1178" s="29" t="s">
        <v>81</v>
      </c>
      <c r="O1178" s="30">
        <v>4</v>
      </c>
      <c r="P1178" s="30">
        <v>40</v>
      </c>
      <c r="Q1178" s="29" t="s">
        <v>66</v>
      </c>
      <c r="R1178" s="29"/>
      <c r="S1178" s="49"/>
    </row>
    <row r="1179" spans="2:19" x14ac:dyDescent="0.25">
      <c r="B1179" s="184"/>
      <c r="C1179" s="187"/>
      <c r="D1179" s="29" t="s">
        <v>82</v>
      </c>
      <c r="E1179" s="30">
        <v>5</v>
      </c>
      <c r="F1179" s="30">
        <v>41</v>
      </c>
      <c r="G1179" s="29" t="s">
        <v>66</v>
      </c>
      <c r="H1179" s="29"/>
      <c r="I1179" s="49"/>
      <c r="L1179" s="184"/>
      <c r="M1179" s="187"/>
      <c r="N1179" s="29" t="s">
        <v>82</v>
      </c>
      <c r="O1179" s="30">
        <v>5</v>
      </c>
      <c r="P1179" s="30">
        <v>41</v>
      </c>
      <c r="Q1179" s="29" t="s">
        <v>66</v>
      </c>
      <c r="R1179" s="29"/>
      <c r="S1179" s="49"/>
    </row>
    <row r="1180" spans="2:19" ht="15.75" thickBot="1" x14ac:dyDescent="0.3">
      <c r="B1180" s="184"/>
      <c r="C1180" s="188"/>
      <c r="D1180" s="29" t="s">
        <v>83</v>
      </c>
      <c r="E1180" s="30">
        <v>6</v>
      </c>
      <c r="F1180" s="30">
        <v>42</v>
      </c>
      <c r="G1180" s="29" t="s">
        <v>66</v>
      </c>
      <c r="H1180" s="29"/>
      <c r="I1180" s="49"/>
      <c r="L1180" s="184"/>
      <c r="M1180" s="188"/>
      <c r="N1180" s="29" t="s">
        <v>83</v>
      </c>
      <c r="O1180" s="30">
        <v>6</v>
      </c>
      <c r="P1180" s="30">
        <v>42</v>
      </c>
      <c r="Q1180" s="29" t="s">
        <v>66</v>
      </c>
      <c r="R1180" s="29"/>
      <c r="S1180" s="49"/>
    </row>
    <row r="1181" spans="2:19" x14ac:dyDescent="0.25">
      <c r="B1181" s="184"/>
      <c r="C1181" s="186" t="s">
        <v>84</v>
      </c>
      <c r="D1181" s="29" t="s">
        <v>2</v>
      </c>
      <c r="E1181" s="30">
        <v>1</v>
      </c>
      <c r="F1181" s="30">
        <v>43</v>
      </c>
      <c r="G1181" s="29" t="s">
        <v>66</v>
      </c>
      <c r="H1181" s="29"/>
      <c r="I1181" s="49"/>
      <c r="L1181" s="184"/>
      <c r="M1181" s="186" t="s">
        <v>84</v>
      </c>
      <c r="N1181" s="29" t="s">
        <v>2</v>
      </c>
      <c r="O1181" s="30">
        <v>1</v>
      </c>
      <c r="P1181" s="30">
        <v>43</v>
      </c>
      <c r="Q1181" s="29" t="s">
        <v>66</v>
      </c>
      <c r="R1181" s="29"/>
      <c r="S1181" s="49"/>
    </row>
    <row r="1182" spans="2:19" x14ac:dyDescent="0.25">
      <c r="B1182" s="184"/>
      <c r="C1182" s="187"/>
      <c r="D1182" s="29" t="s">
        <v>3</v>
      </c>
      <c r="E1182" s="30">
        <v>2</v>
      </c>
      <c r="F1182" s="30">
        <v>44</v>
      </c>
      <c r="G1182" s="29" t="s">
        <v>66</v>
      </c>
      <c r="H1182" s="29"/>
      <c r="I1182" s="49"/>
      <c r="L1182" s="184"/>
      <c r="M1182" s="187"/>
      <c r="N1182" s="29" t="s">
        <v>3</v>
      </c>
      <c r="O1182" s="30">
        <v>2</v>
      </c>
      <c r="P1182" s="30">
        <v>44</v>
      </c>
      <c r="Q1182" s="29" t="s">
        <v>66</v>
      </c>
      <c r="R1182" s="29"/>
      <c r="S1182" s="49"/>
    </row>
    <row r="1183" spans="2:19" x14ac:dyDescent="0.25">
      <c r="B1183" s="184"/>
      <c r="C1183" s="187"/>
      <c r="D1183" s="29" t="s">
        <v>80</v>
      </c>
      <c r="E1183" s="30">
        <v>3</v>
      </c>
      <c r="F1183" s="30">
        <v>45</v>
      </c>
      <c r="G1183" s="29" t="s">
        <v>66</v>
      </c>
      <c r="H1183" s="29"/>
      <c r="I1183" s="49"/>
      <c r="L1183" s="184"/>
      <c r="M1183" s="187"/>
      <c r="N1183" s="29" t="s">
        <v>80</v>
      </c>
      <c r="O1183" s="30">
        <v>3</v>
      </c>
      <c r="P1183" s="30">
        <v>45</v>
      </c>
      <c r="Q1183" s="29" t="s">
        <v>66</v>
      </c>
      <c r="R1183" s="29"/>
      <c r="S1183" s="49"/>
    </row>
    <row r="1184" spans="2:19" x14ac:dyDescent="0.25">
      <c r="B1184" s="184"/>
      <c r="C1184" s="187"/>
      <c r="D1184" s="29" t="s">
        <v>81</v>
      </c>
      <c r="E1184" s="30">
        <v>4</v>
      </c>
      <c r="F1184" s="30">
        <v>46</v>
      </c>
      <c r="G1184" s="29" t="s">
        <v>66</v>
      </c>
      <c r="H1184" s="29"/>
      <c r="I1184" s="49"/>
      <c r="L1184" s="184"/>
      <c r="M1184" s="187"/>
      <c r="N1184" s="29" t="s">
        <v>81</v>
      </c>
      <c r="O1184" s="30">
        <v>4</v>
      </c>
      <c r="P1184" s="30">
        <v>46</v>
      </c>
      <c r="Q1184" s="29" t="s">
        <v>66</v>
      </c>
      <c r="R1184" s="29"/>
      <c r="S1184" s="49"/>
    </row>
    <row r="1185" spans="2:19" x14ac:dyDescent="0.25">
      <c r="B1185" s="184"/>
      <c r="C1185" s="187"/>
      <c r="D1185" s="29" t="s">
        <v>82</v>
      </c>
      <c r="E1185" s="30">
        <v>5</v>
      </c>
      <c r="F1185" s="30">
        <v>47</v>
      </c>
      <c r="G1185" s="29" t="s">
        <v>66</v>
      </c>
      <c r="H1185" s="29"/>
      <c r="I1185" s="49"/>
      <c r="L1185" s="184"/>
      <c r="M1185" s="187"/>
      <c r="N1185" s="29" t="s">
        <v>82</v>
      </c>
      <c r="O1185" s="30">
        <v>5</v>
      </c>
      <c r="P1185" s="30">
        <v>47</v>
      </c>
      <c r="Q1185" s="29" t="s">
        <v>66</v>
      </c>
      <c r="R1185" s="29"/>
      <c r="S1185" s="49"/>
    </row>
    <row r="1186" spans="2:19" ht="15.75" thickBot="1" x14ac:dyDescent="0.3">
      <c r="B1186" s="185"/>
      <c r="C1186" s="188"/>
      <c r="D1186" s="29" t="s">
        <v>83</v>
      </c>
      <c r="E1186" s="30">
        <v>6</v>
      </c>
      <c r="F1186" s="30">
        <v>48</v>
      </c>
      <c r="G1186" s="29" t="s">
        <v>66</v>
      </c>
      <c r="H1186" s="29"/>
      <c r="I1186" s="49"/>
      <c r="L1186" s="185"/>
      <c r="M1186" s="188"/>
      <c r="N1186" s="29" t="s">
        <v>83</v>
      </c>
      <c r="O1186" s="30">
        <v>6</v>
      </c>
      <c r="P1186" s="30">
        <v>48</v>
      </c>
      <c r="Q1186" s="29" t="s">
        <v>66</v>
      </c>
      <c r="R1186" s="29"/>
      <c r="S1186" s="49"/>
    </row>
    <row r="1187" spans="2:19" ht="15.75" thickBot="1" x14ac:dyDescent="0.3"/>
    <row r="1188" spans="2:19" ht="15.75" thickBot="1" x14ac:dyDescent="0.3">
      <c r="B1188" s="171" t="s">
        <v>296</v>
      </c>
      <c r="C1188" s="172"/>
      <c r="D1188" s="172"/>
      <c r="E1188" s="172"/>
      <c r="F1188" s="172"/>
      <c r="G1188" s="172"/>
      <c r="H1188" s="172"/>
      <c r="I1188" s="173"/>
      <c r="L1188" s="171" t="s">
        <v>297</v>
      </c>
      <c r="M1188" s="172"/>
      <c r="N1188" s="172"/>
      <c r="O1188" s="172"/>
      <c r="P1188" s="172"/>
      <c r="Q1188" s="172"/>
      <c r="R1188" s="172"/>
      <c r="S1188" s="173"/>
    </row>
    <row r="1190" spans="2:19" ht="26.25" thickBot="1" x14ac:dyDescent="0.3">
      <c r="B1190" s="15" t="s">
        <v>70</v>
      </c>
      <c r="C1190" s="16" t="s">
        <v>71</v>
      </c>
      <c r="D1190" s="15" t="s">
        <v>72</v>
      </c>
      <c r="E1190" s="17" t="s">
        <v>73</v>
      </c>
      <c r="F1190" s="17" t="s">
        <v>74</v>
      </c>
      <c r="G1190" s="15" t="s">
        <v>75</v>
      </c>
      <c r="H1190" s="15" t="s">
        <v>55</v>
      </c>
      <c r="I1190" s="15" t="s">
        <v>76</v>
      </c>
      <c r="L1190" s="15" t="s">
        <v>70</v>
      </c>
      <c r="M1190" s="16" t="s">
        <v>71</v>
      </c>
      <c r="N1190" s="15" t="s">
        <v>72</v>
      </c>
      <c r="O1190" s="17" t="s">
        <v>73</v>
      </c>
      <c r="P1190" s="17" t="s">
        <v>74</v>
      </c>
      <c r="Q1190" s="15" t="s">
        <v>75</v>
      </c>
      <c r="R1190" s="15" t="s">
        <v>55</v>
      </c>
      <c r="S1190" s="15" t="s">
        <v>76</v>
      </c>
    </row>
    <row r="1191" spans="2:19" ht="15" customHeight="1" x14ac:dyDescent="0.25">
      <c r="B1191" s="174" t="s">
        <v>2</v>
      </c>
      <c r="C1191" s="168" t="s">
        <v>77</v>
      </c>
      <c r="D1191" s="18" t="s">
        <v>2</v>
      </c>
      <c r="E1191" s="19">
        <v>1</v>
      </c>
      <c r="F1191" s="19">
        <v>1</v>
      </c>
      <c r="G1191" s="18" t="s">
        <v>78</v>
      </c>
      <c r="H1191" s="156" t="s">
        <v>153</v>
      </c>
      <c r="I1191" s="156" t="s">
        <v>230</v>
      </c>
      <c r="L1191" s="174" t="s">
        <v>2</v>
      </c>
      <c r="M1191" s="168" t="s">
        <v>77</v>
      </c>
      <c r="N1191" s="18" t="s">
        <v>2</v>
      </c>
      <c r="O1191" s="19">
        <v>1</v>
      </c>
      <c r="P1191" s="19">
        <v>1</v>
      </c>
      <c r="Q1191" s="18" t="s">
        <v>78</v>
      </c>
      <c r="R1191" s="156" t="s">
        <v>153</v>
      </c>
      <c r="S1191" s="156" t="s">
        <v>229</v>
      </c>
    </row>
    <row r="1192" spans="2:19" x14ac:dyDescent="0.25">
      <c r="B1192" s="175"/>
      <c r="C1192" s="169"/>
      <c r="D1192" s="18" t="s">
        <v>3</v>
      </c>
      <c r="E1192" s="19">
        <v>2</v>
      </c>
      <c r="F1192" s="19">
        <v>2</v>
      </c>
      <c r="G1192" s="18" t="s">
        <v>78</v>
      </c>
      <c r="H1192" s="157"/>
      <c r="I1192" s="157"/>
      <c r="L1192" s="175"/>
      <c r="M1192" s="169"/>
      <c r="N1192" s="18" t="s">
        <v>3</v>
      </c>
      <c r="O1192" s="19">
        <v>2</v>
      </c>
      <c r="P1192" s="19">
        <v>2</v>
      </c>
      <c r="Q1192" s="18" t="s">
        <v>78</v>
      </c>
      <c r="R1192" s="157"/>
      <c r="S1192" s="157"/>
    </row>
    <row r="1193" spans="2:19" x14ac:dyDescent="0.25">
      <c r="B1193" s="175"/>
      <c r="C1193" s="169"/>
      <c r="D1193" s="18" t="s">
        <v>80</v>
      </c>
      <c r="E1193" s="20">
        <v>3</v>
      </c>
      <c r="F1193" s="20">
        <v>3</v>
      </c>
      <c r="G1193" s="18" t="s">
        <v>66</v>
      </c>
      <c r="H1193" s="157"/>
      <c r="I1193" s="157"/>
      <c r="L1193" s="175"/>
      <c r="M1193" s="169"/>
      <c r="N1193" s="18" t="s">
        <v>80</v>
      </c>
      <c r="O1193" s="20">
        <v>3</v>
      </c>
      <c r="P1193" s="20">
        <v>3</v>
      </c>
      <c r="Q1193" s="18" t="s">
        <v>66</v>
      </c>
      <c r="R1193" s="157"/>
      <c r="S1193" s="157"/>
    </row>
    <row r="1194" spans="2:19" x14ac:dyDescent="0.25">
      <c r="B1194" s="175"/>
      <c r="C1194" s="169"/>
      <c r="D1194" s="18" t="s">
        <v>81</v>
      </c>
      <c r="E1194" s="20">
        <v>4</v>
      </c>
      <c r="F1194" s="20">
        <v>4</v>
      </c>
      <c r="G1194" s="18" t="s">
        <v>66</v>
      </c>
      <c r="H1194" s="157"/>
      <c r="I1194" s="157"/>
      <c r="L1194" s="175"/>
      <c r="M1194" s="169"/>
      <c r="N1194" s="18" t="s">
        <v>81</v>
      </c>
      <c r="O1194" s="20">
        <v>4</v>
      </c>
      <c r="P1194" s="20">
        <v>4</v>
      </c>
      <c r="Q1194" s="18" t="s">
        <v>66</v>
      </c>
      <c r="R1194" s="157"/>
      <c r="S1194" s="157"/>
    </row>
    <row r="1195" spans="2:19" x14ac:dyDescent="0.25">
      <c r="B1195" s="175"/>
      <c r="C1195" s="169"/>
      <c r="D1195" s="18" t="s">
        <v>82</v>
      </c>
      <c r="E1195" s="20">
        <v>5</v>
      </c>
      <c r="F1195" s="20">
        <v>5</v>
      </c>
      <c r="G1195" s="18" t="s">
        <v>66</v>
      </c>
      <c r="H1195" s="157"/>
      <c r="I1195" s="157"/>
      <c r="L1195" s="175"/>
      <c r="M1195" s="169"/>
      <c r="N1195" s="18" t="s">
        <v>82</v>
      </c>
      <c r="O1195" s="20">
        <v>5</v>
      </c>
      <c r="P1195" s="20">
        <v>5</v>
      </c>
      <c r="Q1195" s="18" t="s">
        <v>66</v>
      </c>
      <c r="R1195" s="157"/>
      <c r="S1195" s="157"/>
    </row>
    <row r="1196" spans="2:19" ht="15.75" thickBot="1" x14ac:dyDescent="0.3">
      <c r="B1196" s="175"/>
      <c r="C1196" s="170"/>
      <c r="D1196" s="18" t="s">
        <v>83</v>
      </c>
      <c r="E1196" s="20">
        <v>6</v>
      </c>
      <c r="F1196" s="20">
        <v>6</v>
      </c>
      <c r="G1196" s="18" t="s">
        <v>66</v>
      </c>
      <c r="H1196" s="158"/>
      <c r="I1196" s="158"/>
      <c r="L1196" s="175"/>
      <c r="M1196" s="170"/>
      <c r="N1196" s="18" t="s">
        <v>83</v>
      </c>
      <c r="O1196" s="20">
        <v>6</v>
      </c>
      <c r="P1196" s="20">
        <v>6</v>
      </c>
      <c r="Q1196" s="18" t="s">
        <v>66</v>
      </c>
      <c r="R1196" s="158"/>
      <c r="S1196" s="158"/>
    </row>
    <row r="1197" spans="2:19" x14ac:dyDescent="0.25">
      <c r="B1197" s="175"/>
      <c r="C1197" s="168" t="s">
        <v>84</v>
      </c>
      <c r="D1197" s="18" t="s">
        <v>2</v>
      </c>
      <c r="E1197" s="19">
        <v>1</v>
      </c>
      <c r="F1197" s="19">
        <v>7</v>
      </c>
      <c r="G1197" s="18" t="s">
        <v>66</v>
      </c>
      <c r="H1197" s="32"/>
      <c r="I1197" s="50"/>
      <c r="L1197" s="175"/>
      <c r="M1197" s="168" t="s">
        <v>84</v>
      </c>
      <c r="N1197" s="18" t="s">
        <v>2</v>
      </c>
      <c r="O1197" s="19">
        <v>1</v>
      </c>
      <c r="P1197" s="19">
        <v>7</v>
      </c>
      <c r="Q1197" s="18" t="s">
        <v>66</v>
      </c>
      <c r="R1197" s="32"/>
      <c r="S1197" s="50"/>
    </row>
    <row r="1198" spans="2:19" x14ac:dyDescent="0.25">
      <c r="B1198" s="175"/>
      <c r="C1198" s="169"/>
      <c r="D1198" s="18" t="s">
        <v>3</v>
      </c>
      <c r="E1198" s="19">
        <v>2</v>
      </c>
      <c r="F1198" s="19">
        <v>8</v>
      </c>
      <c r="G1198" s="18" t="s">
        <v>66</v>
      </c>
      <c r="H1198" s="32"/>
      <c r="I1198" s="50"/>
      <c r="L1198" s="175"/>
      <c r="M1198" s="169"/>
      <c r="N1198" s="18" t="s">
        <v>3</v>
      </c>
      <c r="O1198" s="19">
        <v>2</v>
      </c>
      <c r="P1198" s="19">
        <v>8</v>
      </c>
      <c r="Q1198" s="18" t="s">
        <v>66</v>
      </c>
      <c r="R1198" s="32"/>
      <c r="S1198" s="50"/>
    </row>
    <row r="1199" spans="2:19" x14ac:dyDescent="0.25">
      <c r="B1199" s="175"/>
      <c r="C1199" s="169"/>
      <c r="D1199" s="18" t="s">
        <v>80</v>
      </c>
      <c r="E1199" s="20">
        <v>3</v>
      </c>
      <c r="F1199" s="20">
        <v>9</v>
      </c>
      <c r="G1199" s="18" t="s">
        <v>66</v>
      </c>
      <c r="H1199" s="32"/>
      <c r="I1199" s="50"/>
      <c r="L1199" s="175"/>
      <c r="M1199" s="169"/>
      <c r="N1199" s="18" t="s">
        <v>80</v>
      </c>
      <c r="O1199" s="20">
        <v>3</v>
      </c>
      <c r="P1199" s="20">
        <v>9</v>
      </c>
      <c r="Q1199" s="18" t="s">
        <v>66</v>
      </c>
      <c r="R1199" s="32"/>
      <c r="S1199" s="50"/>
    </row>
    <row r="1200" spans="2:19" x14ac:dyDescent="0.25">
      <c r="B1200" s="175"/>
      <c r="C1200" s="169"/>
      <c r="D1200" s="18" t="s">
        <v>81</v>
      </c>
      <c r="E1200" s="20">
        <v>4</v>
      </c>
      <c r="F1200" s="20">
        <v>10</v>
      </c>
      <c r="G1200" s="18" t="s">
        <v>66</v>
      </c>
      <c r="H1200" s="32"/>
      <c r="I1200" s="50"/>
      <c r="L1200" s="175"/>
      <c r="M1200" s="169"/>
      <c r="N1200" s="18" t="s">
        <v>81</v>
      </c>
      <c r="O1200" s="20">
        <v>4</v>
      </c>
      <c r="P1200" s="20">
        <v>10</v>
      </c>
      <c r="Q1200" s="18" t="s">
        <v>66</v>
      </c>
      <c r="R1200" s="32"/>
      <c r="S1200" s="50"/>
    </row>
    <row r="1201" spans="2:19" x14ac:dyDescent="0.25">
      <c r="B1201" s="175"/>
      <c r="C1201" s="169"/>
      <c r="D1201" s="18" t="s">
        <v>82</v>
      </c>
      <c r="E1201" s="20">
        <v>5</v>
      </c>
      <c r="F1201" s="20">
        <v>11</v>
      </c>
      <c r="G1201" s="18" t="s">
        <v>66</v>
      </c>
      <c r="H1201" s="32"/>
      <c r="I1201" s="50"/>
      <c r="L1201" s="175"/>
      <c r="M1201" s="169"/>
      <c r="N1201" s="18" t="s">
        <v>82</v>
      </c>
      <c r="O1201" s="20">
        <v>5</v>
      </c>
      <c r="P1201" s="20">
        <v>11</v>
      </c>
      <c r="Q1201" s="18" t="s">
        <v>66</v>
      </c>
      <c r="R1201" s="32"/>
      <c r="S1201" s="50"/>
    </row>
    <row r="1202" spans="2:19" ht="15.75" thickBot="1" x14ac:dyDescent="0.3">
      <c r="B1202" s="176"/>
      <c r="C1202" s="170"/>
      <c r="D1202" s="18" t="s">
        <v>83</v>
      </c>
      <c r="E1202" s="20">
        <v>6</v>
      </c>
      <c r="F1202" s="20">
        <v>12</v>
      </c>
      <c r="G1202" s="18" t="s">
        <v>66</v>
      </c>
      <c r="H1202" s="32"/>
      <c r="I1202" s="50"/>
      <c r="L1202" s="176"/>
      <c r="M1202" s="170"/>
      <c r="N1202" s="18" t="s">
        <v>83</v>
      </c>
      <c r="O1202" s="20">
        <v>6</v>
      </c>
      <c r="P1202" s="20">
        <v>12</v>
      </c>
      <c r="Q1202" s="18" t="s">
        <v>66</v>
      </c>
      <c r="R1202" s="32"/>
      <c r="S1202" s="50"/>
    </row>
    <row r="1203" spans="2:19" x14ac:dyDescent="0.25">
      <c r="B1203" s="180" t="s">
        <v>3</v>
      </c>
      <c r="C1203" s="177" t="s">
        <v>77</v>
      </c>
      <c r="D1203" s="21" t="s">
        <v>2</v>
      </c>
      <c r="E1203" s="22">
        <v>1</v>
      </c>
      <c r="F1203" s="22">
        <v>13</v>
      </c>
      <c r="G1203" s="21" t="s">
        <v>66</v>
      </c>
      <c r="H1203" s="63"/>
      <c r="I1203" s="64"/>
      <c r="L1203" s="180" t="s">
        <v>3</v>
      </c>
      <c r="M1203" s="177" t="s">
        <v>77</v>
      </c>
      <c r="N1203" s="21" t="s">
        <v>2</v>
      </c>
      <c r="O1203" s="22">
        <v>1</v>
      </c>
      <c r="P1203" s="22">
        <v>13</v>
      </c>
      <c r="Q1203" s="21" t="s">
        <v>66</v>
      </c>
      <c r="R1203" s="63"/>
      <c r="S1203" s="64"/>
    </row>
    <row r="1204" spans="2:19" x14ac:dyDescent="0.25">
      <c r="B1204" s="181"/>
      <c r="C1204" s="178"/>
      <c r="D1204" s="23" t="s">
        <v>3</v>
      </c>
      <c r="E1204" s="24">
        <v>2</v>
      </c>
      <c r="F1204" s="24">
        <v>14</v>
      </c>
      <c r="G1204" s="23" t="s">
        <v>66</v>
      </c>
      <c r="H1204" s="63"/>
      <c r="I1204" s="64"/>
      <c r="L1204" s="181"/>
      <c r="M1204" s="178"/>
      <c r="N1204" s="23" t="s">
        <v>3</v>
      </c>
      <c r="O1204" s="24">
        <v>2</v>
      </c>
      <c r="P1204" s="24">
        <v>14</v>
      </c>
      <c r="Q1204" s="23" t="s">
        <v>66</v>
      </c>
      <c r="R1204" s="63"/>
      <c r="S1204" s="64"/>
    </row>
    <row r="1205" spans="2:19" x14ac:dyDescent="0.25">
      <c r="B1205" s="181"/>
      <c r="C1205" s="178"/>
      <c r="D1205" s="23" t="s">
        <v>80</v>
      </c>
      <c r="E1205" s="24">
        <v>3</v>
      </c>
      <c r="F1205" s="24">
        <v>15</v>
      </c>
      <c r="G1205" s="23" t="s">
        <v>66</v>
      </c>
      <c r="H1205" s="63"/>
      <c r="I1205" s="64"/>
      <c r="L1205" s="181"/>
      <c r="M1205" s="178"/>
      <c r="N1205" s="23" t="s">
        <v>80</v>
      </c>
      <c r="O1205" s="24">
        <v>3</v>
      </c>
      <c r="P1205" s="24">
        <v>15</v>
      </c>
      <c r="Q1205" s="23" t="s">
        <v>66</v>
      </c>
      <c r="R1205" s="63"/>
      <c r="S1205" s="64"/>
    </row>
    <row r="1206" spans="2:19" x14ac:dyDescent="0.25">
      <c r="B1206" s="181"/>
      <c r="C1206" s="178"/>
      <c r="D1206" s="23" t="s">
        <v>81</v>
      </c>
      <c r="E1206" s="24">
        <v>4</v>
      </c>
      <c r="F1206" s="24">
        <v>16</v>
      </c>
      <c r="G1206" s="23" t="s">
        <v>66</v>
      </c>
      <c r="H1206" s="63"/>
      <c r="I1206" s="64"/>
      <c r="L1206" s="181"/>
      <c r="M1206" s="178"/>
      <c r="N1206" s="23" t="s">
        <v>81</v>
      </c>
      <c r="O1206" s="24">
        <v>4</v>
      </c>
      <c r="P1206" s="24">
        <v>16</v>
      </c>
      <c r="Q1206" s="23" t="s">
        <v>66</v>
      </c>
      <c r="R1206" s="63"/>
      <c r="S1206" s="64"/>
    </row>
    <row r="1207" spans="2:19" x14ac:dyDescent="0.25">
      <c r="B1207" s="181"/>
      <c r="C1207" s="178"/>
      <c r="D1207" s="23" t="s">
        <v>82</v>
      </c>
      <c r="E1207" s="24">
        <v>5</v>
      </c>
      <c r="F1207" s="24">
        <v>17</v>
      </c>
      <c r="G1207" s="23" t="s">
        <v>66</v>
      </c>
      <c r="H1207" s="63"/>
      <c r="I1207" s="64"/>
      <c r="L1207" s="181"/>
      <c r="M1207" s="178"/>
      <c r="N1207" s="23" t="s">
        <v>82</v>
      </c>
      <c r="O1207" s="24">
        <v>5</v>
      </c>
      <c r="P1207" s="24">
        <v>17</v>
      </c>
      <c r="Q1207" s="23" t="s">
        <v>66</v>
      </c>
      <c r="R1207" s="63"/>
      <c r="S1207" s="64"/>
    </row>
    <row r="1208" spans="2:19" ht="15.75" thickBot="1" x14ac:dyDescent="0.3">
      <c r="B1208" s="181"/>
      <c r="C1208" s="179"/>
      <c r="D1208" s="23" t="s">
        <v>83</v>
      </c>
      <c r="E1208" s="24">
        <v>6</v>
      </c>
      <c r="F1208" s="24">
        <v>18</v>
      </c>
      <c r="G1208" s="23" t="s">
        <v>66</v>
      </c>
      <c r="H1208" s="63"/>
      <c r="I1208" s="64"/>
      <c r="L1208" s="181"/>
      <c r="M1208" s="179"/>
      <c r="N1208" s="23" t="s">
        <v>83</v>
      </c>
      <c r="O1208" s="24">
        <v>6</v>
      </c>
      <c r="P1208" s="24">
        <v>18</v>
      </c>
      <c r="Q1208" s="23" t="s">
        <v>66</v>
      </c>
      <c r="R1208" s="63"/>
      <c r="S1208" s="64"/>
    </row>
    <row r="1209" spans="2:19" x14ac:dyDescent="0.25">
      <c r="B1209" s="181"/>
      <c r="C1209" s="177" t="s">
        <v>84</v>
      </c>
      <c r="D1209" s="23" t="s">
        <v>2</v>
      </c>
      <c r="E1209" s="24">
        <v>1</v>
      </c>
      <c r="F1209" s="24">
        <v>19</v>
      </c>
      <c r="G1209" s="23" t="s">
        <v>66</v>
      </c>
      <c r="H1209" s="63"/>
      <c r="I1209" s="64"/>
      <c r="L1209" s="181"/>
      <c r="M1209" s="177" t="s">
        <v>84</v>
      </c>
      <c r="N1209" s="23" t="s">
        <v>2</v>
      </c>
      <c r="O1209" s="24">
        <v>1</v>
      </c>
      <c r="P1209" s="24">
        <v>19</v>
      </c>
      <c r="Q1209" s="23" t="s">
        <v>66</v>
      </c>
      <c r="R1209" s="63"/>
      <c r="S1209" s="64"/>
    </row>
    <row r="1210" spans="2:19" x14ac:dyDescent="0.25">
      <c r="B1210" s="181"/>
      <c r="C1210" s="178"/>
      <c r="D1210" s="23" t="s">
        <v>3</v>
      </c>
      <c r="E1210" s="24">
        <v>2</v>
      </c>
      <c r="F1210" s="24">
        <v>20</v>
      </c>
      <c r="G1210" s="23" t="s">
        <v>66</v>
      </c>
      <c r="H1210" s="63"/>
      <c r="I1210" s="64"/>
      <c r="L1210" s="181"/>
      <c r="M1210" s="178"/>
      <c r="N1210" s="23" t="s">
        <v>3</v>
      </c>
      <c r="O1210" s="24">
        <v>2</v>
      </c>
      <c r="P1210" s="24">
        <v>20</v>
      </c>
      <c r="Q1210" s="23" t="s">
        <v>66</v>
      </c>
      <c r="R1210" s="63"/>
      <c r="S1210" s="64"/>
    </row>
    <row r="1211" spans="2:19" x14ac:dyDescent="0.25">
      <c r="B1211" s="181"/>
      <c r="C1211" s="178"/>
      <c r="D1211" s="23" t="s">
        <v>80</v>
      </c>
      <c r="E1211" s="26">
        <v>3</v>
      </c>
      <c r="F1211" s="24">
        <v>21</v>
      </c>
      <c r="G1211" s="23" t="s">
        <v>66</v>
      </c>
      <c r="H1211" s="63"/>
      <c r="I1211" s="64"/>
      <c r="L1211" s="181"/>
      <c r="M1211" s="178"/>
      <c r="N1211" s="23" t="s">
        <v>80</v>
      </c>
      <c r="O1211" s="26">
        <v>3</v>
      </c>
      <c r="P1211" s="24">
        <v>21</v>
      </c>
      <c r="Q1211" s="23" t="s">
        <v>66</v>
      </c>
      <c r="R1211" s="63"/>
      <c r="S1211" s="64"/>
    </row>
    <row r="1212" spans="2:19" x14ac:dyDescent="0.25">
      <c r="B1212" s="181"/>
      <c r="C1212" s="178"/>
      <c r="D1212" s="23" t="s">
        <v>81</v>
      </c>
      <c r="E1212" s="24">
        <v>4</v>
      </c>
      <c r="F1212" s="24">
        <v>22</v>
      </c>
      <c r="G1212" s="23" t="s">
        <v>66</v>
      </c>
      <c r="H1212" s="63"/>
      <c r="I1212" s="64"/>
      <c r="L1212" s="181"/>
      <c r="M1212" s="178"/>
      <c r="N1212" s="23" t="s">
        <v>81</v>
      </c>
      <c r="O1212" s="24">
        <v>4</v>
      </c>
      <c r="P1212" s="24">
        <v>22</v>
      </c>
      <c r="Q1212" s="23" t="s">
        <v>66</v>
      </c>
      <c r="R1212" s="63"/>
      <c r="S1212" s="64"/>
    </row>
    <row r="1213" spans="2:19" x14ac:dyDescent="0.25">
      <c r="B1213" s="181"/>
      <c r="C1213" s="178"/>
      <c r="D1213" s="23" t="s">
        <v>82</v>
      </c>
      <c r="E1213" s="24">
        <v>5</v>
      </c>
      <c r="F1213" s="24">
        <v>23</v>
      </c>
      <c r="G1213" s="23" t="s">
        <v>66</v>
      </c>
      <c r="H1213" s="63"/>
      <c r="I1213" s="64"/>
      <c r="L1213" s="181"/>
      <c r="M1213" s="178"/>
      <c r="N1213" s="23" t="s">
        <v>82</v>
      </c>
      <c r="O1213" s="24">
        <v>5</v>
      </c>
      <c r="P1213" s="24">
        <v>23</v>
      </c>
      <c r="Q1213" s="23" t="s">
        <v>66</v>
      </c>
      <c r="R1213" s="63"/>
      <c r="S1213" s="64"/>
    </row>
    <row r="1214" spans="2:19" ht="15.75" thickBot="1" x14ac:dyDescent="0.3">
      <c r="B1214" s="182"/>
      <c r="C1214" s="179"/>
      <c r="D1214" s="23" t="s">
        <v>83</v>
      </c>
      <c r="E1214" s="24">
        <v>6</v>
      </c>
      <c r="F1214" s="24">
        <v>24</v>
      </c>
      <c r="G1214" s="23" t="s">
        <v>66</v>
      </c>
      <c r="H1214" s="63"/>
      <c r="I1214" s="64"/>
      <c r="L1214" s="182"/>
      <c r="M1214" s="179"/>
      <c r="N1214" s="23" t="s">
        <v>83</v>
      </c>
      <c r="O1214" s="24">
        <v>6</v>
      </c>
      <c r="P1214" s="24">
        <v>24</v>
      </c>
      <c r="Q1214" s="23" t="s">
        <v>66</v>
      </c>
      <c r="R1214" s="63"/>
      <c r="S1214" s="64"/>
    </row>
    <row r="1215" spans="2:19" x14ac:dyDescent="0.25">
      <c r="B1215" s="189" t="s">
        <v>80</v>
      </c>
      <c r="C1215" s="192" t="s">
        <v>77</v>
      </c>
      <c r="D1215" s="27" t="s">
        <v>2</v>
      </c>
      <c r="E1215" s="28">
        <v>1</v>
      </c>
      <c r="F1215" s="28">
        <v>25</v>
      </c>
      <c r="G1215" s="27" t="s">
        <v>66</v>
      </c>
      <c r="H1215" s="27"/>
      <c r="I1215" s="48"/>
      <c r="L1215" s="189" t="s">
        <v>80</v>
      </c>
      <c r="M1215" s="192" t="s">
        <v>77</v>
      </c>
      <c r="N1215" s="27" t="s">
        <v>2</v>
      </c>
      <c r="O1215" s="28">
        <v>1</v>
      </c>
      <c r="P1215" s="28">
        <v>25</v>
      </c>
      <c r="Q1215" s="27" t="s">
        <v>66</v>
      </c>
      <c r="R1215" s="27"/>
      <c r="S1215" s="48"/>
    </row>
    <row r="1216" spans="2:19" x14ac:dyDescent="0.25">
      <c r="B1216" s="190"/>
      <c r="C1216" s="193"/>
      <c r="D1216" s="27" t="s">
        <v>3</v>
      </c>
      <c r="E1216" s="28">
        <v>2</v>
      </c>
      <c r="F1216" s="28">
        <v>26</v>
      </c>
      <c r="G1216" s="27" t="s">
        <v>66</v>
      </c>
      <c r="H1216" s="27"/>
      <c r="I1216" s="48"/>
      <c r="L1216" s="190"/>
      <c r="M1216" s="193"/>
      <c r="N1216" s="27" t="s">
        <v>3</v>
      </c>
      <c r="O1216" s="28">
        <v>2</v>
      </c>
      <c r="P1216" s="28">
        <v>26</v>
      </c>
      <c r="Q1216" s="27" t="s">
        <v>66</v>
      </c>
      <c r="R1216" s="27"/>
      <c r="S1216" s="48"/>
    </row>
    <row r="1217" spans="2:19" x14ac:dyDescent="0.25">
      <c r="B1217" s="190"/>
      <c r="C1217" s="193"/>
      <c r="D1217" s="27" t="s">
        <v>80</v>
      </c>
      <c r="E1217" s="28">
        <v>3</v>
      </c>
      <c r="F1217" s="28">
        <v>27</v>
      </c>
      <c r="G1217" s="27" t="s">
        <v>66</v>
      </c>
      <c r="H1217" s="27"/>
      <c r="I1217" s="48"/>
      <c r="L1217" s="190"/>
      <c r="M1217" s="193"/>
      <c r="N1217" s="27" t="s">
        <v>80</v>
      </c>
      <c r="O1217" s="28">
        <v>3</v>
      </c>
      <c r="P1217" s="28">
        <v>27</v>
      </c>
      <c r="Q1217" s="27" t="s">
        <v>66</v>
      </c>
      <c r="R1217" s="27"/>
      <c r="S1217" s="48"/>
    </row>
    <row r="1218" spans="2:19" x14ac:dyDescent="0.25">
      <c r="B1218" s="190"/>
      <c r="C1218" s="193"/>
      <c r="D1218" s="27" t="s">
        <v>81</v>
      </c>
      <c r="E1218" s="28">
        <v>4</v>
      </c>
      <c r="F1218" s="28">
        <v>28</v>
      </c>
      <c r="G1218" s="27" t="s">
        <v>66</v>
      </c>
      <c r="H1218" s="27"/>
      <c r="I1218" s="48"/>
      <c r="L1218" s="190"/>
      <c r="M1218" s="193"/>
      <c r="N1218" s="27" t="s">
        <v>81</v>
      </c>
      <c r="O1218" s="28">
        <v>4</v>
      </c>
      <c r="P1218" s="28">
        <v>28</v>
      </c>
      <c r="Q1218" s="27" t="s">
        <v>66</v>
      </c>
      <c r="R1218" s="27"/>
      <c r="S1218" s="48"/>
    </row>
    <row r="1219" spans="2:19" x14ac:dyDescent="0.25">
      <c r="B1219" s="190"/>
      <c r="C1219" s="193"/>
      <c r="D1219" s="27" t="s">
        <v>82</v>
      </c>
      <c r="E1219" s="28">
        <v>5</v>
      </c>
      <c r="F1219" s="28">
        <v>29</v>
      </c>
      <c r="G1219" s="27" t="s">
        <v>66</v>
      </c>
      <c r="H1219" s="27"/>
      <c r="I1219" s="48"/>
      <c r="L1219" s="190"/>
      <c r="M1219" s="193"/>
      <c r="N1219" s="27" t="s">
        <v>82</v>
      </c>
      <c r="O1219" s="28">
        <v>5</v>
      </c>
      <c r="P1219" s="28">
        <v>29</v>
      </c>
      <c r="Q1219" s="27" t="s">
        <v>66</v>
      </c>
      <c r="R1219" s="27"/>
      <c r="S1219" s="48"/>
    </row>
    <row r="1220" spans="2:19" ht="15.75" thickBot="1" x14ac:dyDescent="0.3">
      <c r="B1220" s="190"/>
      <c r="C1220" s="194"/>
      <c r="D1220" s="27" t="s">
        <v>83</v>
      </c>
      <c r="E1220" s="28">
        <v>6</v>
      </c>
      <c r="F1220" s="28">
        <v>30</v>
      </c>
      <c r="G1220" s="27" t="s">
        <v>66</v>
      </c>
      <c r="H1220" s="27"/>
      <c r="I1220" s="48"/>
      <c r="L1220" s="190"/>
      <c r="M1220" s="194"/>
      <c r="N1220" s="27" t="s">
        <v>83</v>
      </c>
      <c r="O1220" s="28">
        <v>6</v>
      </c>
      <c r="P1220" s="28">
        <v>30</v>
      </c>
      <c r="Q1220" s="27" t="s">
        <v>66</v>
      </c>
      <c r="R1220" s="27"/>
      <c r="S1220" s="48"/>
    </row>
    <row r="1221" spans="2:19" x14ac:dyDescent="0.25">
      <c r="B1221" s="190"/>
      <c r="C1221" s="192" t="s">
        <v>84</v>
      </c>
      <c r="D1221" s="27" t="s">
        <v>2</v>
      </c>
      <c r="E1221" s="28">
        <v>1</v>
      </c>
      <c r="F1221" s="28">
        <v>31</v>
      </c>
      <c r="G1221" s="27" t="s">
        <v>66</v>
      </c>
      <c r="H1221" s="27"/>
      <c r="I1221" s="48"/>
      <c r="L1221" s="190"/>
      <c r="M1221" s="192" t="s">
        <v>84</v>
      </c>
      <c r="N1221" s="27" t="s">
        <v>2</v>
      </c>
      <c r="O1221" s="28">
        <v>1</v>
      </c>
      <c r="P1221" s="28">
        <v>31</v>
      </c>
      <c r="Q1221" s="27" t="s">
        <v>66</v>
      </c>
      <c r="R1221" s="27"/>
      <c r="S1221" s="48"/>
    </row>
    <row r="1222" spans="2:19" x14ac:dyDescent="0.25">
      <c r="B1222" s="190"/>
      <c r="C1222" s="193"/>
      <c r="D1222" s="27" t="s">
        <v>3</v>
      </c>
      <c r="E1222" s="28">
        <v>2</v>
      </c>
      <c r="F1222" s="28">
        <v>32</v>
      </c>
      <c r="G1222" s="27" t="s">
        <v>66</v>
      </c>
      <c r="H1222" s="27"/>
      <c r="I1222" s="48"/>
      <c r="L1222" s="190"/>
      <c r="M1222" s="193"/>
      <c r="N1222" s="27" t="s">
        <v>3</v>
      </c>
      <c r="O1222" s="28">
        <v>2</v>
      </c>
      <c r="P1222" s="28">
        <v>32</v>
      </c>
      <c r="Q1222" s="27" t="s">
        <v>66</v>
      </c>
      <c r="R1222" s="27"/>
      <c r="S1222" s="48"/>
    </row>
    <row r="1223" spans="2:19" x14ac:dyDescent="0.25">
      <c r="B1223" s="190"/>
      <c r="C1223" s="193"/>
      <c r="D1223" s="27" t="s">
        <v>80</v>
      </c>
      <c r="E1223" s="28">
        <v>3</v>
      </c>
      <c r="F1223" s="28">
        <v>33</v>
      </c>
      <c r="G1223" s="27" t="s">
        <v>66</v>
      </c>
      <c r="H1223" s="27"/>
      <c r="I1223" s="48"/>
      <c r="L1223" s="190"/>
      <c r="M1223" s="193"/>
      <c r="N1223" s="27" t="s">
        <v>80</v>
      </c>
      <c r="O1223" s="28">
        <v>3</v>
      </c>
      <c r="P1223" s="28">
        <v>33</v>
      </c>
      <c r="Q1223" s="27" t="s">
        <v>66</v>
      </c>
      <c r="R1223" s="27"/>
      <c r="S1223" s="48"/>
    </row>
    <row r="1224" spans="2:19" x14ac:dyDescent="0.25">
      <c r="B1224" s="190"/>
      <c r="C1224" s="193"/>
      <c r="D1224" s="27" t="s">
        <v>81</v>
      </c>
      <c r="E1224" s="28">
        <v>4</v>
      </c>
      <c r="F1224" s="28">
        <v>34</v>
      </c>
      <c r="G1224" s="27" t="s">
        <v>66</v>
      </c>
      <c r="H1224" s="27"/>
      <c r="I1224" s="48"/>
      <c r="L1224" s="190"/>
      <c r="M1224" s="193"/>
      <c r="N1224" s="27" t="s">
        <v>81</v>
      </c>
      <c r="O1224" s="28">
        <v>4</v>
      </c>
      <c r="P1224" s="28">
        <v>34</v>
      </c>
      <c r="Q1224" s="27" t="s">
        <v>66</v>
      </c>
      <c r="R1224" s="27"/>
      <c r="S1224" s="48"/>
    </row>
    <row r="1225" spans="2:19" x14ac:dyDescent="0.25">
      <c r="B1225" s="190"/>
      <c r="C1225" s="193"/>
      <c r="D1225" s="27" t="s">
        <v>82</v>
      </c>
      <c r="E1225" s="28">
        <v>5</v>
      </c>
      <c r="F1225" s="28">
        <v>35</v>
      </c>
      <c r="G1225" s="27" t="s">
        <v>66</v>
      </c>
      <c r="H1225" s="27"/>
      <c r="I1225" s="48"/>
      <c r="L1225" s="190"/>
      <c r="M1225" s="193"/>
      <c r="N1225" s="27" t="s">
        <v>82</v>
      </c>
      <c r="O1225" s="28">
        <v>5</v>
      </c>
      <c r="P1225" s="28">
        <v>35</v>
      </c>
      <c r="Q1225" s="27" t="s">
        <v>66</v>
      </c>
      <c r="R1225" s="27"/>
      <c r="S1225" s="48"/>
    </row>
    <row r="1226" spans="2:19" ht="15.75" thickBot="1" x14ac:dyDescent="0.3">
      <c r="B1226" s="191"/>
      <c r="C1226" s="194"/>
      <c r="D1226" s="27" t="s">
        <v>83</v>
      </c>
      <c r="E1226" s="28">
        <v>6</v>
      </c>
      <c r="F1226" s="28">
        <v>36</v>
      </c>
      <c r="G1226" s="27" t="s">
        <v>66</v>
      </c>
      <c r="H1226" s="27"/>
      <c r="I1226" s="48"/>
      <c r="L1226" s="191"/>
      <c r="M1226" s="194"/>
      <c r="N1226" s="27" t="s">
        <v>83</v>
      </c>
      <c r="O1226" s="28">
        <v>6</v>
      </c>
      <c r="P1226" s="28">
        <v>36</v>
      </c>
      <c r="Q1226" s="27" t="s">
        <v>66</v>
      </c>
      <c r="R1226" s="27"/>
      <c r="S1226" s="48"/>
    </row>
    <row r="1227" spans="2:19" x14ac:dyDescent="0.25">
      <c r="B1227" s="183" t="s">
        <v>81</v>
      </c>
      <c r="C1227" s="186" t="s">
        <v>77</v>
      </c>
      <c r="D1227" s="29" t="s">
        <v>2</v>
      </c>
      <c r="E1227" s="30">
        <v>1</v>
      </c>
      <c r="F1227" s="30">
        <v>37</v>
      </c>
      <c r="G1227" s="29" t="s">
        <v>66</v>
      </c>
      <c r="H1227" s="29"/>
      <c r="I1227" s="49"/>
      <c r="L1227" s="183" t="s">
        <v>81</v>
      </c>
      <c r="M1227" s="186" t="s">
        <v>77</v>
      </c>
      <c r="N1227" s="29" t="s">
        <v>2</v>
      </c>
      <c r="O1227" s="30">
        <v>1</v>
      </c>
      <c r="P1227" s="30">
        <v>37</v>
      </c>
      <c r="Q1227" s="29" t="s">
        <v>66</v>
      </c>
      <c r="R1227" s="29"/>
      <c r="S1227" s="49"/>
    </row>
    <row r="1228" spans="2:19" x14ac:dyDescent="0.25">
      <c r="B1228" s="184"/>
      <c r="C1228" s="187"/>
      <c r="D1228" s="29" t="s">
        <v>3</v>
      </c>
      <c r="E1228" s="30">
        <v>2</v>
      </c>
      <c r="F1228" s="30">
        <v>38</v>
      </c>
      <c r="G1228" s="29" t="s">
        <v>66</v>
      </c>
      <c r="H1228" s="29"/>
      <c r="I1228" s="49"/>
      <c r="L1228" s="184"/>
      <c r="M1228" s="187"/>
      <c r="N1228" s="29" t="s">
        <v>3</v>
      </c>
      <c r="O1228" s="30">
        <v>2</v>
      </c>
      <c r="P1228" s="30">
        <v>38</v>
      </c>
      <c r="Q1228" s="29" t="s">
        <v>66</v>
      </c>
      <c r="R1228" s="29"/>
      <c r="S1228" s="49"/>
    </row>
    <row r="1229" spans="2:19" x14ac:dyDescent="0.25">
      <c r="B1229" s="184"/>
      <c r="C1229" s="187"/>
      <c r="D1229" s="29" t="s">
        <v>80</v>
      </c>
      <c r="E1229" s="30">
        <v>3</v>
      </c>
      <c r="F1229" s="30">
        <v>39</v>
      </c>
      <c r="G1229" s="29" t="s">
        <v>66</v>
      </c>
      <c r="H1229" s="29"/>
      <c r="I1229" s="49"/>
      <c r="L1229" s="184"/>
      <c r="M1229" s="187"/>
      <c r="N1229" s="29" t="s">
        <v>80</v>
      </c>
      <c r="O1229" s="30">
        <v>3</v>
      </c>
      <c r="P1229" s="30">
        <v>39</v>
      </c>
      <c r="Q1229" s="29" t="s">
        <v>66</v>
      </c>
      <c r="R1229" s="29"/>
      <c r="S1229" s="49"/>
    </row>
    <row r="1230" spans="2:19" x14ac:dyDescent="0.25">
      <c r="B1230" s="184"/>
      <c r="C1230" s="187"/>
      <c r="D1230" s="29" t="s">
        <v>81</v>
      </c>
      <c r="E1230" s="30">
        <v>4</v>
      </c>
      <c r="F1230" s="30">
        <v>40</v>
      </c>
      <c r="G1230" s="29" t="s">
        <v>66</v>
      </c>
      <c r="H1230" s="29"/>
      <c r="I1230" s="49"/>
      <c r="L1230" s="184"/>
      <c r="M1230" s="187"/>
      <c r="N1230" s="29" t="s">
        <v>81</v>
      </c>
      <c r="O1230" s="30">
        <v>4</v>
      </c>
      <c r="P1230" s="30">
        <v>40</v>
      </c>
      <c r="Q1230" s="29" t="s">
        <v>66</v>
      </c>
      <c r="R1230" s="29"/>
      <c r="S1230" s="49"/>
    </row>
    <row r="1231" spans="2:19" x14ac:dyDescent="0.25">
      <c r="B1231" s="184"/>
      <c r="C1231" s="187"/>
      <c r="D1231" s="29" t="s">
        <v>82</v>
      </c>
      <c r="E1231" s="30">
        <v>5</v>
      </c>
      <c r="F1231" s="30">
        <v>41</v>
      </c>
      <c r="G1231" s="29" t="s">
        <v>66</v>
      </c>
      <c r="H1231" s="29"/>
      <c r="I1231" s="49"/>
      <c r="L1231" s="184"/>
      <c r="M1231" s="187"/>
      <c r="N1231" s="29" t="s">
        <v>82</v>
      </c>
      <c r="O1231" s="30">
        <v>5</v>
      </c>
      <c r="P1231" s="30">
        <v>41</v>
      </c>
      <c r="Q1231" s="29" t="s">
        <v>66</v>
      </c>
      <c r="R1231" s="29"/>
      <c r="S1231" s="49"/>
    </row>
    <row r="1232" spans="2:19" ht="15.75" thickBot="1" x14ac:dyDescent="0.3">
      <c r="B1232" s="184"/>
      <c r="C1232" s="188"/>
      <c r="D1232" s="29" t="s">
        <v>83</v>
      </c>
      <c r="E1232" s="30">
        <v>6</v>
      </c>
      <c r="F1232" s="30">
        <v>42</v>
      </c>
      <c r="G1232" s="29" t="s">
        <v>66</v>
      </c>
      <c r="H1232" s="29"/>
      <c r="I1232" s="49"/>
      <c r="L1232" s="184"/>
      <c r="M1232" s="188"/>
      <c r="N1232" s="29" t="s">
        <v>83</v>
      </c>
      <c r="O1232" s="30">
        <v>6</v>
      </c>
      <c r="P1232" s="30">
        <v>42</v>
      </c>
      <c r="Q1232" s="29" t="s">
        <v>66</v>
      </c>
      <c r="R1232" s="29"/>
      <c r="S1232" s="49"/>
    </row>
    <row r="1233" spans="2:19" x14ac:dyDescent="0.25">
      <c r="B1233" s="184"/>
      <c r="C1233" s="186" t="s">
        <v>84</v>
      </c>
      <c r="D1233" s="29" t="s">
        <v>2</v>
      </c>
      <c r="E1233" s="30">
        <v>1</v>
      </c>
      <c r="F1233" s="30">
        <v>43</v>
      </c>
      <c r="G1233" s="29" t="s">
        <v>66</v>
      </c>
      <c r="H1233" s="29"/>
      <c r="I1233" s="49"/>
      <c r="L1233" s="184"/>
      <c r="M1233" s="186" t="s">
        <v>84</v>
      </c>
      <c r="N1233" s="29" t="s">
        <v>2</v>
      </c>
      <c r="O1233" s="30">
        <v>1</v>
      </c>
      <c r="P1233" s="30">
        <v>43</v>
      </c>
      <c r="Q1233" s="29" t="s">
        <v>66</v>
      </c>
      <c r="R1233" s="29"/>
      <c r="S1233" s="49"/>
    </row>
    <row r="1234" spans="2:19" x14ac:dyDescent="0.25">
      <c r="B1234" s="184"/>
      <c r="C1234" s="187"/>
      <c r="D1234" s="29" t="s">
        <v>3</v>
      </c>
      <c r="E1234" s="30">
        <v>2</v>
      </c>
      <c r="F1234" s="30">
        <v>44</v>
      </c>
      <c r="G1234" s="29" t="s">
        <v>66</v>
      </c>
      <c r="H1234" s="29"/>
      <c r="I1234" s="49"/>
      <c r="L1234" s="184"/>
      <c r="M1234" s="187"/>
      <c r="N1234" s="29" t="s">
        <v>3</v>
      </c>
      <c r="O1234" s="30">
        <v>2</v>
      </c>
      <c r="P1234" s="30">
        <v>44</v>
      </c>
      <c r="Q1234" s="29" t="s">
        <v>66</v>
      </c>
      <c r="R1234" s="29"/>
      <c r="S1234" s="49"/>
    </row>
    <row r="1235" spans="2:19" x14ac:dyDescent="0.25">
      <c r="B1235" s="184"/>
      <c r="C1235" s="187"/>
      <c r="D1235" s="29" t="s">
        <v>80</v>
      </c>
      <c r="E1235" s="30">
        <v>3</v>
      </c>
      <c r="F1235" s="30">
        <v>45</v>
      </c>
      <c r="G1235" s="29" t="s">
        <v>66</v>
      </c>
      <c r="H1235" s="29"/>
      <c r="I1235" s="49"/>
      <c r="L1235" s="184"/>
      <c r="M1235" s="187"/>
      <c r="N1235" s="29" t="s">
        <v>80</v>
      </c>
      <c r="O1235" s="30">
        <v>3</v>
      </c>
      <c r="P1235" s="30">
        <v>45</v>
      </c>
      <c r="Q1235" s="29" t="s">
        <v>66</v>
      </c>
      <c r="R1235" s="29"/>
      <c r="S1235" s="49"/>
    </row>
    <row r="1236" spans="2:19" x14ac:dyDescent="0.25">
      <c r="B1236" s="184"/>
      <c r="C1236" s="187"/>
      <c r="D1236" s="29" t="s">
        <v>81</v>
      </c>
      <c r="E1236" s="30">
        <v>4</v>
      </c>
      <c r="F1236" s="30">
        <v>46</v>
      </c>
      <c r="G1236" s="29" t="s">
        <v>66</v>
      </c>
      <c r="H1236" s="29"/>
      <c r="I1236" s="49"/>
      <c r="L1236" s="184"/>
      <c r="M1236" s="187"/>
      <c r="N1236" s="29" t="s">
        <v>81</v>
      </c>
      <c r="O1236" s="30">
        <v>4</v>
      </c>
      <c r="P1236" s="30">
        <v>46</v>
      </c>
      <c r="Q1236" s="29" t="s">
        <v>66</v>
      </c>
      <c r="R1236" s="29"/>
      <c r="S1236" s="49"/>
    </row>
    <row r="1237" spans="2:19" x14ac:dyDescent="0.25">
      <c r="B1237" s="184"/>
      <c r="C1237" s="187"/>
      <c r="D1237" s="29" t="s">
        <v>82</v>
      </c>
      <c r="E1237" s="30">
        <v>5</v>
      </c>
      <c r="F1237" s="30">
        <v>47</v>
      </c>
      <c r="G1237" s="29" t="s">
        <v>66</v>
      </c>
      <c r="H1237" s="29"/>
      <c r="I1237" s="49"/>
      <c r="L1237" s="184"/>
      <c r="M1237" s="187"/>
      <c r="N1237" s="29" t="s">
        <v>82</v>
      </c>
      <c r="O1237" s="30">
        <v>5</v>
      </c>
      <c r="P1237" s="30">
        <v>47</v>
      </c>
      <c r="Q1237" s="29" t="s">
        <v>66</v>
      </c>
      <c r="R1237" s="29"/>
      <c r="S1237" s="49"/>
    </row>
    <row r="1238" spans="2:19" ht="15.75" thickBot="1" x14ac:dyDescent="0.3">
      <c r="B1238" s="185"/>
      <c r="C1238" s="188"/>
      <c r="D1238" s="29" t="s">
        <v>83</v>
      </c>
      <c r="E1238" s="30">
        <v>6</v>
      </c>
      <c r="F1238" s="30">
        <v>48</v>
      </c>
      <c r="G1238" s="29" t="s">
        <v>66</v>
      </c>
      <c r="H1238" s="29"/>
      <c r="I1238" s="49"/>
      <c r="L1238" s="185"/>
      <c r="M1238" s="188"/>
      <c r="N1238" s="29" t="s">
        <v>83</v>
      </c>
      <c r="O1238" s="30">
        <v>6</v>
      </c>
      <c r="P1238" s="30">
        <v>48</v>
      </c>
      <c r="Q1238" s="29" t="s">
        <v>66</v>
      </c>
      <c r="R1238" s="29"/>
      <c r="S1238" s="49"/>
    </row>
  </sheetData>
  <mergeCells count="698">
    <mergeCell ref="B1175:B1186"/>
    <mergeCell ref="C1175:C1180"/>
    <mergeCell ref="L1175:L1186"/>
    <mergeCell ref="M1175:M1180"/>
    <mergeCell ref="C1181:C1186"/>
    <mergeCell ref="M1181:M1186"/>
    <mergeCell ref="C1157:C1162"/>
    <mergeCell ref="M1157:M1162"/>
    <mergeCell ref="B1227:B1238"/>
    <mergeCell ref="C1227:C1232"/>
    <mergeCell ref="L1227:L1238"/>
    <mergeCell ref="M1227:M1232"/>
    <mergeCell ref="C1233:C1238"/>
    <mergeCell ref="M1233:M1238"/>
    <mergeCell ref="C1209:C1214"/>
    <mergeCell ref="M1209:M1214"/>
    <mergeCell ref="B1215:B1226"/>
    <mergeCell ref="C1215:C1220"/>
    <mergeCell ref="L1215:L1226"/>
    <mergeCell ref="M1215:M1220"/>
    <mergeCell ref="C1221:C1226"/>
    <mergeCell ref="M1221:M1226"/>
    <mergeCell ref="B1203:B1214"/>
    <mergeCell ref="C1203:C1208"/>
    <mergeCell ref="L1203:L1214"/>
    <mergeCell ref="M1203:M1208"/>
    <mergeCell ref="B1188:I1188"/>
    <mergeCell ref="L1188:S1188"/>
    <mergeCell ref="B1191:B1202"/>
    <mergeCell ref="C1191:C1196"/>
    <mergeCell ref="L1191:L1202"/>
    <mergeCell ref="M1191:M1196"/>
    <mergeCell ref="C1197:C1202"/>
    <mergeCell ref="M1197:M1202"/>
    <mergeCell ref="B1163:B1174"/>
    <mergeCell ref="C1163:C1168"/>
    <mergeCell ref="L1163:L1174"/>
    <mergeCell ref="M1163:M1168"/>
    <mergeCell ref="C1169:C1174"/>
    <mergeCell ref="M1169:M1174"/>
    <mergeCell ref="B1151:B1162"/>
    <mergeCell ref="C1151:C1156"/>
    <mergeCell ref="L1151:L1162"/>
    <mergeCell ref="M1151:M1156"/>
    <mergeCell ref="B1139:B1150"/>
    <mergeCell ref="C1139:C1144"/>
    <mergeCell ref="L1139:L1150"/>
    <mergeCell ref="M1139:M1144"/>
    <mergeCell ref="C1145:C1150"/>
    <mergeCell ref="M1145:M1150"/>
    <mergeCell ref="B1123:B1134"/>
    <mergeCell ref="C1123:C1128"/>
    <mergeCell ref="L1123:L1134"/>
    <mergeCell ref="M1123:M1128"/>
    <mergeCell ref="C1129:C1134"/>
    <mergeCell ref="M1129:M1134"/>
    <mergeCell ref="B1063:B1074"/>
    <mergeCell ref="C1063:C1068"/>
    <mergeCell ref="L1063:L1074"/>
    <mergeCell ref="M1063:M1068"/>
    <mergeCell ref="C1069:C1074"/>
    <mergeCell ref="M1069:M1074"/>
    <mergeCell ref="C1045:C1050"/>
    <mergeCell ref="M1045:M1050"/>
    <mergeCell ref="B1136:I1136"/>
    <mergeCell ref="L1136:S1136"/>
    <mergeCell ref="C1105:C1110"/>
    <mergeCell ref="M1105:M1110"/>
    <mergeCell ref="B1111:B1122"/>
    <mergeCell ref="C1111:C1116"/>
    <mergeCell ref="L1111:L1122"/>
    <mergeCell ref="M1111:M1116"/>
    <mergeCell ref="C1117:C1122"/>
    <mergeCell ref="M1117:M1122"/>
    <mergeCell ref="B1099:B1110"/>
    <mergeCell ref="C1099:C1104"/>
    <mergeCell ref="L1099:L1110"/>
    <mergeCell ref="M1099:M1104"/>
    <mergeCell ref="B1084:I1084"/>
    <mergeCell ref="L1084:S1084"/>
    <mergeCell ref="B1087:B1098"/>
    <mergeCell ref="C1087:C1092"/>
    <mergeCell ref="L1087:L1098"/>
    <mergeCell ref="M1087:M1092"/>
    <mergeCell ref="C1093:C1098"/>
    <mergeCell ref="M1093:M1098"/>
    <mergeCell ref="B998:B1009"/>
    <mergeCell ref="C998:C1003"/>
    <mergeCell ref="L998:L1009"/>
    <mergeCell ref="M998:M1003"/>
    <mergeCell ref="C1004:C1009"/>
    <mergeCell ref="M1004:M1009"/>
    <mergeCell ref="B1051:B1062"/>
    <mergeCell ref="C1051:C1056"/>
    <mergeCell ref="L1051:L1062"/>
    <mergeCell ref="M1051:M1056"/>
    <mergeCell ref="C1057:C1062"/>
    <mergeCell ref="M1057:M1062"/>
    <mergeCell ref="B1039:B1050"/>
    <mergeCell ref="C1039:C1044"/>
    <mergeCell ref="L1039:L1050"/>
    <mergeCell ref="M1039:M1044"/>
    <mergeCell ref="H1039:H1044"/>
    <mergeCell ref="I1039:I1044"/>
    <mergeCell ref="B1027:B1038"/>
    <mergeCell ref="C1027:C1032"/>
    <mergeCell ref="L1027:L1038"/>
    <mergeCell ref="M1027:M1032"/>
    <mergeCell ref="C1033:C1038"/>
    <mergeCell ref="M1033:M1038"/>
    <mergeCell ref="C1016:C1021"/>
    <mergeCell ref="M1016:M1021"/>
    <mergeCell ref="B1024:I1024"/>
    <mergeCell ref="L1024:S1024"/>
    <mergeCell ref="B1010:B1021"/>
    <mergeCell ref="C1010:C1015"/>
    <mergeCell ref="L1010:L1021"/>
    <mergeCell ref="M1010:M1015"/>
    <mergeCell ref="B986:B997"/>
    <mergeCell ref="C986:C991"/>
    <mergeCell ref="L986:L997"/>
    <mergeCell ref="M986:M991"/>
    <mergeCell ref="B971:I971"/>
    <mergeCell ref="L971:S971"/>
    <mergeCell ref="B974:B985"/>
    <mergeCell ref="C974:C979"/>
    <mergeCell ref="L974:L985"/>
    <mergeCell ref="M974:M979"/>
    <mergeCell ref="C980:C985"/>
    <mergeCell ref="M980:M985"/>
    <mergeCell ref="H986:H991"/>
    <mergeCell ref="I986:I991"/>
    <mergeCell ref="R986:R991"/>
    <mergeCell ref="S986:S991"/>
    <mergeCell ref="C992:C997"/>
    <mergeCell ref="M992:M997"/>
    <mergeCell ref="R933:R938"/>
    <mergeCell ref="S933:S938"/>
    <mergeCell ref="B957:B968"/>
    <mergeCell ref="C957:C962"/>
    <mergeCell ref="L957:L968"/>
    <mergeCell ref="M957:M962"/>
    <mergeCell ref="C963:C968"/>
    <mergeCell ref="M963:M968"/>
    <mergeCell ref="B918:I918"/>
    <mergeCell ref="L918:S918"/>
    <mergeCell ref="B921:B932"/>
    <mergeCell ref="C921:C926"/>
    <mergeCell ref="L921:L932"/>
    <mergeCell ref="M921:M926"/>
    <mergeCell ref="C927:C932"/>
    <mergeCell ref="M927:M932"/>
    <mergeCell ref="B945:B956"/>
    <mergeCell ref="C945:C950"/>
    <mergeCell ref="L945:L956"/>
    <mergeCell ref="M945:M950"/>
    <mergeCell ref="C951:C956"/>
    <mergeCell ref="M951:M956"/>
    <mergeCell ref="B933:B944"/>
    <mergeCell ref="C933:C938"/>
    <mergeCell ref="C939:C944"/>
    <mergeCell ref="M939:M944"/>
    <mergeCell ref="B903:B914"/>
    <mergeCell ref="C903:C908"/>
    <mergeCell ref="L903:L914"/>
    <mergeCell ref="M903:M908"/>
    <mergeCell ref="C909:C914"/>
    <mergeCell ref="M909:M914"/>
    <mergeCell ref="H933:H938"/>
    <mergeCell ref="I933:I938"/>
    <mergeCell ref="L933:L944"/>
    <mergeCell ref="M933:M938"/>
    <mergeCell ref="B891:B902"/>
    <mergeCell ref="C891:C896"/>
    <mergeCell ref="L891:L902"/>
    <mergeCell ref="M891:M896"/>
    <mergeCell ref="C897:C902"/>
    <mergeCell ref="M897:M902"/>
    <mergeCell ref="B879:B890"/>
    <mergeCell ref="C879:C884"/>
    <mergeCell ref="L879:L890"/>
    <mergeCell ref="M879:M884"/>
    <mergeCell ref="C885:C890"/>
    <mergeCell ref="M885:M890"/>
    <mergeCell ref="B864:I864"/>
    <mergeCell ref="L864:S864"/>
    <mergeCell ref="B867:B878"/>
    <mergeCell ref="C867:C872"/>
    <mergeCell ref="L867:L878"/>
    <mergeCell ref="M867:M872"/>
    <mergeCell ref="C873:C878"/>
    <mergeCell ref="M873:M878"/>
    <mergeCell ref="H879:H884"/>
    <mergeCell ref="I879:I884"/>
    <mergeCell ref="R879:R884"/>
    <mergeCell ref="S879:S884"/>
    <mergeCell ref="B843:B854"/>
    <mergeCell ref="C843:C848"/>
    <mergeCell ref="L843:L854"/>
    <mergeCell ref="M843:M848"/>
    <mergeCell ref="C849:C854"/>
    <mergeCell ref="M849:M854"/>
    <mergeCell ref="B831:B842"/>
    <mergeCell ref="C831:C836"/>
    <mergeCell ref="L831:L842"/>
    <mergeCell ref="M831:M836"/>
    <mergeCell ref="C837:C842"/>
    <mergeCell ref="M837:M842"/>
    <mergeCell ref="B819:B830"/>
    <mergeCell ref="C819:C824"/>
    <mergeCell ref="L819:L830"/>
    <mergeCell ref="M819:M824"/>
    <mergeCell ref="C825:C830"/>
    <mergeCell ref="M825:M830"/>
    <mergeCell ref="B804:I804"/>
    <mergeCell ref="L804:S804"/>
    <mergeCell ref="B807:B818"/>
    <mergeCell ref="C807:C812"/>
    <mergeCell ref="L807:L818"/>
    <mergeCell ref="M807:M812"/>
    <mergeCell ref="C813:C818"/>
    <mergeCell ref="M813:M818"/>
    <mergeCell ref="B790:B801"/>
    <mergeCell ref="C790:C795"/>
    <mergeCell ref="L790:L801"/>
    <mergeCell ref="M790:M795"/>
    <mergeCell ref="C796:C801"/>
    <mergeCell ref="M796:M801"/>
    <mergeCell ref="B778:B789"/>
    <mergeCell ref="C778:C783"/>
    <mergeCell ref="L778:L789"/>
    <mergeCell ref="M778:M783"/>
    <mergeCell ref="C784:C789"/>
    <mergeCell ref="M784:M789"/>
    <mergeCell ref="B766:B777"/>
    <mergeCell ref="C766:C771"/>
    <mergeCell ref="L766:L777"/>
    <mergeCell ref="M766:M771"/>
    <mergeCell ref="C772:C777"/>
    <mergeCell ref="M772:M777"/>
    <mergeCell ref="B751:I751"/>
    <mergeCell ref="L751:S751"/>
    <mergeCell ref="B754:B765"/>
    <mergeCell ref="C754:C759"/>
    <mergeCell ref="L754:L765"/>
    <mergeCell ref="M754:M759"/>
    <mergeCell ref="C760:C765"/>
    <mergeCell ref="M760:M765"/>
    <mergeCell ref="B737:B748"/>
    <mergeCell ref="C737:C742"/>
    <mergeCell ref="L737:L748"/>
    <mergeCell ref="M737:M742"/>
    <mergeCell ref="C743:C748"/>
    <mergeCell ref="M743:M748"/>
    <mergeCell ref="B725:B736"/>
    <mergeCell ref="C725:C730"/>
    <mergeCell ref="L725:L736"/>
    <mergeCell ref="M725:M730"/>
    <mergeCell ref="C731:C736"/>
    <mergeCell ref="M731:M736"/>
    <mergeCell ref="B713:B724"/>
    <mergeCell ref="C713:C718"/>
    <mergeCell ref="L713:L724"/>
    <mergeCell ref="M713:M718"/>
    <mergeCell ref="C719:C724"/>
    <mergeCell ref="M719:M724"/>
    <mergeCell ref="B698:I698"/>
    <mergeCell ref="L698:S698"/>
    <mergeCell ref="B701:B712"/>
    <mergeCell ref="C701:C706"/>
    <mergeCell ref="L701:L712"/>
    <mergeCell ref="M701:M706"/>
    <mergeCell ref="C707:C712"/>
    <mergeCell ref="H707:H712"/>
    <mergeCell ref="I707:I712"/>
    <mergeCell ref="M707:M712"/>
    <mergeCell ref="B684:B695"/>
    <mergeCell ref="C684:C689"/>
    <mergeCell ref="L684:L695"/>
    <mergeCell ref="M684:M689"/>
    <mergeCell ref="C690:C695"/>
    <mergeCell ref="M690:M695"/>
    <mergeCell ref="B672:B683"/>
    <mergeCell ref="C672:C677"/>
    <mergeCell ref="L672:L683"/>
    <mergeCell ref="M672:M677"/>
    <mergeCell ref="C678:C683"/>
    <mergeCell ref="M678:M683"/>
    <mergeCell ref="B660:B671"/>
    <mergeCell ref="C660:C665"/>
    <mergeCell ref="L660:L671"/>
    <mergeCell ref="M660:M665"/>
    <mergeCell ref="C666:C671"/>
    <mergeCell ref="M666:M671"/>
    <mergeCell ref="B645:I645"/>
    <mergeCell ref="L645:S645"/>
    <mergeCell ref="B648:B659"/>
    <mergeCell ref="C648:C653"/>
    <mergeCell ref="L648:L659"/>
    <mergeCell ref="M648:M653"/>
    <mergeCell ref="C654:C659"/>
    <mergeCell ref="H654:H659"/>
    <mergeCell ref="I654:I659"/>
    <mergeCell ref="M654:M659"/>
    <mergeCell ref="B627:B638"/>
    <mergeCell ref="C627:C632"/>
    <mergeCell ref="L627:L638"/>
    <mergeCell ref="M627:M632"/>
    <mergeCell ref="C633:C638"/>
    <mergeCell ref="M633:M638"/>
    <mergeCell ref="B615:B626"/>
    <mergeCell ref="C615:C620"/>
    <mergeCell ref="L615:L626"/>
    <mergeCell ref="M615:M620"/>
    <mergeCell ref="C621:C626"/>
    <mergeCell ref="M621:M626"/>
    <mergeCell ref="B603:B614"/>
    <mergeCell ref="C603:C608"/>
    <mergeCell ref="L603:L614"/>
    <mergeCell ref="M603:M608"/>
    <mergeCell ref="C609:C614"/>
    <mergeCell ref="M609:M614"/>
    <mergeCell ref="B588:I588"/>
    <mergeCell ref="L588:S588"/>
    <mergeCell ref="B591:B602"/>
    <mergeCell ref="C591:C596"/>
    <mergeCell ref="L591:L602"/>
    <mergeCell ref="M591:M596"/>
    <mergeCell ref="C597:C602"/>
    <mergeCell ref="H597:H602"/>
    <mergeCell ref="I597:I602"/>
    <mergeCell ref="M597:M602"/>
    <mergeCell ref="B575:B586"/>
    <mergeCell ref="C575:C580"/>
    <mergeCell ref="L575:L586"/>
    <mergeCell ref="M575:M580"/>
    <mergeCell ref="C581:C586"/>
    <mergeCell ref="M581:M586"/>
    <mergeCell ref="B563:B574"/>
    <mergeCell ref="C563:C568"/>
    <mergeCell ref="L563:L574"/>
    <mergeCell ref="M563:M568"/>
    <mergeCell ref="C569:C574"/>
    <mergeCell ref="M569:M574"/>
    <mergeCell ref="B551:B562"/>
    <mergeCell ref="C551:C556"/>
    <mergeCell ref="L551:L562"/>
    <mergeCell ref="M551:M556"/>
    <mergeCell ref="C557:C562"/>
    <mergeCell ref="M557:M562"/>
    <mergeCell ref="B536:I536"/>
    <mergeCell ref="L536:S536"/>
    <mergeCell ref="B539:B550"/>
    <mergeCell ref="C539:C544"/>
    <mergeCell ref="L539:L550"/>
    <mergeCell ref="M539:M544"/>
    <mergeCell ref="C545:C550"/>
    <mergeCell ref="H545:H550"/>
    <mergeCell ref="I545:I550"/>
    <mergeCell ref="M545:M550"/>
    <mergeCell ref="B523:B534"/>
    <mergeCell ref="C523:C528"/>
    <mergeCell ref="L523:L534"/>
    <mergeCell ref="M523:M528"/>
    <mergeCell ref="C529:C534"/>
    <mergeCell ref="M529:M534"/>
    <mergeCell ref="B511:B522"/>
    <mergeCell ref="C511:C516"/>
    <mergeCell ref="L511:L522"/>
    <mergeCell ref="M511:M516"/>
    <mergeCell ref="C517:C522"/>
    <mergeCell ref="M517:M522"/>
    <mergeCell ref="B499:B510"/>
    <mergeCell ref="C499:C504"/>
    <mergeCell ref="L499:L510"/>
    <mergeCell ref="M499:M504"/>
    <mergeCell ref="C505:C510"/>
    <mergeCell ref="M505:M510"/>
    <mergeCell ref="B484:I484"/>
    <mergeCell ref="L484:S484"/>
    <mergeCell ref="B487:B498"/>
    <mergeCell ref="C487:C492"/>
    <mergeCell ref="L487:L498"/>
    <mergeCell ref="M487:M492"/>
    <mergeCell ref="C493:C498"/>
    <mergeCell ref="H493:H498"/>
    <mergeCell ref="I493:I498"/>
    <mergeCell ref="M493:M498"/>
    <mergeCell ref="B471:B482"/>
    <mergeCell ref="C471:C476"/>
    <mergeCell ref="L471:L482"/>
    <mergeCell ref="M471:M476"/>
    <mergeCell ref="C477:C482"/>
    <mergeCell ref="M477:M482"/>
    <mergeCell ref="B459:B470"/>
    <mergeCell ref="C459:C464"/>
    <mergeCell ref="L459:L470"/>
    <mergeCell ref="M459:M464"/>
    <mergeCell ref="C465:C470"/>
    <mergeCell ref="M465:M470"/>
    <mergeCell ref="C441:C446"/>
    <mergeCell ref="M441:M446"/>
    <mergeCell ref="B447:B458"/>
    <mergeCell ref="C447:C452"/>
    <mergeCell ref="L447:L458"/>
    <mergeCell ref="M447:M452"/>
    <mergeCell ref="C453:C458"/>
    <mergeCell ref="M453:M458"/>
    <mergeCell ref="B432:I432"/>
    <mergeCell ref="L432:S432"/>
    <mergeCell ref="B435:B446"/>
    <mergeCell ref="C435:C440"/>
    <mergeCell ref="L435:L446"/>
    <mergeCell ref="M435:M440"/>
    <mergeCell ref="B414:B425"/>
    <mergeCell ref="C414:C419"/>
    <mergeCell ref="L414:L425"/>
    <mergeCell ref="M414:M419"/>
    <mergeCell ref="C420:C425"/>
    <mergeCell ref="M420:M425"/>
    <mergeCell ref="B402:B413"/>
    <mergeCell ref="C402:C407"/>
    <mergeCell ref="L402:L413"/>
    <mergeCell ref="M402:M407"/>
    <mergeCell ref="C408:C413"/>
    <mergeCell ref="M408:M413"/>
    <mergeCell ref="C384:C389"/>
    <mergeCell ref="M384:M389"/>
    <mergeCell ref="B390:B401"/>
    <mergeCell ref="C390:C395"/>
    <mergeCell ref="L390:L401"/>
    <mergeCell ref="M390:M395"/>
    <mergeCell ref="C396:C401"/>
    <mergeCell ref="M396:M401"/>
    <mergeCell ref="B375:I375"/>
    <mergeCell ref="L375:S375"/>
    <mergeCell ref="B378:B389"/>
    <mergeCell ref="C378:C383"/>
    <mergeCell ref="H378:H383"/>
    <mergeCell ref="I378:I383"/>
    <mergeCell ref="L378:L389"/>
    <mergeCell ref="M378:M383"/>
    <mergeCell ref="R378:R383"/>
    <mergeCell ref="S378:S383"/>
    <mergeCell ref="B362:B373"/>
    <mergeCell ref="C362:C367"/>
    <mergeCell ref="L362:L373"/>
    <mergeCell ref="M362:M367"/>
    <mergeCell ref="C368:C373"/>
    <mergeCell ref="M368:M373"/>
    <mergeCell ref="B350:B361"/>
    <mergeCell ref="C350:C355"/>
    <mergeCell ref="L350:L361"/>
    <mergeCell ref="M350:M355"/>
    <mergeCell ref="C356:C361"/>
    <mergeCell ref="M356:M361"/>
    <mergeCell ref="C332:C337"/>
    <mergeCell ref="M332:M337"/>
    <mergeCell ref="B338:B349"/>
    <mergeCell ref="C338:C343"/>
    <mergeCell ref="L338:L349"/>
    <mergeCell ref="M338:M343"/>
    <mergeCell ref="C344:C349"/>
    <mergeCell ref="M344:M349"/>
    <mergeCell ref="B323:I323"/>
    <mergeCell ref="L323:S323"/>
    <mergeCell ref="B326:B337"/>
    <mergeCell ref="C326:C331"/>
    <mergeCell ref="H326:H331"/>
    <mergeCell ref="I326:I331"/>
    <mergeCell ref="L326:L337"/>
    <mergeCell ref="M326:M331"/>
    <mergeCell ref="R326:R331"/>
    <mergeCell ref="S326:S331"/>
    <mergeCell ref="B310:B321"/>
    <mergeCell ref="C310:C315"/>
    <mergeCell ref="L310:L321"/>
    <mergeCell ref="M310:M315"/>
    <mergeCell ref="C316:C321"/>
    <mergeCell ref="M316:M321"/>
    <mergeCell ref="B298:B309"/>
    <mergeCell ref="C298:C303"/>
    <mergeCell ref="L298:L309"/>
    <mergeCell ref="M298:M303"/>
    <mergeCell ref="C304:C309"/>
    <mergeCell ref="M304:M309"/>
    <mergeCell ref="C280:C285"/>
    <mergeCell ref="M280:M285"/>
    <mergeCell ref="B286:B297"/>
    <mergeCell ref="C286:C291"/>
    <mergeCell ref="L286:L297"/>
    <mergeCell ref="M286:M291"/>
    <mergeCell ref="C292:C297"/>
    <mergeCell ref="M292:M297"/>
    <mergeCell ref="B271:I271"/>
    <mergeCell ref="L271:S271"/>
    <mergeCell ref="B274:B285"/>
    <mergeCell ref="C274:C279"/>
    <mergeCell ref="H274:H279"/>
    <mergeCell ref="I274:I279"/>
    <mergeCell ref="L274:L285"/>
    <mergeCell ref="M274:M279"/>
    <mergeCell ref="R274:R279"/>
    <mergeCell ref="S274:S279"/>
    <mergeCell ref="B258:B269"/>
    <mergeCell ref="C258:C263"/>
    <mergeCell ref="L258:L269"/>
    <mergeCell ref="M258:M263"/>
    <mergeCell ref="C264:C269"/>
    <mergeCell ref="M264:M269"/>
    <mergeCell ref="B246:B257"/>
    <mergeCell ref="C246:C251"/>
    <mergeCell ref="L246:L257"/>
    <mergeCell ref="M246:M251"/>
    <mergeCell ref="C252:C257"/>
    <mergeCell ref="M252:M257"/>
    <mergeCell ref="C228:C233"/>
    <mergeCell ref="M228:M233"/>
    <mergeCell ref="B234:B245"/>
    <mergeCell ref="C234:C239"/>
    <mergeCell ref="L234:L245"/>
    <mergeCell ref="M234:M239"/>
    <mergeCell ref="C240:C245"/>
    <mergeCell ref="M240:M245"/>
    <mergeCell ref="B219:I219"/>
    <mergeCell ref="L219:S219"/>
    <mergeCell ref="B222:B233"/>
    <mergeCell ref="C222:C227"/>
    <mergeCell ref="H222:H227"/>
    <mergeCell ref="I222:I227"/>
    <mergeCell ref="L222:L233"/>
    <mergeCell ref="M222:M227"/>
    <mergeCell ref="R222:R227"/>
    <mergeCell ref="S222:S227"/>
    <mergeCell ref="B201:B212"/>
    <mergeCell ref="C201:C206"/>
    <mergeCell ref="L201:L212"/>
    <mergeCell ref="M201:M206"/>
    <mergeCell ref="C207:C212"/>
    <mergeCell ref="M207:M212"/>
    <mergeCell ref="B189:B200"/>
    <mergeCell ref="C189:C194"/>
    <mergeCell ref="L189:L200"/>
    <mergeCell ref="M189:M194"/>
    <mergeCell ref="C195:C200"/>
    <mergeCell ref="M195:M200"/>
    <mergeCell ref="C171:C176"/>
    <mergeCell ref="M171:M176"/>
    <mergeCell ref="B177:B188"/>
    <mergeCell ref="C177:C182"/>
    <mergeCell ref="L177:L188"/>
    <mergeCell ref="M177:M182"/>
    <mergeCell ref="C183:C188"/>
    <mergeCell ref="M183:M188"/>
    <mergeCell ref="B162:I162"/>
    <mergeCell ref="L162:S162"/>
    <mergeCell ref="B165:B176"/>
    <mergeCell ref="C165:C170"/>
    <mergeCell ref="H165:H170"/>
    <mergeCell ref="I165:I170"/>
    <mergeCell ref="L165:L176"/>
    <mergeCell ref="M165:M170"/>
    <mergeCell ref="R165:R170"/>
    <mergeCell ref="S165:S170"/>
    <mergeCell ref="B149:B160"/>
    <mergeCell ref="C149:C154"/>
    <mergeCell ref="L149:L160"/>
    <mergeCell ref="M149:M154"/>
    <mergeCell ref="C155:C160"/>
    <mergeCell ref="M155:M160"/>
    <mergeCell ref="B137:B148"/>
    <mergeCell ref="C137:C142"/>
    <mergeCell ref="L137:L148"/>
    <mergeCell ref="M137:M142"/>
    <mergeCell ref="C143:C148"/>
    <mergeCell ref="M143:M148"/>
    <mergeCell ref="C119:C124"/>
    <mergeCell ref="M119:M124"/>
    <mergeCell ref="B125:B136"/>
    <mergeCell ref="C125:C130"/>
    <mergeCell ref="L125:L136"/>
    <mergeCell ref="M125:M130"/>
    <mergeCell ref="C131:C136"/>
    <mergeCell ref="M131:M136"/>
    <mergeCell ref="B110:I110"/>
    <mergeCell ref="L110:S110"/>
    <mergeCell ref="B113:B124"/>
    <mergeCell ref="C113:C118"/>
    <mergeCell ref="H113:H118"/>
    <mergeCell ref="I113:I118"/>
    <mergeCell ref="L113:L124"/>
    <mergeCell ref="M113:M118"/>
    <mergeCell ref="R113:R118"/>
    <mergeCell ref="S113:S118"/>
    <mergeCell ref="B97:B108"/>
    <mergeCell ref="C97:C102"/>
    <mergeCell ref="L97:L108"/>
    <mergeCell ref="M97:M102"/>
    <mergeCell ref="C103:C108"/>
    <mergeCell ref="M103:M108"/>
    <mergeCell ref="B85:B96"/>
    <mergeCell ref="C85:C90"/>
    <mergeCell ref="L85:L96"/>
    <mergeCell ref="M85:M90"/>
    <mergeCell ref="C91:C96"/>
    <mergeCell ref="M91:M96"/>
    <mergeCell ref="C67:C72"/>
    <mergeCell ref="M67:M72"/>
    <mergeCell ref="B73:B84"/>
    <mergeCell ref="C73:C78"/>
    <mergeCell ref="L73:L84"/>
    <mergeCell ref="M73:M78"/>
    <mergeCell ref="C79:C84"/>
    <mergeCell ref="M79:M84"/>
    <mergeCell ref="B58:I58"/>
    <mergeCell ref="L58:S58"/>
    <mergeCell ref="B61:B72"/>
    <mergeCell ref="C61:C66"/>
    <mergeCell ref="H61:H66"/>
    <mergeCell ref="I61:I66"/>
    <mergeCell ref="L61:L72"/>
    <mergeCell ref="M61:M66"/>
    <mergeCell ref="R61:R66"/>
    <mergeCell ref="S61:S66"/>
    <mergeCell ref="C27:C32"/>
    <mergeCell ref="M27:M32"/>
    <mergeCell ref="B21:B32"/>
    <mergeCell ref="C21:C26"/>
    <mergeCell ref="H21:H26"/>
    <mergeCell ref="I21:I26"/>
    <mergeCell ref="L21:L32"/>
    <mergeCell ref="M21:M26"/>
    <mergeCell ref="B45:B56"/>
    <mergeCell ref="C45:C50"/>
    <mergeCell ref="L45:L56"/>
    <mergeCell ref="M45:M50"/>
    <mergeCell ref="C51:C56"/>
    <mergeCell ref="M51:M56"/>
    <mergeCell ref="B33:B44"/>
    <mergeCell ref="C33:C38"/>
    <mergeCell ref="L33:L44"/>
    <mergeCell ref="M33:M38"/>
    <mergeCell ref="C39:C44"/>
    <mergeCell ref="M39:M44"/>
    <mergeCell ref="C15:C20"/>
    <mergeCell ref="H15:H20"/>
    <mergeCell ref="I15:I20"/>
    <mergeCell ref="M15:M20"/>
    <mergeCell ref="R15:R20"/>
    <mergeCell ref="S15:S20"/>
    <mergeCell ref="B6:I6"/>
    <mergeCell ref="L6:S6"/>
    <mergeCell ref="B9:B20"/>
    <mergeCell ref="C9:C14"/>
    <mergeCell ref="H9:H14"/>
    <mergeCell ref="I9:I14"/>
    <mergeCell ref="L9:L20"/>
    <mergeCell ref="M9:M14"/>
    <mergeCell ref="R9:R14"/>
    <mergeCell ref="S9:S14"/>
    <mergeCell ref="R21:R26"/>
    <mergeCell ref="S21:S26"/>
    <mergeCell ref="H441:H446"/>
    <mergeCell ref="I441:I446"/>
    <mergeCell ref="R441:R446"/>
    <mergeCell ref="S441:S446"/>
    <mergeCell ref="H819:H824"/>
    <mergeCell ref="I819:I824"/>
    <mergeCell ref="R819:R824"/>
    <mergeCell ref="S819:S824"/>
    <mergeCell ref="H766:H771"/>
    <mergeCell ref="I766:I771"/>
    <mergeCell ref="R766:R771"/>
    <mergeCell ref="S766:S771"/>
    <mergeCell ref="R493:R498"/>
    <mergeCell ref="S493:S498"/>
    <mergeCell ref="R545:R550"/>
    <mergeCell ref="S545:S550"/>
    <mergeCell ref="R597:R602"/>
    <mergeCell ref="S597:S602"/>
    <mergeCell ref="R654:R659"/>
    <mergeCell ref="S654:S659"/>
    <mergeCell ref="R707:R712"/>
    <mergeCell ref="S707:S712"/>
    <mergeCell ref="H1139:H1144"/>
    <mergeCell ref="I1139:I1144"/>
    <mergeCell ref="R1139:R1144"/>
    <mergeCell ref="S1139:S1144"/>
    <mergeCell ref="H1191:H1196"/>
    <mergeCell ref="I1191:I1196"/>
    <mergeCell ref="R1191:R1196"/>
    <mergeCell ref="S1191:S1196"/>
    <mergeCell ref="R1039:R1044"/>
    <mergeCell ref="S1039:S1044"/>
    <mergeCell ref="H1087:H1092"/>
    <mergeCell ref="I1087:I1092"/>
    <mergeCell ref="R1087:R1092"/>
    <mergeCell ref="S1087:S109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S1129"/>
  <sheetViews>
    <sheetView zoomScale="60" zoomScaleNormal="60" workbookViewId="0">
      <selection activeCell="J20" sqref="J20"/>
    </sheetView>
  </sheetViews>
  <sheetFormatPr defaultRowHeight="15" x14ac:dyDescent="0.25"/>
  <cols>
    <col min="2" max="2" width="15.5703125" customWidth="1"/>
    <col min="3" max="3" width="10.85546875" customWidth="1"/>
    <col min="4" max="4" width="17.85546875" customWidth="1"/>
    <col min="5" max="5" width="15.85546875" customWidth="1"/>
    <col min="7" max="7" width="10.42578125" bestFit="1" customWidth="1"/>
    <col min="8" max="8" width="14.7109375" style="13" customWidth="1"/>
    <col min="9" max="9" width="35.85546875" style="13" bestFit="1" customWidth="1"/>
    <col min="12" max="12" width="13.7109375" customWidth="1"/>
    <col min="13" max="13" width="10.7109375" bestFit="1" customWidth="1"/>
    <col min="14" max="14" width="20.140625" customWidth="1"/>
    <col min="15" max="15" width="15.5703125" customWidth="1"/>
    <col min="17" max="17" width="10.42578125" bestFit="1" customWidth="1"/>
    <col min="18" max="18" width="10.42578125" customWidth="1"/>
    <col min="19" max="19" width="25.42578125" style="13" bestFit="1" customWidth="1"/>
    <col min="22" max="22" width="12.7109375" bestFit="1" customWidth="1"/>
    <col min="23" max="23" width="9.85546875" bestFit="1" customWidth="1"/>
    <col min="28" max="28" width="10.42578125" bestFit="1" customWidth="1"/>
    <col min="29" max="29" width="33" bestFit="1" customWidth="1"/>
  </cols>
  <sheetData>
    <row r="4" spans="2:19" ht="31.5" x14ac:dyDescent="0.5">
      <c r="B4" s="14"/>
      <c r="C4" s="14"/>
      <c r="D4" s="14"/>
      <c r="E4" s="14"/>
      <c r="F4" s="14"/>
      <c r="G4" s="14"/>
      <c r="H4" s="65"/>
    </row>
    <row r="5" spans="2:19" ht="15.75" thickBot="1" x14ac:dyDescent="0.3"/>
    <row r="6" spans="2:19" ht="15.75" thickBot="1" x14ac:dyDescent="0.3">
      <c r="B6" s="171" t="s">
        <v>298</v>
      </c>
      <c r="C6" s="172"/>
      <c r="D6" s="172"/>
      <c r="E6" s="172"/>
      <c r="F6" s="172"/>
      <c r="G6" s="172"/>
      <c r="H6" s="172"/>
      <c r="I6" s="173"/>
      <c r="L6" s="171" t="s">
        <v>299</v>
      </c>
      <c r="M6" s="172"/>
      <c r="N6" s="172"/>
      <c r="O6" s="172"/>
      <c r="P6" s="172"/>
      <c r="Q6" s="172"/>
      <c r="R6" s="172"/>
      <c r="S6" s="173"/>
    </row>
    <row r="8" spans="2:19" ht="26.25" thickBot="1" x14ac:dyDescent="0.3">
      <c r="B8" s="15" t="s">
        <v>70</v>
      </c>
      <c r="C8" s="16" t="s">
        <v>71</v>
      </c>
      <c r="D8" s="15" t="s">
        <v>72</v>
      </c>
      <c r="E8" s="17" t="s">
        <v>73</v>
      </c>
      <c r="F8" s="17" t="s">
        <v>74</v>
      </c>
      <c r="G8" s="15" t="s">
        <v>75</v>
      </c>
      <c r="H8" s="15" t="s">
        <v>55</v>
      </c>
      <c r="I8" s="15" t="s">
        <v>76</v>
      </c>
      <c r="L8" s="15" t="s">
        <v>70</v>
      </c>
      <c r="M8" s="16" t="s">
        <v>71</v>
      </c>
      <c r="N8" s="15" t="s">
        <v>72</v>
      </c>
      <c r="O8" s="17" t="s">
        <v>73</v>
      </c>
      <c r="P8" s="17" t="s">
        <v>74</v>
      </c>
      <c r="Q8" s="15" t="s">
        <v>75</v>
      </c>
      <c r="R8" s="15" t="s">
        <v>55</v>
      </c>
      <c r="S8" s="15" t="s">
        <v>76</v>
      </c>
    </row>
    <row r="9" spans="2:19" x14ac:dyDescent="0.25">
      <c r="B9" s="174" t="s">
        <v>2</v>
      </c>
      <c r="C9" s="168" t="s">
        <v>77</v>
      </c>
      <c r="D9" s="18" t="s">
        <v>2</v>
      </c>
      <c r="E9" s="19">
        <v>1</v>
      </c>
      <c r="F9" s="19">
        <v>1</v>
      </c>
      <c r="G9" s="18" t="s">
        <v>78</v>
      </c>
      <c r="H9" s="156" t="s">
        <v>300</v>
      </c>
      <c r="I9" s="165" t="s">
        <v>176</v>
      </c>
      <c r="L9" s="174" t="s">
        <v>2</v>
      </c>
      <c r="M9" s="168" t="s">
        <v>77</v>
      </c>
      <c r="N9" s="18" t="s">
        <v>2</v>
      </c>
      <c r="O9" s="19">
        <v>1</v>
      </c>
      <c r="P9" s="19">
        <v>1</v>
      </c>
      <c r="Q9" s="18" t="s">
        <v>78</v>
      </c>
      <c r="R9" s="156" t="s">
        <v>300</v>
      </c>
      <c r="S9" s="165" t="s">
        <v>183</v>
      </c>
    </row>
    <row r="10" spans="2:19" x14ac:dyDescent="0.25">
      <c r="B10" s="175"/>
      <c r="C10" s="169"/>
      <c r="D10" s="18" t="s">
        <v>3</v>
      </c>
      <c r="E10" s="19">
        <v>2</v>
      </c>
      <c r="F10" s="19">
        <v>2</v>
      </c>
      <c r="G10" s="18" t="s">
        <v>78</v>
      </c>
      <c r="H10" s="157"/>
      <c r="I10" s="166"/>
      <c r="L10" s="175"/>
      <c r="M10" s="169"/>
      <c r="N10" s="18" t="s">
        <v>3</v>
      </c>
      <c r="O10" s="19">
        <v>2</v>
      </c>
      <c r="P10" s="19">
        <v>2</v>
      </c>
      <c r="Q10" s="18" t="s">
        <v>78</v>
      </c>
      <c r="R10" s="157"/>
      <c r="S10" s="166"/>
    </row>
    <row r="11" spans="2:19" x14ac:dyDescent="0.25">
      <c r="B11" s="175"/>
      <c r="C11" s="169"/>
      <c r="D11" s="18" t="s">
        <v>80</v>
      </c>
      <c r="E11" s="20">
        <v>3</v>
      </c>
      <c r="F11" s="20">
        <v>3</v>
      </c>
      <c r="G11" s="18" t="s">
        <v>66</v>
      </c>
      <c r="H11" s="157"/>
      <c r="I11" s="166"/>
      <c r="L11" s="175"/>
      <c r="M11" s="169"/>
      <c r="N11" s="18" t="s">
        <v>80</v>
      </c>
      <c r="O11" s="20">
        <v>3</v>
      </c>
      <c r="P11" s="20">
        <v>3</v>
      </c>
      <c r="Q11" s="18" t="s">
        <v>66</v>
      </c>
      <c r="R11" s="157"/>
      <c r="S11" s="166"/>
    </row>
    <row r="12" spans="2:19" x14ac:dyDescent="0.25">
      <c r="B12" s="175"/>
      <c r="C12" s="169"/>
      <c r="D12" s="18" t="s">
        <v>81</v>
      </c>
      <c r="E12" s="20">
        <v>4</v>
      </c>
      <c r="F12" s="20">
        <v>4</v>
      </c>
      <c r="G12" s="18" t="s">
        <v>66</v>
      </c>
      <c r="H12" s="157"/>
      <c r="I12" s="166"/>
      <c r="L12" s="175"/>
      <c r="M12" s="169"/>
      <c r="N12" s="18" t="s">
        <v>81</v>
      </c>
      <c r="O12" s="20">
        <v>4</v>
      </c>
      <c r="P12" s="20">
        <v>4</v>
      </c>
      <c r="Q12" s="18" t="s">
        <v>66</v>
      </c>
      <c r="R12" s="157"/>
      <c r="S12" s="166"/>
    </row>
    <row r="13" spans="2:19" x14ac:dyDescent="0.25">
      <c r="B13" s="175"/>
      <c r="C13" s="169"/>
      <c r="D13" s="18" t="s">
        <v>82</v>
      </c>
      <c r="E13" s="20">
        <v>5</v>
      </c>
      <c r="F13" s="20">
        <v>5</v>
      </c>
      <c r="G13" s="18" t="s">
        <v>66</v>
      </c>
      <c r="H13" s="157"/>
      <c r="I13" s="166"/>
      <c r="L13" s="175"/>
      <c r="M13" s="169"/>
      <c r="N13" s="18" t="s">
        <v>82</v>
      </c>
      <c r="O13" s="20">
        <v>5</v>
      </c>
      <c r="P13" s="20">
        <v>5</v>
      </c>
      <c r="Q13" s="18" t="s">
        <v>66</v>
      </c>
      <c r="R13" s="157"/>
      <c r="S13" s="166"/>
    </row>
    <row r="14" spans="2:19" ht="15.75" thickBot="1" x14ac:dyDescent="0.3">
      <c r="B14" s="175"/>
      <c r="C14" s="170"/>
      <c r="D14" s="18" t="s">
        <v>83</v>
      </c>
      <c r="E14" s="20">
        <v>6</v>
      </c>
      <c r="F14" s="20">
        <v>6</v>
      </c>
      <c r="G14" s="18" t="s">
        <v>66</v>
      </c>
      <c r="H14" s="158"/>
      <c r="I14" s="167"/>
      <c r="L14" s="175"/>
      <c r="M14" s="170"/>
      <c r="N14" s="18" t="s">
        <v>83</v>
      </c>
      <c r="O14" s="20">
        <v>6</v>
      </c>
      <c r="P14" s="20">
        <v>6</v>
      </c>
      <c r="Q14" s="18" t="s">
        <v>66</v>
      </c>
      <c r="R14" s="158"/>
      <c r="S14" s="167"/>
    </row>
    <row r="15" spans="2:19" x14ac:dyDescent="0.25">
      <c r="B15" s="175"/>
      <c r="C15" s="168" t="s">
        <v>84</v>
      </c>
      <c r="D15" s="18" t="s">
        <v>2</v>
      </c>
      <c r="E15" s="19">
        <v>1</v>
      </c>
      <c r="F15" s="19">
        <v>7</v>
      </c>
      <c r="G15" s="18" t="s">
        <v>78</v>
      </c>
      <c r="H15" s="156" t="s">
        <v>140</v>
      </c>
      <c r="I15" s="165" t="s">
        <v>184</v>
      </c>
      <c r="L15" s="175"/>
      <c r="M15" s="168" t="s">
        <v>84</v>
      </c>
      <c r="N15" s="18" t="s">
        <v>2</v>
      </c>
      <c r="O15" s="19">
        <v>1</v>
      </c>
      <c r="P15" s="19">
        <v>7</v>
      </c>
      <c r="Q15" s="18" t="s">
        <v>78</v>
      </c>
      <c r="R15" s="156" t="s">
        <v>140</v>
      </c>
      <c r="S15" s="165" t="s">
        <v>192</v>
      </c>
    </row>
    <row r="16" spans="2:19" x14ac:dyDescent="0.25">
      <c r="B16" s="175"/>
      <c r="C16" s="169"/>
      <c r="D16" s="18" t="s">
        <v>3</v>
      </c>
      <c r="E16" s="19">
        <v>2</v>
      </c>
      <c r="F16" s="19">
        <v>8</v>
      </c>
      <c r="G16" s="18" t="s">
        <v>78</v>
      </c>
      <c r="H16" s="157"/>
      <c r="I16" s="166"/>
      <c r="L16" s="175"/>
      <c r="M16" s="169"/>
      <c r="N16" s="18" t="s">
        <v>3</v>
      </c>
      <c r="O16" s="19">
        <v>2</v>
      </c>
      <c r="P16" s="19">
        <v>8</v>
      </c>
      <c r="Q16" s="18" t="s">
        <v>78</v>
      </c>
      <c r="R16" s="157"/>
      <c r="S16" s="166"/>
    </row>
    <row r="17" spans="2:19" x14ac:dyDescent="0.25">
      <c r="B17" s="175"/>
      <c r="C17" s="169"/>
      <c r="D17" s="18" t="s">
        <v>80</v>
      </c>
      <c r="E17" s="20">
        <v>3</v>
      </c>
      <c r="F17" s="20">
        <v>9</v>
      </c>
      <c r="G17" s="18" t="s">
        <v>66</v>
      </c>
      <c r="H17" s="157"/>
      <c r="I17" s="166"/>
      <c r="L17" s="175"/>
      <c r="M17" s="169"/>
      <c r="N17" s="18" t="s">
        <v>80</v>
      </c>
      <c r="O17" s="20">
        <v>3</v>
      </c>
      <c r="P17" s="20">
        <v>9</v>
      </c>
      <c r="Q17" s="18" t="s">
        <v>66</v>
      </c>
      <c r="R17" s="157"/>
      <c r="S17" s="166"/>
    </row>
    <row r="18" spans="2:19" x14ac:dyDescent="0.25">
      <c r="B18" s="175"/>
      <c r="C18" s="169"/>
      <c r="D18" s="18" t="s">
        <v>81</v>
      </c>
      <c r="E18" s="20">
        <v>4</v>
      </c>
      <c r="F18" s="20">
        <v>10</v>
      </c>
      <c r="G18" s="18" t="s">
        <v>66</v>
      </c>
      <c r="H18" s="157"/>
      <c r="I18" s="166"/>
      <c r="L18" s="175"/>
      <c r="M18" s="169"/>
      <c r="N18" s="18" t="s">
        <v>81</v>
      </c>
      <c r="O18" s="20">
        <v>4</v>
      </c>
      <c r="P18" s="20">
        <v>10</v>
      </c>
      <c r="Q18" s="18" t="s">
        <v>66</v>
      </c>
      <c r="R18" s="157"/>
      <c r="S18" s="166"/>
    </row>
    <row r="19" spans="2:19" x14ac:dyDescent="0.25">
      <c r="B19" s="175"/>
      <c r="C19" s="169"/>
      <c r="D19" s="18" t="s">
        <v>82</v>
      </c>
      <c r="E19" s="20">
        <v>5</v>
      </c>
      <c r="F19" s="20">
        <v>11</v>
      </c>
      <c r="G19" s="18" t="s">
        <v>66</v>
      </c>
      <c r="H19" s="157"/>
      <c r="I19" s="166"/>
      <c r="L19" s="175"/>
      <c r="M19" s="169"/>
      <c r="N19" s="18" t="s">
        <v>82</v>
      </c>
      <c r="O19" s="20">
        <v>5</v>
      </c>
      <c r="P19" s="20">
        <v>11</v>
      </c>
      <c r="Q19" s="18" t="s">
        <v>66</v>
      </c>
      <c r="R19" s="157"/>
      <c r="S19" s="166"/>
    </row>
    <row r="20" spans="2:19" ht="15.75" thickBot="1" x14ac:dyDescent="0.3">
      <c r="B20" s="176"/>
      <c r="C20" s="170"/>
      <c r="D20" s="18" t="s">
        <v>83</v>
      </c>
      <c r="E20" s="20">
        <v>6</v>
      </c>
      <c r="F20" s="20">
        <v>12</v>
      </c>
      <c r="G20" s="18" t="s">
        <v>66</v>
      </c>
      <c r="H20" s="158"/>
      <c r="I20" s="167"/>
      <c r="L20" s="176"/>
      <c r="M20" s="170"/>
      <c r="N20" s="18" t="s">
        <v>83</v>
      </c>
      <c r="O20" s="20">
        <v>6</v>
      </c>
      <c r="P20" s="20">
        <v>12</v>
      </c>
      <c r="Q20" s="18" t="s">
        <v>66</v>
      </c>
      <c r="R20" s="158"/>
      <c r="S20" s="167"/>
    </row>
    <row r="21" spans="2:19" x14ac:dyDescent="0.25">
      <c r="B21" s="180" t="s">
        <v>3</v>
      </c>
      <c r="C21" s="177" t="s">
        <v>77</v>
      </c>
      <c r="D21" s="21" t="s">
        <v>2</v>
      </c>
      <c r="E21" s="22">
        <v>1</v>
      </c>
      <c r="F21" s="22">
        <v>13</v>
      </c>
      <c r="G21" s="21" t="s">
        <v>66</v>
      </c>
      <c r="H21" s="63"/>
      <c r="I21" s="64"/>
      <c r="L21" s="180" t="s">
        <v>3</v>
      </c>
      <c r="M21" s="177" t="s">
        <v>77</v>
      </c>
      <c r="N21" s="21" t="s">
        <v>2</v>
      </c>
      <c r="O21" s="22">
        <v>1</v>
      </c>
      <c r="P21" s="22">
        <v>13</v>
      </c>
      <c r="Q21" s="21" t="s">
        <v>66</v>
      </c>
      <c r="R21" s="63"/>
      <c r="S21" s="64"/>
    </row>
    <row r="22" spans="2:19" x14ac:dyDescent="0.25">
      <c r="B22" s="181"/>
      <c r="C22" s="178"/>
      <c r="D22" s="23" t="s">
        <v>3</v>
      </c>
      <c r="E22" s="24">
        <v>2</v>
      </c>
      <c r="F22" s="24">
        <v>14</v>
      </c>
      <c r="G22" s="23" t="s">
        <v>66</v>
      </c>
      <c r="H22" s="63"/>
      <c r="I22" s="64"/>
      <c r="L22" s="181"/>
      <c r="M22" s="178"/>
      <c r="N22" s="23" t="s">
        <v>3</v>
      </c>
      <c r="O22" s="24">
        <v>2</v>
      </c>
      <c r="P22" s="24">
        <v>14</v>
      </c>
      <c r="Q22" s="23" t="s">
        <v>66</v>
      </c>
      <c r="R22" s="63"/>
      <c r="S22" s="64"/>
    </row>
    <row r="23" spans="2:19" x14ac:dyDescent="0.25">
      <c r="B23" s="181"/>
      <c r="C23" s="178"/>
      <c r="D23" s="23" t="s">
        <v>80</v>
      </c>
      <c r="E23" s="24">
        <v>3</v>
      </c>
      <c r="F23" s="24">
        <v>15</v>
      </c>
      <c r="G23" s="23" t="s">
        <v>66</v>
      </c>
      <c r="H23" s="63"/>
      <c r="I23" s="64"/>
      <c r="L23" s="181"/>
      <c r="M23" s="178"/>
      <c r="N23" s="23" t="s">
        <v>80</v>
      </c>
      <c r="O23" s="24">
        <v>3</v>
      </c>
      <c r="P23" s="24">
        <v>15</v>
      </c>
      <c r="Q23" s="23" t="s">
        <v>66</v>
      </c>
      <c r="R23" s="63"/>
      <c r="S23" s="64"/>
    </row>
    <row r="24" spans="2:19" x14ac:dyDescent="0.25">
      <c r="B24" s="181"/>
      <c r="C24" s="178"/>
      <c r="D24" s="23" t="s">
        <v>81</v>
      </c>
      <c r="E24" s="24">
        <v>4</v>
      </c>
      <c r="F24" s="24">
        <v>16</v>
      </c>
      <c r="G24" s="23" t="s">
        <v>66</v>
      </c>
      <c r="H24" s="63"/>
      <c r="I24" s="64"/>
      <c r="L24" s="181"/>
      <c r="M24" s="178"/>
      <c r="N24" s="23" t="s">
        <v>81</v>
      </c>
      <c r="O24" s="24">
        <v>4</v>
      </c>
      <c r="P24" s="24">
        <v>16</v>
      </c>
      <c r="Q24" s="23" t="s">
        <v>66</v>
      </c>
      <c r="R24" s="63"/>
      <c r="S24" s="64"/>
    </row>
    <row r="25" spans="2:19" x14ac:dyDescent="0.25">
      <c r="B25" s="181"/>
      <c r="C25" s="178"/>
      <c r="D25" s="23" t="s">
        <v>82</v>
      </c>
      <c r="E25" s="24">
        <v>5</v>
      </c>
      <c r="F25" s="24">
        <v>17</v>
      </c>
      <c r="G25" s="23" t="s">
        <v>66</v>
      </c>
      <c r="H25" s="63"/>
      <c r="I25" s="64"/>
      <c r="L25" s="181"/>
      <c r="M25" s="178"/>
      <c r="N25" s="23" t="s">
        <v>82</v>
      </c>
      <c r="O25" s="24">
        <v>5</v>
      </c>
      <c r="P25" s="24">
        <v>17</v>
      </c>
      <c r="Q25" s="23" t="s">
        <v>66</v>
      </c>
      <c r="R25" s="63"/>
      <c r="S25" s="64"/>
    </row>
    <row r="26" spans="2:19" ht="15.75" thickBot="1" x14ac:dyDescent="0.3">
      <c r="B26" s="181"/>
      <c r="C26" s="179"/>
      <c r="D26" s="23" t="s">
        <v>83</v>
      </c>
      <c r="E26" s="24">
        <v>6</v>
      </c>
      <c r="F26" s="24">
        <v>18</v>
      </c>
      <c r="G26" s="23" t="s">
        <v>66</v>
      </c>
      <c r="H26" s="63"/>
      <c r="I26" s="64"/>
      <c r="L26" s="181"/>
      <c r="M26" s="179"/>
      <c r="N26" s="23" t="s">
        <v>83</v>
      </c>
      <c r="O26" s="24">
        <v>6</v>
      </c>
      <c r="P26" s="24">
        <v>18</v>
      </c>
      <c r="Q26" s="23" t="s">
        <v>66</v>
      </c>
      <c r="R26" s="63"/>
      <c r="S26" s="64"/>
    </row>
    <row r="27" spans="2:19" x14ac:dyDescent="0.25">
      <c r="B27" s="181"/>
      <c r="C27" s="177" t="s">
        <v>84</v>
      </c>
      <c r="D27" s="23" t="s">
        <v>2</v>
      </c>
      <c r="E27" s="24">
        <v>1</v>
      </c>
      <c r="F27" s="24">
        <v>19</v>
      </c>
      <c r="G27" s="21" t="s">
        <v>66</v>
      </c>
      <c r="H27" s="63"/>
      <c r="I27" s="64"/>
      <c r="L27" s="181"/>
      <c r="M27" s="177" t="s">
        <v>84</v>
      </c>
      <c r="N27" s="23" t="s">
        <v>2</v>
      </c>
      <c r="O27" s="24">
        <v>1</v>
      </c>
      <c r="P27" s="24">
        <v>19</v>
      </c>
      <c r="Q27" s="21" t="s">
        <v>66</v>
      </c>
      <c r="R27" s="63"/>
      <c r="S27" s="64"/>
    </row>
    <row r="28" spans="2:19" x14ac:dyDescent="0.25">
      <c r="B28" s="181"/>
      <c r="C28" s="178"/>
      <c r="D28" s="23" t="s">
        <v>3</v>
      </c>
      <c r="E28" s="24">
        <v>2</v>
      </c>
      <c r="F28" s="24">
        <v>20</v>
      </c>
      <c r="G28" s="23" t="s">
        <v>66</v>
      </c>
      <c r="H28" s="63"/>
      <c r="I28" s="64"/>
      <c r="L28" s="181"/>
      <c r="M28" s="178"/>
      <c r="N28" s="23" t="s">
        <v>3</v>
      </c>
      <c r="O28" s="24">
        <v>2</v>
      </c>
      <c r="P28" s="24">
        <v>20</v>
      </c>
      <c r="Q28" s="23" t="s">
        <v>66</v>
      </c>
      <c r="R28" s="63"/>
      <c r="S28" s="64"/>
    </row>
    <row r="29" spans="2:19" x14ac:dyDescent="0.25">
      <c r="B29" s="181"/>
      <c r="C29" s="178"/>
      <c r="D29" s="23" t="s">
        <v>80</v>
      </c>
      <c r="E29" s="26">
        <v>3</v>
      </c>
      <c r="F29" s="24">
        <v>21</v>
      </c>
      <c r="G29" s="23" t="s">
        <v>66</v>
      </c>
      <c r="H29" s="63"/>
      <c r="I29" s="64"/>
      <c r="L29" s="181"/>
      <c r="M29" s="178"/>
      <c r="N29" s="23" t="s">
        <v>80</v>
      </c>
      <c r="O29" s="26">
        <v>3</v>
      </c>
      <c r="P29" s="24">
        <v>21</v>
      </c>
      <c r="Q29" s="23" t="s">
        <v>66</v>
      </c>
      <c r="R29" s="63"/>
      <c r="S29" s="64"/>
    </row>
    <row r="30" spans="2:19" x14ac:dyDescent="0.25">
      <c r="B30" s="181"/>
      <c r="C30" s="178"/>
      <c r="D30" s="23" t="s">
        <v>81</v>
      </c>
      <c r="E30" s="24">
        <v>4</v>
      </c>
      <c r="F30" s="24">
        <v>22</v>
      </c>
      <c r="G30" s="23" t="s">
        <v>66</v>
      </c>
      <c r="H30" s="63"/>
      <c r="I30" s="64"/>
      <c r="L30" s="181"/>
      <c r="M30" s="178"/>
      <c r="N30" s="23" t="s">
        <v>81</v>
      </c>
      <c r="O30" s="24">
        <v>4</v>
      </c>
      <c r="P30" s="24">
        <v>22</v>
      </c>
      <c r="Q30" s="23" t="s">
        <v>66</v>
      </c>
      <c r="R30" s="63"/>
      <c r="S30" s="64"/>
    </row>
    <row r="31" spans="2:19" x14ac:dyDescent="0.25">
      <c r="B31" s="181"/>
      <c r="C31" s="178"/>
      <c r="D31" s="23" t="s">
        <v>82</v>
      </c>
      <c r="E31" s="24">
        <v>5</v>
      </c>
      <c r="F31" s="24">
        <v>23</v>
      </c>
      <c r="G31" s="23" t="s">
        <v>66</v>
      </c>
      <c r="H31" s="63"/>
      <c r="I31" s="64"/>
      <c r="L31" s="181"/>
      <c r="M31" s="178"/>
      <c r="N31" s="23" t="s">
        <v>82</v>
      </c>
      <c r="O31" s="24">
        <v>5</v>
      </c>
      <c r="P31" s="24">
        <v>23</v>
      </c>
      <c r="Q31" s="23" t="s">
        <v>66</v>
      </c>
      <c r="R31" s="63"/>
      <c r="S31" s="64"/>
    </row>
    <row r="32" spans="2:19" ht="15.75" thickBot="1" x14ac:dyDescent="0.3">
      <c r="B32" s="182"/>
      <c r="C32" s="179"/>
      <c r="D32" s="23" t="s">
        <v>83</v>
      </c>
      <c r="E32" s="24">
        <v>6</v>
      </c>
      <c r="F32" s="24">
        <v>24</v>
      </c>
      <c r="G32" s="23" t="s">
        <v>66</v>
      </c>
      <c r="H32" s="63"/>
      <c r="I32" s="64"/>
      <c r="L32" s="182"/>
      <c r="M32" s="179"/>
      <c r="N32" s="23" t="s">
        <v>83</v>
      </c>
      <c r="O32" s="24">
        <v>6</v>
      </c>
      <c r="P32" s="24">
        <v>24</v>
      </c>
      <c r="Q32" s="23" t="s">
        <v>66</v>
      </c>
      <c r="R32" s="63"/>
      <c r="S32" s="64"/>
    </row>
    <row r="33" spans="2:19" x14ac:dyDescent="0.25">
      <c r="B33" s="189" t="s">
        <v>80</v>
      </c>
      <c r="C33" s="192" t="s">
        <v>77</v>
      </c>
      <c r="D33" s="27" t="s">
        <v>2</v>
      </c>
      <c r="E33" s="28">
        <v>1</v>
      </c>
      <c r="F33" s="28">
        <v>25</v>
      </c>
      <c r="G33" s="27" t="s">
        <v>66</v>
      </c>
      <c r="H33" s="27"/>
      <c r="I33" s="48"/>
      <c r="L33" s="189" t="s">
        <v>80</v>
      </c>
      <c r="M33" s="192" t="s">
        <v>77</v>
      </c>
      <c r="N33" s="27" t="s">
        <v>2</v>
      </c>
      <c r="O33" s="28">
        <v>1</v>
      </c>
      <c r="P33" s="28">
        <v>25</v>
      </c>
      <c r="Q33" s="27" t="s">
        <v>66</v>
      </c>
      <c r="R33" s="27"/>
      <c r="S33" s="48"/>
    </row>
    <row r="34" spans="2:19" x14ac:dyDescent="0.25">
      <c r="B34" s="190"/>
      <c r="C34" s="193"/>
      <c r="D34" s="27" t="s">
        <v>3</v>
      </c>
      <c r="E34" s="28">
        <v>2</v>
      </c>
      <c r="F34" s="28">
        <v>26</v>
      </c>
      <c r="G34" s="27" t="s">
        <v>66</v>
      </c>
      <c r="H34" s="27"/>
      <c r="I34" s="48"/>
      <c r="L34" s="190"/>
      <c r="M34" s="193"/>
      <c r="N34" s="27" t="s">
        <v>3</v>
      </c>
      <c r="O34" s="28">
        <v>2</v>
      </c>
      <c r="P34" s="28">
        <v>26</v>
      </c>
      <c r="Q34" s="27" t="s">
        <v>66</v>
      </c>
      <c r="R34" s="27"/>
      <c r="S34" s="48"/>
    </row>
    <row r="35" spans="2:19" x14ac:dyDescent="0.25">
      <c r="B35" s="190"/>
      <c r="C35" s="193"/>
      <c r="D35" s="27" t="s">
        <v>80</v>
      </c>
      <c r="E35" s="28">
        <v>3</v>
      </c>
      <c r="F35" s="28">
        <v>27</v>
      </c>
      <c r="G35" s="27" t="s">
        <v>66</v>
      </c>
      <c r="H35" s="27"/>
      <c r="I35" s="48"/>
      <c r="L35" s="190"/>
      <c r="M35" s="193"/>
      <c r="N35" s="27" t="s">
        <v>80</v>
      </c>
      <c r="O35" s="28">
        <v>3</v>
      </c>
      <c r="P35" s="28">
        <v>27</v>
      </c>
      <c r="Q35" s="27" t="s">
        <v>66</v>
      </c>
      <c r="R35" s="27"/>
      <c r="S35" s="48"/>
    </row>
    <row r="36" spans="2:19" x14ac:dyDescent="0.25">
      <c r="B36" s="190"/>
      <c r="C36" s="193"/>
      <c r="D36" s="27" t="s">
        <v>81</v>
      </c>
      <c r="E36" s="28">
        <v>4</v>
      </c>
      <c r="F36" s="28">
        <v>28</v>
      </c>
      <c r="G36" s="27" t="s">
        <v>66</v>
      </c>
      <c r="H36" s="27"/>
      <c r="I36" s="48"/>
      <c r="L36" s="190"/>
      <c r="M36" s="193"/>
      <c r="N36" s="27" t="s">
        <v>81</v>
      </c>
      <c r="O36" s="28">
        <v>4</v>
      </c>
      <c r="P36" s="28">
        <v>28</v>
      </c>
      <c r="Q36" s="27" t="s">
        <v>66</v>
      </c>
      <c r="R36" s="27"/>
      <c r="S36" s="48"/>
    </row>
    <row r="37" spans="2:19" x14ac:dyDescent="0.25">
      <c r="B37" s="190"/>
      <c r="C37" s="193"/>
      <c r="D37" s="27" t="s">
        <v>82</v>
      </c>
      <c r="E37" s="28">
        <v>5</v>
      </c>
      <c r="F37" s="28">
        <v>29</v>
      </c>
      <c r="G37" s="27" t="s">
        <v>66</v>
      </c>
      <c r="H37" s="27"/>
      <c r="I37" s="48"/>
      <c r="L37" s="190"/>
      <c r="M37" s="193"/>
      <c r="N37" s="27" t="s">
        <v>82</v>
      </c>
      <c r="O37" s="28">
        <v>5</v>
      </c>
      <c r="P37" s="28">
        <v>29</v>
      </c>
      <c r="Q37" s="27" t="s">
        <v>66</v>
      </c>
      <c r="R37" s="27"/>
      <c r="S37" s="48"/>
    </row>
    <row r="38" spans="2:19" ht="15.75" thickBot="1" x14ac:dyDescent="0.3">
      <c r="B38" s="190"/>
      <c r="C38" s="194"/>
      <c r="D38" s="27" t="s">
        <v>83</v>
      </c>
      <c r="E38" s="28">
        <v>6</v>
      </c>
      <c r="F38" s="28">
        <v>30</v>
      </c>
      <c r="G38" s="27" t="s">
        <v>66</v>
      </c>
      <c r="H38" s="27"/>
      <c r="I38" s="48"/>
      <c r="L38" s="190"/>
      <c r="M38" s="194"/>
      <c r="N38" s="27" t="s">
        <v>83</v>
      </c>
      <c r="O38" s="28">
        <v>6</v>
      </c>
      <c r="P38" s="28">
        <v>30</v>
      </c>
      <c r="Q38" s="27" t="s">
        <v>66</v>
      </c>
      <c r="R38" s="27"/>
      <c r="S38" s="48"/>
    </row>
    <row r="39" spans="2:19" x14ac:dyDescent="0.25">
      <c r="B39" s="190"/>
      <c r="C39" s="192" t="s">
        <v>84</v>
      </c>
      <c r="D39" s="27" t="s">
        <v>2</v>
      </c>
      <c r="E39" s="28">
        <v>1</v>
      </c>
      <c r="F39" s="28">
        <v>31</v>
      </c>
      <c r="G39" s="27" t="s">
        <v>66</v>
      </c>
      <c r="H39" s="27"/>
      <c r="I39" s="48"/>
      <c r="L39" s="190"/>
      <c r="M39" s="192" t="s">
        <v>84</v>
      </c>
      <c r="N39" s="27" t="s">
        <v>2</v>
      </c>
      <c r="O39" s="28">
        <v>1</v>
      </c>
      <c r="P39" s="28">
        <v>31</v>
      </c>
      <c r="Q39" s="27" t="s">
        <v>66</v>
      </c>
      <c r="R39" s="27"/>
      <c r="S39" s="48"/>
    </row>
    <row r="40" spans="2:19" x14ac:dyDescent="0.25">
      <c r="B40" s="190"/>
      <c r="C40" s="193"/>
      <c r="D40" s="27" t="s">
        <v>3</v>
      </c>
      <c r="E40" s="28">
        <v>2</v>
      </c>
      <c r="F40" s="28">
        <v>32</v>
      </c>
      <c r="G40" s="27" t="s">
        <v>66</v>
      </c>
      <c r="H40" s="27"/>
      <c r="I40" s="48"/>
      <c r="L40" s="190"/>
      <c r="M40" s="193"/>
      <c r="N40" s="27" t="s">
        <v>3</v>
      </c>
      <c r="O40" s="28">
        <v>2</v>
      </c>
      <c r="P40" s="28">
        <v>32</v>
      </c>
      <c r="Q40" s="27" t="s">
        <v>66</v>
      </c>
      <c r="R40" s="27"/>
      <c r="S40" s="48"/>
    </row>
    <row r="41" spans="2:19" x14ac:dyDescent="0.25">
      <c r="B41" s="190"/>
      <c r="C41" s="193"/>
      <c r="D41" s="27" t="s">
        <v>80</v>
      </c>
      <c r="E41" s="28">
        <v>3</v>
      </c>
      <c r="F41" s="28">
        <v>33</v>
      </c>
      <c r="G41" s="27" t="s">
        <v>66</v>
      </c>
      <c r="H41" s="27"/>
      <c r="I41" s="48"/>
      <c r="L41" s="190"/>
      <c r="M41" s="193"/>
      <c r="N41" s="27" t="s">
        <v>80</v>
      </c>
      <c r="O41" s="28">
        <v>3</v>
      </c>
      <c r="P41" s="28">
        <v>33</v>
      </c>
      <c r="Q41" s="27" t="s">
        <v>66</v>
      </c>
      <c r="R41" s="27"/>
      <c r="S41" s="48"/>
    </row>
    <row r="42" spans="2:19" x14ac:dyDescent="0.25">
      <c r="B42" s="190"/>
      <c r="C42" s="193"/>
      <c r="D42" s="27" t="s">
        <v>81</v>
      </c>
      <c r="E42" s="28">
        <v>4</v>
      </c>
      <c r="F42" s="28">
        <v>34</v>
      </c>
      <c r="G42" s="27" t="s">
        <v>66</v>
      </c>
      <c r="H42" s="27"/>
      <c r="I42" s="48"/>
      <c r="L42" s="190"/>
      <c r="M42" s="193"/>
      <c r="N42" s="27" t="s">
        <v>81</v>
      </c>
      <c r="O42" s="28">
        <v>4</v>
      </c>
      <c r="P42" s="28">
        <v>34</v>
      </c>
      <c r="Q42" s="27" t="s">
        <v>66</v>
      </c>
      <c r="R42" s="27"/>
      <c r="S42" s="48"/>
    </row>
    <row r="43" spans="2:19" x14ac:dyDescent="0.25">
      <c r="B43" s="190"/>
      <c r="C43" s="193"/>
      <c r="D43" s="27" t="s">
        <v>82</v>
      </c>
      <c r="E43" s="28">
        <v>5</v>
      </c>
      <c r="F43" s="28">
        <v>35</v>
      </c>
      <c r="G43" s="27" t="s">
        <v>66</v>
      </c>
      <c r="H43" s="27"/>
      <c r="I43" s="48"/>
      <c r="L43" s="190"/>
      <c r="M43" s="193"/>
      <c r="N43" s="27" t="s">
        <v>82</v>
      </c>
      <c r="O43" s="28">
        <v>5</v>
      </c>
      <c r="P43" s="28">
        <v>35</v>
      </c>
      <c r="Q43" s="27" t="s">
        <v>66</v>
      </c>
      <c r="R43" s="27"/>
      <c r="S43" s="48"/>
    </row>
    <row r="44" spans="2:19" ht="15.75" thickBot="1" x14ac:dyDescent="0.3">
      <c r="B44" s="191"/>
      <c r="C44" s="194"/>
      <c r="D44" s="27" t="s">
        <v>83</v>
      </c>
      <c r="E44" s="28">
        <v>6</v>
      </c>
      <c r="F44" s="28">
        <v>36</v>
      </c>
      <c r="G44" s="27" t="s">
        <v>66</v>
      </c>
      <c r="H44" s="27"/>
      <c r="I44" s="48"/>
      <c r="L44" s="191"/>
      <c r="M44" s="194"/>
      <c r="N44" s="27" t="s">
        <v>83</v>
      </c>
      <c r="O44" s="28">
        <v>6</v>
      </c>
      <c r="P44" s="28">
        <v>36</v>
      </c>
      <c r="Q44" s="27" t="s">
        <v>66</v>
      </c>
      <c r="R44" s="27"/>
      <c r="S44" s="48"/>
    </row>
    <row r="45" spans="2:19" ht="15" customHeight="1" x14ac:dyDescent="0.25">
      <c r="B45" s="183" t="s">
        <v>81</v>
      </c>
      <c r="C45" s="186" t="s">
        <v>77</v>
      </c>
      <c r="D45" s="29" t="s">
        <v>2</v>
      </c>
      <c r="E45" s="30">
        <v>1</v>
      </c>
      <c r="F45" s="30">
        <v>37</v>
      </c>
      <c r="G45" s="29" t="s">
        <v>66</v>
      </c>
      <c r="H45" s="31"/>
      <c r="I45" s="60"/>
      <c r="L45" s="183" t="s">
        <v>81</v>
      </c>
      <c r="M45" s="186" t="s">
        <v>77</v>
      </c>
      <c r="N45" s="29" t="s">
        <v>2</v>
      </c>
      <c r="O45" s="30">
        <v>1</v>
      </c>
      <c r="P45" s="30">
        <v>37</v>
      </c>
      <c r="Q45" s="29" t="s">
        <v>66</v>
      </c>
      <c r="R45" s="31"/>
      <c r="S45" s="60"/>
    </row>
    <row r="46" spans="2:19" x14ac:dyDescent="0.25">
      <c r="B46" s="184"/>
      <c r="C46" s="187"/>
      <c r="D46" s="29" t="s">
        <v>3</v>
      </c>
      <c r="E46" s="30">
        <v>2</v>
      </c>
      <c r="F46" s="30">
        <v>38</v>
      </c>
      <c r="G46" s="29" t="s">
        <v>66</v>
      </c>
      <c r="H46" s="31"/>
      <c r="I46" s="60"/>
      <c r="L46" s="184"/>
      <c r="M46" s="187"/>
      <c r="N46" s="29" t="s">
        <v>3</v>
      </c>
      <c r="O46" s="30">
        <v>2</v>
      </c>
      <c r="P46" s="30">
        <v>38</v>
      </c>
      <c r="Q46" s="29" t="s">
        <v>66</v>
      </c>
      <c r="R46" s="31"/>
      <c r="S46" s="60"/>
    </row>
    <row r="47" spans="2:19" x14ac:dyDescent="0.25">
      <c r="B47" s="184"/>
      <c r="C47" s="187"/>
      <c r="D47" s="29" t="s">
        <v>80</v>
      </c>
      <c r="E47" s="30">
        <v>3</v>
      </c>
      <c r="F47" s="30">
        <v>39</v>
      </c>
      <c r="G47" s="29" t="s">
        <v>66</v>
      </c>
      <c r="H47" s="31"/>
      <c r="I47" s="60"/>
      <c r="L47" s="184"/>
      <c r="M47" s="187"/>
      <c r="N47" s="29" t="s">
        <v>80</v>
      </c>
      <c r="O47" s="30">
        <v>3</v>
      </c>
      <c r="P47" s="30">
        <v>39</v>
      </c>
      <c r="Q47" s="29" t="s">
        <v>66</v>
      </c>
      <c r="R47" s="31"/>
      <c r="S47" s="60"/>
    </row>
    <row r="48" spans="2:19" x14ac:dyDescent="0.25">
      <c r="B48" s="184"/>
      <c r="C48" s="187"/>
      <c r="D48" s="29" t="s">
        <v>81</v>
      </c>
      <c r="E48" s="30">
        <v>4</v>
      </c>
      <c r="F48" s="30">
        <v>40</v>
      </c>
      <c r="G48" s="29" t="s">
        <v>66</v>
      </c>
      <c r="H48" s="31"/>
      <c r="I48" s="60"/>
      <c r="L48" s="184"/>
      <c r="M48" s="187"/>
      <c r="N48" s="29" t="s">
        <v>81</v>
      </c>
      <c r="O48" s="30">
        <v>4</v>
      </c>
      <c r="P48" s="30">
        <v>40</v>
      </c>
      <c r="Q48" s="29" t="s">
        <v>66</v>
      </c>
      <c r="R48" s="31"/>
      <c r="S48" s="60"/>
    </row>
    <row r="49" spans="2:19" x14ac:dyDescent="0.25">
      <c r="B49" s="184"/>
      <c r="C49" s="187"/>
      <c r="D49" s="29" t="s">
        <v>82</v>
      </c>
      <c r="E49" s="30">
        <v>5</v>
      </c>
      <c r="F49" s="30">
        <v>41</v>
      </c>
      <c r="G49" s="29" t="s">
        <v>66</v>
      </c>
      <c r="H49" s="31"/>
      <c r="I49" s="60"/>
      <c r="L49" s="184"/>
      <c r="M49" s="187"/>
      <c r="N49" s="29" t="s">
        <v>82</v>
      </c>
      <c r="O49" s="30">
        <v>5</v>
      </c>
      <c r="P49" s="30">
        <v>41</v>
      </c>
      <c r="Q49" s="29" t="s">
        <v>66</v>
      </c>
      <c r="R49" s="31"/>
      <c r="S49" s="60"/>
    </row>
    <row r="50" spans="2:19" ht="15.75" thickBot="1" x14ac:dyDescent="0.3">
      <c r="B50" s="184"/>
      <c r="C50" s="188"/>
      <c r="D50" s="29" t="s">
        <v>83</v>
      </c>
      <c r="E50" s="30">
        <v>6</v>
      </c>
      <c r="F50" s="30">
        <v>42</v>
      </c>
      <c r="G50" s="29" t="s">
        <v>66</v>
      </c>
      <c r="H50" s="31"/>
      <c r="I50" s="60"/>
      <c r="L50" s="184"/>
      <c r="M50" s="188"/>
      <c r="N50" s="29" t="s">
        <v>83</v>
      </c>
      <c r="O50" s="30">
        <v>6</v>
      </c>
      <c r="P50" s="30">
        <v>42</v>
      </c>
      <c r="Q50" s="29" t="s">
        <v>66</v>
      </c>
      <c r="R50" s="31"/>
      <c r="S50" s="60"/>
    </row>
    <row r="51" spans="2:19" x14ac:dyDescent="0.25">
      <c r="B51" s="184"/>
      <c r="C51" s="186" t="s">
        <v>84</v>
      </c>
      <c r="D51" s="29" t="s">
        <v>2</v>
      </c>
      <c r="E51" s="30">
        <v>1</v>
      </c>
      <c r="F51" s="30">
        <v>43</v>
      </c>
      <c r="G51" s="29" t="s">
        <v>66</v>
      </c>
      <c r="H51" s="29"/>
      <c r="I51" s="49"/>
      <c r="L51" s="184"/>
      <c r="M51" s="186" t="s">
        <v>84</v>
      </c>
      <c r="N51" s="29" t="s">
        <v>2</v>
      </c>
      <c r="O51" s="30">
        <v>1</v>
      </c>
      <c r="P51" s="30">
        <v>43</v>
      </c>
      <c r="Q51" s="29" t="s">
        <v>66</v>
      </c>
      <c r="R51" s="29"/>
      <c r="S51" s="49"/>
    </row>
    <row r="52" spans="2:19" x14ac:dyDescent="0.25">
      <c r="B52" s="184"/>
      <c r="C52" s="187"/>
      <c r="D52" s="29" t="s">
        <v>3</v>
      </c>
      <c r="E52" s="30">
        <v>2</v>
      </c>
      <c r="F52" s="30">
        <v>44</v>
      </c>
      <c r="G52" s="29" t="s">
        <v>66</v>
      </c>
      <c r="H52" s="29"/>
      <c r="I52" s="49"/>
      <c r="L52" s="184"/>
      <c r="M52" s="187"/>
      <c r="N52" s="29" t="s">
        <v>3</v>
      </c>
      <c r="O52" s="30">
        <v>2</v>
      </c>
      <c r="P52" s="30">
        <v>44</v>
      </c>
      <c r="Q52" s="29" t="s">
        <v>66</v>
      </c>
      <c r="R52" s="29"/>
      <c r="S52" s="49"/>
    </row>
    <row r="53" spans="2:19" x14ac:dyDescent="0.25">
      <c r="B53" s="184"/>
      <c r="C53" s="187"/>
      <c r="D53" s="29" t="s">
        <v>80</v>
      </c>
      <c r="E53" s="30">
        <v>3</v>
      </c>
      <c r="F53" s="30">
        <v>45</v>
      </c>
      <c r="G53" s="29" t="s">
        <v>66</v>
      </c>
      <c r="H53" s="29"/>
      <c r="I53" s="49"/>
      <c r="L53" s="184"/>
      <c r="M53" s="187"/>
      <c r="N53" s="29" t="s">
        <v>80</v>
      </c>
      <c r="O53" s="30">
        <v>3</v>
      </c>
      <c r="P53" s="30">
        <v>45</v>
      </c>
      <c r="Q53" s="29" t="s">
        <v>66</v>
      </c>
      <c r="R53" s="29"/>
      <c r="S53" s="49"/>
    </row>
    <row r="54" spans="2:19" x14ac:dyDescent="0.25">
      <c r="B54" s="184"/>
      <c r="C54" s="187"/>
      <c r="D54" s="29" t="s">
        <v>81</v>
      </c>
      <c r="E54" s="30">
        <v>4</v>
      </c>
      <c r="F54" s="30">
        <v>46</v>
      </c>
      <c r="G54" s="29" t="s">
        <v>66</v>
      </c>
      <c r="H54" s="29"/>
      <c r="I54" s="49"/>
      <c r="L54" s="184"/>
      <c r="M54" s="187"/>
      <c r="N54" s="29" t="s">
        <v>81</v>
      </c>
      <c r="O54" s="30">
        <v>4</v>
      </c>
      <c r="P54" s="30">
        <v>46</v>
      </c>
      <c r="Q54" s="29" t="s">
        <v>66</v>
      </c>
      <c r="R54" s="29"/>
      <c r="S54" s="49"/>
    </row>
    <row r="55" spans="2:19" x14ac:dyDescent="0.25">
      <c r="B55" s="184"/>
      <c r="C55" s="187"/>
      <c r="D55" s="29" t="s">
        <v>82</v>
      </c>
      <c r="E55" s="30">
        <v>5</v>
      </c>
      <c r="F55" s="30">
        <v>47</v>
      </c>
      <c r="G55" s="29" t="s">
        <v>66</v>
      </c>
      <c r="H55" s="29"/>
      <c r="I55" s="49"/>
      <c r="L55" s="184"/>
      <c r="M55" s="187"/>
      <c r="N55" s="29" t="s">
        <v>82</v>
      </c>
      <c r="O55" s="30">
        <v>5</v>
      </c>
      <c r="P55" s="30">
        <v>47</v>
      </c>
      <c r="Q55" s="29" t="s">
        <v>66</v>
      </c>
      <c r="R55" s="29"/>
      <c r="S55" s="49"/>
    </row>
    <row r="56" spans="2:19" ht="15.75" thickBot="1" x14ac:dyDescent="0.3">
      <c r="B56" s="185"/>
      <c r="C56" s="188"/>
      <c r="D56" s="29" t="s">
        <v>83</v>
      </c>
      <c r="E56" s="30">
        <v>6</v>
      </c>
      <c r="F56" s="30">
        <v>48</v>
      </c>
      <c r="G56" s="29" t="s">
        <v>66</v>
      </c>
      <c r="H56" s="29"/>
      <c r="I56" s="49"/>
      <c r="L56" s="185"/>
      <c r="M56" s="188"/>
      <c r="N56" s="29" t="s">
        <v>83</v>
      </c>
      <c r="O56" s="30">
        <v>6</v>
      </c>
      <c r="P56" s="30">
        <v>48</v>
      </c>
      <c r="Q56" s="29" t="s">
        <v>66</v>
      </c>
      <c r="R56" s="29"/>
      <c r="S56" s="49"/>
    </row>
    <row r="57" spans="2:19" ht="15.75" thickBot="1" x14ac:dyDescent="0.3"/>
    <row r="58" spans="2:19" ht="15.75" thickBot="1" x14ac:dyDescent="0.3">
      <c r="B58" s="171" t="s">
        <v>301</v>
      </c>
      <c r="C58" s="172"/>
      <c r="D58" s="172"/>
      <c r="E58" s="172"/>
      <c r="F58" s="172"/>
      <c r="G58" s="172"/>
      <c r="H58" s="172"/>
      <c r="I58" s="173"/>
      <c r="L58" s="171" t="s">
        <v>302</v>
      </c>
      <c r="M58" s="172"/>
      <c r="N58" s="172"/>
      <c r="O58" s="172"/>
      <c r="P58" s="172"/>
      <c r="Q58" s="172"/>
      <c r="R58" s="172"/>
      <c r="S58" s="173"/>
    </row>
    <row r="60" spans="2:19" ht="26.25" thickBot="1" x14ac:dyDescent="0.3">
      <c r="B60" s="15" t="s">
        <v>70</v>
      </c>
      <c r="C60" s="16" t="s">
        <v>71</v>
      </c>
      <c r="D60" s="15" t="s">
        <v>72</v>
      </c>
      <c r="E60" s="17" t="s">
        <v>73</v>
      </c>
      <c r="F60" s="17" t="s">
        <v>74</v>
      </c>
      <c r="G60" s="15" t="s">
        <v>75</v>
      </c>
      <c r="H60" s="15" t="s">
        <v>86</v>
      </c>
      <c r="I60" s="15" t="s">
        <v>76</v>
      </c>
      <c r="L60" s="15" t="s">
        <v>70</v>
      </c>
      <c r="M60" s="16" t="s">
        <v>71</v>
      </c>
      <c r="N60" s="15" t="s">
        <v>72</v>
      </c>
      <c r="O60" s="17" t="s">
        <v>73</v>
      </c>
      <c r="P60" s="17" t="s">
        <v>74</v>
      </c>
      <c r="Q60" s="15" t="s">
        <v>75</v>
      </c>
      <c r="R60" s="15" t="s">
        <v>55</v>
      </c>
      <c r="S60" s="15" t="s">
        <v>76</v>
      </c>
    </row>
    <row r="61" spans="2:19" ht="15" customHeight="1" x14ac:dyDescent="0.25">
      <c r="B61" s="174" t="s">
        <v>2</v>
      </c>
      <c r="C61" s="168" t="s">
        <v>77</v>
      </c>
      <c r="D61" s="18" t="s">
        <v>2</v>
      </c>
      <c r="E61" s="19">
        <v>1</v>
      </c>
      <c r="F61" s="19">
        <v>1</v>
      </c>
      <c r="G61" s="18" t="s">
        <v>78</v>
      </c>
      <c r="H61" s="156" t="s">
        <v>300</v>
      </c>
      <c r="I61" s="165" t="s">
        <v>156</v>
      </c>
      <c r="L61" s="174" t="s">
        <v>2</v>
      </c>
      <c r="M61" s="168" t="s">
        <v>77</v>
      </c>
      <c r="N61" s="18" t="s">
        <v>2</v>
      </c>
      <c r="O61" s="19">
        <v>1</v>
      </c>
      <c r="P61" s="19">
        <v>1</v>
      </c>
      <c r="Q61" s="18" t="s">
        <v>78</v>
      </c>
      <c r="R61" s="156" t="s">
        <v>300</v>
      </c>
      <c r="S61" s="165" t="s">
        <v>177</v>
      </c>
    </row>
    <row r="62" spans="2:19" x14ac:dyDescent="0.25">
      <c r="B62" s="175"/>
      <c r="C62" s="169"/>
      <c r="D62" s="18" t="s">
        <v>3</v>
      </c>
      <c r="E62" s="19">
        <v>2</v>
      </c>
      <c r="F62" s="19">
        <v>2</v>
      </c>
      <c r="G62" s="18" t="s">
        <v>78</v>
      </c>
      <c r="H62" s="157"/>
      <c r="I62" s="166"/>
      <c r="L62" s="175"/>
      <c r="M62" s="169"/>
      <c r="N62" s="18" t="s">
        <v>3</v>
      </c>
      <c r="O62" s="19">
        <v>2</v>
      </c>
      <c r="P62" s="19">
        <v>2</v>
      </c>
      <c r="Q62" s="18" t="s">
        <v>78</v>
      </c>
      <c r="R62" s="157"/>
      <c r="S62" s="166"/>
    </row>
    <row r="63" spans="2:19" x14ac:dyDescent="0.25">
      <c r="B63" s="175"/>
      <c r="C63" s="169"/>
      <c r="D63" s="18" t="s">
        <v>80</v>
      </c>
      <c r="E63" s="20">
        <v>3</v>
      </c>
      <c r="F63" s="20">
        <v>3</v>
      </c>
      <c r="G63" s="18" t="s">
        <v>66</v>
      </c>
      <c r="H63" s="157"/>
      <c r="I63" s="166"/>
      <c r="L63" s="175"/>
      <c r="M63" s="169"/>
      <c r="N63" s="18" t="s">
        <v>80</v>
      </c>
      <c r="O63" s="20">
        <v>3</v>
      </c>
      <c r="P63" s="20">
        <v>3</v>
      </c>
      <c r="Q63" s="18" t="s">
        <v>66</v>
      </c>
      <c r="R63" s="157"/>
      <c r="S63" s="166"/>
    </row>
    <row r="64" spans="2:19" x14ac:dyDescent="0.25">
      <c r="B64" s="175"/>
      <c r="C64" s="169"/>
      <c r="D64" s="18" t="s">
        <v>81</v>
      </c>
      <c r="E64" s="20">
        <v>4</v>
      </c>
      <c r="F64" s="20">
        <v>4</v>
      </c>
      <c r="G64" s="18" t="s">
        <v>66</v>
      </c>
      <c r="H64" s="157"/>
      <c r="I64" s="166"/>
      <c r="L64" s="175"/>
      <c r="M64" s="169"/>
      <c r="N64" s="18" t="s">
        <v>81</v>
      </c>
      <c r="O64" s="20">
        <v>4</v>
      </c>
      <c r="P64" s="20">
        <v>4</v>
      </c>
      <c r="Q64" s="18" t="s">
        <v>66</v>
      </c>
      <c r="R64" s="157"/>
      <c r="S64" s="166"/>
    </row>
    <row r="65" spans="2:19" x14ac:dyDescent="0.25">
      <c r="B65" s="175"/>
      <c r="C65" s="169"/>
      <c r="D65" s="18" t="s">
        <v>82</v>
      </c>
      <c r="E65" s="20">
        <v>5</v>
      </c>
      <c r="F65" s="20">
        <v>5</v>
      </c>
      <c r="G65" s="18" t="s">
        <v>66</v>
      </c>
      <c r="H65" s="157"/>
      <c r="I65" s="166"/>
      <c r="L65" s="175"/>
      <c r="M65" s="169"/>
      <c r="N65" s="18" t="s">
        <v>82</v>
      </c>
      <c r="O65" s="20">
        <v>5</v>
      </c>
      <c r="P65" s="20">
        <v>5</v>
      </c>
      <c r="Q65" s="18" t="s">
        <v>66</v>
      </c>
      <c r="R65" s="157"/>
      <c r="S65" s="166"/>
    </row>
    <row r="66" spans="2:19" ht="15.75" thickBot="1" x14ac:dyDescent="0.3">
      <c r="B66" s="175"/>
      <c r="C66" s="170"/>
      <c r="D66" s="18" t="s">
        <v>83</v>
      </c>
      <c r="E66" s="20">
        <v>6</v>
      </c>
      <c r="F66" s="20">
        <v>6</v>
      </c>
      <c r="G66" s="18" t="s">
        <v>66</v>
      </c>
      <c r="H66" s="158"/>
      <c r="I66" s="167"/>
      <c r="L66" s="175"/>
      <c r="M66" s="170"/>
      <c r="N66" s="18" t="s">
        <v>83</v>
      </c>
      <c r="O66" s="20">
        <v>6</v>
      </c>
      <c r="P66" s="20">
        <v>6</v>
      </c>
      <c r="Q66" s="18" t="s">
        <v>66</v>
      </c>
      <c r="R66" s="158"/>
      <c r="S66" s="167"/>
    </row>
    <row r="67" spans="2:19" x14ac:dyDescent="0.25">
      <c r="B67" s="175"/>
      <c r="C67" s="168" t="s">
        <v>84</v>
      </c>
      <c r="D67" s="18" t="s">
        <v>2</v>
      </c>
      <c r="E67" s="19">
        <v>1</v>
      </c>
      <c r="F67" s="19">
        <v>7</v>
      </c>
      <c r="G67" s="18" t="s">
        <v>66</v>
      </c>
      <c r="H67" s="32"/>
      <c r="I67" s="50"/>
      <c r="L67" s="175"/>
      <c r="M67" s="168" t="s">
        <v>84</v>
      </c>
      <c r="N67" s="18" t="s">
        <v>2</v>
      </c>
      <c r="O67" s="19">
        <v>1</v>
      </c>
      <c r="P67" s="19">
        <v>7</v>
      </c>
      <c r="Q67" s="18" t="s">
        <v>66</v>
      </c>
      <c r="R67" s="32"/>
      <c r="S67" s="50"/>
    </row>
    <row r="68" spans="2:19" x14ac:dyDescent="0.25">
      <c r="B68" s="175"/>
      <c r="C68" s="169"/>
      <c r="D68" s="18" t="s">
        <v>3</v>
      </c>
      <c r="E68" s="19">
        <v>2</v>
      </c>
      <c r="F68" s="19">
        <v>8</v>
      </c>
      <c r="G68" s="18" t="s">
        <v>66</v>
      </c>
      <c r="H68" s="32"/>
      <c r="I68" s="50"/>
      <c r="L68" s="175"/>
      <c r="M68" s="169"/>
      <c r="N68" s="18" t="s">
        <v>3</v>
      </c>
      <c r="O68" s="19">
        <v>2</v>
      </c>
      <c r="P68" s="19">
        <v>8</v>
      </c>
      <c r="Q68" s="18" t="s">
        <v>66</v>
      </c>
      <c r="R68" s="32"/>
      <c r="S68" s="50"/>
    </row>
    <row r="69" spans="2:19" x14ac:dyDescent="0.25">
      <c r="B69" s="175"/>
      <c r="C69" s="169"/>
      <c r="D69" s="18" t="s">
        <v>80</v>
      </c>
      <c r="E69" s="20">
        <v>3</v>
      </c>
      <c r="F69" s="20">
        <v>9</v>
      </c>
      <c r="G69" s="18" t="s">
        <v>66</v>
      </c>
      <c r="H69" s="32"/>
      <c r="I69" s="50"/>
      <c r="L69" s="175"/>
      <c r="M69" s="169"/>
      <c r="N69" s="18" t="s">
        <v>80</v>
      </c>
      <c r="O69" s="20">
        <v>3</v>
      </c>
      <c r="P69" s="20">
        <v>9</v>
      </c>
      <c r="Q69" s="18" t="s">
        <v>66</v>
      </c>
      <c r="R69" s="32"/>
      <c r="S69" s="50"/>
    </row>
    <row r="70" spans="2:19" x14ac:dyDescent="0.25">
      <c r="B70" s="175"/>
      <c r="C70" s="169"/>
      <c r="D70" s="18" t="s">
        <v>81</v>
      </c>
      <c r="E70" s="20">
        <v>4</v>
      </c>
      <c r="F70" s="20">
        <v>10</v>
      </c>
      <c r="G70" s="18" t="s">
        <v>66</v>
      </c>
      <c r="H70" s="32"/>
      <c r="I70" s="50"/>
      <c r="L70" s="175"/>
      <c r="M70" s="169"/>
      <c r="N70" s="18" t="s">
        <v>81</v>
      </c>
      <c r="O70" s="20">
        <v>4</v>
      </c>
      <c r="P70" s="20">
        <v>10</v>
      </c>
      <c r="Q70" s="18" t="s">
        <v>66</v>
      </c>
      <c r="R70" s="32"/>
      <c r="S70" s="50"/>
    </row>
    <row r="71" spans="2:19" x14ac:dyDescent="0.25">
      <c r="B71" s="175"/>
      <c r="C71" s="169"/>
      <c r="D71" s="18" t="s">
        <v>82</v>
      </c>
      <c r="E71" s="20">
        <v>5</v>
      </c>
      <c r="F71" s="20">
        <v>11</v>
      </c>
      <c r="G71" s="18" t="s">
        <v>66</v>
      </c>
      <c r="H71" s="32"/>
      <c r="I71" s="50"/>
      <c r="L71" s="175"/>
      <c r="M71" s="169"/>
      <c r="N71" s="18" t="s">
        <v>82</v>
      </c>
      <c r="O71" s="20">
        <v>5</v>
      </c>
      <c r="P71" s="20">
        <v>11</v>
      </c>
      <c r="Q71" s="18" t="s">
        <v>66</v>
      </c>
      <c r="R71" s="32"/>
      <c r="S71" s="50"/>
    </row>
    <row r="72" spans="2:19" ht="15.75" thickBot="1" x14ac:dyDescent="0.3">
      <c r="B72" s="176"/>
      <c r="C72" s="170"/>
      <c r="D72" s="18" t="s">
        <v>83</v>
      </c>
      <c r="E72" s="20">
        <v>6</v>
      </c>
      <c r="F72" s="20">
        <v>12</v>
      </c>
      <c r="G72" s="18" t="s">
        <v>66</v>
      </c>
      <c r="H72" s="32"/>
      <c r="I72" s="50"/>
      <c r="L72" s="176"/>
      <c r="M72" s="170"/>
      <c r="N72" s="18" t="s">
        <v>83</v>
      </c>
      <c r="O72" s="20">
        <v>6</v>
      </c>
      <c r="P72" s="20">
        <v>12</v>
      </c>
      <c r="Q72" s="18" t="s">
        <v>66</v>
      </c>
      <c r="R72" s="32"/>
      <c r="S72" s="50"/>
    </row>
    <row r="73" spans="2:19" x14ac:dyDescent="0.25">
      <c r="B73" s="180" t="s">
        <v>3</v>
      </c>
      <c r="C73" s="177" t="s">
        <v>77</v>
      </c>
      <c r="D73" s="21" t="s">
        <v>2</v>
      </c>
      <c r="E73" s="22">
        <v>1</v>
      </c>
      <c r="F73" s="22">
        <v>13</v>
      </c>
      <c r="G73" s="21" t="s">
        <v>66</v>
      </c>
      <c r="H73" s="21"/>
      <c r="I73" s="51"/>
      <c r="L73" s="180" t="s">
        <v>3</v>
      </c>
      <c r="M73" s="177" t="s">
        <v>77</v>
      </c>
      <c r="N73" s="21" t="s">
        <v>2</v>
      </c>
      <c r="O73" s="22">
        <v>1</v>
      </c>
      <c r="P73" s="22">
        <v>13</v>
      </c>
      <c r="Q73" s="21" t="s">
        <v>66</v>
      </c>
      <c r="R73" s="21"/>
      <c r="S73" s="51"/>
    </row>
    <row r="74" spans="2:19" x14ac:dyDescent="0.25">
      <c r="B74" s="181"/>
      <c r="C74" s="178"/>
      <c r="D74" s="23" t="s">
        <v>3</v>
      </c>
      <c r="E74" s="24">
        <v>2</v>
      </c>
      <c r="F74" s="24">
        <v>14</v>
      </c>
      <c r="G74" s="23" t="s">
        <v>66</v>
      </c>
      <c r="H74" s="23"/>
      <c r="I74" s="47"/>
      <c r="L74" s="181"/>
      <c r="M74" s="178"/>
      <c r="N74" s="23" t="s">
        <v>3</v>
      </c>
      <c r="O74" s="24">
        <v>2</v>
      </c>
      <c r="P74" s="24">
        <v>14</v>
      </c>
      <c r="Q74" s="23" t="s">
        <v>66</v>
      </c>
      <c r="R74" s="23"/>
      <c r="S74" s="47"/>
    </row>
    <row r="75" spans="2:19" x14ac:dyDescent="0.25">
      <c r="B75" s="181"/>
      <c r="C75" s="178"/>
      <c r="D75" s="23" t="s">
        <v>80</v>
      </c>
      <c r="E75" s="24">
        <v>3</v>
      </c>
      <c r="F75" s="24">
        <v>15</v>
      </c>
      <c r="G75" s="23" t="s">
        <v>66</v>
      </c>
      <c r="H75" s="23"/>
      <c r="I75" s="47"/>
      <c r="L75" s="181"/>
      <c r="M75" s="178"/>
      <c r="N75" s="23" t="s">
        <v>80</v>
      </c>
      <c r="O75" s="24">
        <v>3</v>
      </c>
      <c r="P75" s="24">
        <v>15</v>
      </c>
      <c r="Q75" s="23" t="s">
        <v>66</v>
      </c>
      <c r="R75" s="23"/>
      <c r="S75" s="47"/>
    </row>
    <row r="76" spans="2:19" x14ac:dyDescent="0.25">
      <c r="B76" s="181"/>
      <c r="C76" s="178"/>
      <c r="D76" s="23" t="s">
        <v>81</v>
      </c>
      <c r="E76" s="24">
        <v>4</v>
      </c>
      <c r="F76" s="24">
        <v>16</v>
      </c>
      <c r="G76" s="23" t="s">
        <v>66</v>
      </c>
      <c r="H76" s="23"/>
      <c r="I76" s="47"/>
      <c r="L76" s="181"/>
      <c r="M76" s="178"/>
      <c r="N76" s="23" t="s">
        <v>81</v>
      </c>
      <c r="O76" s="24">
        <v>4</v>
      </c>
      <c r="P76" s="24">
        <v>16</v>
      </c>
      <c r="Q76" s="23" t="s">
        <v>66</v>
      </c>
      <c r="R76" s="23"/>
      <c r="S76" s="47"/>
    </row>
    <row r="77" spans="2:19" x14ac:dyDescent="0.25">
      <c r="B77" s="181"/>
      <c r="C77" s="178"/>
      <c r="D77" s="23" t="s">
        <v>82</v>
      </c>
      <c r="E77" s="24">
        <v>5</v>
      </c>
      <c r="F77" s="24">
        <v>17</v>
      </c>
      <c r="G77" s="23" t="s">
        <v>66</v>
      </c>
      <c r="H77" s="23"/>
      <c r="I77" s="47"/>
      <c r="L77" s="181"/>
      <c r="M77" s="178"/>
      <c r="N77" s="23" t="s">
        <v>82</v>
      </c>
      <c r="O77" s="24">
        <v>5</v>
      </c>
      <c r="P77" s="24">
        <v>17</v>
      </c>
      <c r="Q77" s="23" t="s">
        <v>66</v>
      </c>
      <c r="R77" s="23"/>
      <c r="S77" s="47"/>
    </row>
    <row r="78" spans="2:19" ht="15.75" thickBot="1" x14ac:dyDescent="0.3">
      <c r="B78" s="181"/>
      <c r="C78" s="179"/>
      <c r="D78" s="23" t="s">
        <v>83</v>
      </c>
      <c r="E78" s="24">
        <v>6</v>
      </c>
      <c r="F78" s="24">
        <v>18</v>
      </c>
      <c r="G78" s="23" t="s">
        <v>66</v>
      </c>
      <c r="H78" s="23"/>
      <c r="I78" s="47"/>
      <c r="L78" s="181"/>
      <c r="M78" s="179"/>
      <c r="N78" s="23" t="s">
        <v>83</v>
      </c>
      <c r="O78" s="24">
        <v>6</v>
      </c>
      <c r="P78" s="24">
        <v>18</v>
      </c>
      <c r="Q78" s="23" t="s">
        <v>66</v>
      </c>
      <c r="R78" s="23"/>
      <c r="S78" s="47"/>
    </row>
    <row r="79" spans="2:19" x14ac:dyDescent="0.25">
      <c r="B79" s="181"/>
      <c r="C79" s="177" t="s">
        <v>84</v>
      </c>
      <c r="D79" s="23" t="s">
        <v>2</v>
      </c>
      <c r="E79" s="24">
        <v>1</v>
      </c>
      <c r="F79" s="24">
        <v>19</v>
      </c>
      <c r="G79" s="23" t="s">
        <v>66</v>
      </c>
      <c r="H79" s="23"/>
      <c r="I79" s="47"/>
      <c r="L79" s="181"/>
      <c r="M79" s="177" t="s">
        <v>84</v>
      </c>
      <c r="N79" s="23" t="s">
        <v>2</v>
      </c>
      <c r="O79" s="24">
        <v>1</v>
      </c>
      <c r="P79" s="24">
        <v>19</v>
      </c>
      <c r="Q79" s="23" t="s">
        <v>66</v>
      </c>
      <c r="R79" s="23"/>
      <c r="S79" s="47"/>
    </row>
    <row r="80" spans="2:19" x14ac:dyDescent="0.25">
      <c r="B80" s="181"/>
      <c r="C80" s="178"/>
      <c r="D80" s="23" t="s">
        <v>3</v>
      </c>
      <c r="E80" s="24">
        <v>2</v>
      </c>
      <c r="F80" s="24">
        <v>20</v>
      </c>
      <c r="G80" s="23" t="s">
        <v>66</v>
      </c>
      <c r="H80" s="23"/>
      <c r="I80" s="47"/>
      <c r="L80" s="181"/>
      <c r="M80" s="178"/>
      <c r="N80" s="23" t="s">
        <v>3</v>
      </c>
      <c r="O80" s="24">
        <v>2</v>
      </c>
      <c r="P80" s="24">
        <v>20</v>
      </c>
      <c r="Q80" s="23" t="s">
        <v>66</v>
      </c>
      <c r="R80" s="23"/>
      <c r="S80" s="47"/>
    </row>
    <row r="81" spans="2:19" x14ac:dyDescent="0.25">
      <c r="B81" s="181"/>
      <c r="C81" s="178"/>
      <c r="D81" s="23" t="s">
        <v>80</v>
      </c>
      <c r="E81" s="26">
        <v>3</v>
      </c>
      <c r="F81" s="24">
        <v>21</v>
      </c>
      <c r="G81" s="23" t="s">
        <v>66</v>
      </c>
      <c r="H81" s="23"/>
      <c r="I81" s="47"/>
      <c r="L81" s="181"/>
      <c r="M81" s="178"/>
      <c r="N81" s="23" t="s">
        <v>80</v>
      </c>
      <c r="O81" s="26">
        <v>3</v>
      </c>
      <c r="P81" s="24">
        <v>21</v>
      </c>
      <c r="Q81" s="23" t="s">
        <v>66</v>
      </c>
      <c r="R81" s="23"/>
      <c r="S81" s="47"/>
    </row>
    <row r="82" spans="2:19" x14ac:dyDescent="0.25">
      <c r="B82" s="181"/>
      <c r="C82" s="178"/>
      <c r="D82" s="23" t="s">
        <v>81</v>
      </c>
      <c r="E82" s="24">
        <v>4</v>
      </c>
      <c r="F82" s="24">
        <v>22</v>
      </c>
      <c r="G82" s="23" t="s">
        <v>66</v>
      </c>
      <c r="H82" s="23"/>
      <c r="I82" s="47"/>
      <c r="L82" s="181"/>
      <c r="M82" s="178"/>
      <c r="N82" s="23" t="s">
        <v>81</v>
      </c>
      <c r="O82" s="24">
        <v>4</v>
      </c>
      <c r="P82" s="24">
        <v>22</v>
      </c>
      <c r="Q82" s="23" t="s">
        <v>66</v>
      </c>
      <c r="R82" s="23"/>
      <c r="S82" s="47"/>
    </row>
    <row r="83" spans="2:19" x14ac:dyDescent="0.25">
      <c r="B83" s="181"/>
      <c r="C83" s="178"/>
      <c r="D83" s="23" t="s">
        <v>82</v>
      </c>
      <c r="E83" s="24">
        <v>5</v>
      </c>
      <c r="F83" s="24">
        <v>23</v>
      </c>
      <c r="G83" s="23" t="s">
        <v>66</v>
      </c>
      <c r="H83" s="23"/>
      <c r="I83" s="47"/>
      <c r="L83" s="181"/>
      <c r="M83" s="178"/>
      <c r="N83" s="23" t="s">
        <v>82</v>
      </c>
      <c r="O83" s="24">
        <v>5</v>
      </c>
      <c r="P83" s="24">
        <v>23</v>
      </c>
      <c r="Q83" s="23" t="s">
        <v>66</v>
      </c>
      <c r="R83" s="23"/>
      <c r="S83" s="47"/>
    </row>
    <row r="84" spans="2:19" ht="15.75" thickBot="1" x14ac:dyDescent="0.3">
      <c r="B84" s="182"/>
      <c r="C84" s="179"/>
      <c r="D84" s="23" t="s">
        <v>83</v>
      </c>
      <c r="E84" s="24">
        <v>6</v>
      </c>
      <c r="F84" s="24">
        <v>24</v>
      </c>
      <c r="G84" s="23" t="s">
        <v>66</v>
      </c>
      <c r="H84" s="23"/>
      <c r="I84" s="47"/>
      <c r="L84" s="182"/>
      <c r="M84" s="179"/>
      <c r="N84" s="23" t="s">
        <v>83</v>
      </c>
      <c r="O84" s="24">
        <v>6</v>
      </c>
      <c r="P84" s="24">
        <v>24</v>
      </c>
      <c r="Q84" s="23" t="s">
        <v>66</v>
      </c>
      <c r="R84" s="23"/>
      <c r="S84" s="47"/>
    </row>
    <row r="85" spans="2:19" x14ac:dyDescent="0.25">
      <c r="B85" s="189" t="s">
        <v>80</v>
      </c>
      <c r="C85" s="192" t="s">
        <v>77</v>
      </c>
      <c r="D85" s="27" t="s">
        <v>2</v>
      </c>
      <c r="E85" s="28">
        <v>1</v>
      </c>
      <c r="F85" s="28">
        <v>25</v>
      </c>
      <c r="G85" s="27" t="s">
        <v>66</v>
      </c>
      <c r="H85" s="27"/>
      <c r="I85" s="48"/>
      <c r="L85" s="189" t="s">
        <v>80</v>
      </c>
      <c r="M85" s="192" t="s">
        <v>77</v>
      </c>
      <c r="N85" s="27" t="s">
        <v>2</v>
      </c>
      <c r="O85" s="28">
        <v>1</v>
      </c>
      <c r="P85" s="28">
        <v>25</v>
      </c>
      <c r="Q85" s="27" t="s">
        <v>66</v>
      </c>
      <c r="R85" s="27"/>
      <c r="S85" s="48"/>
    </row>
    <row r="86" spans="2:19" x14ac:dyDescent="0.25">
      <c r="B86" s="190"/>
      <c r="C86" s="193"/>
      <c r="D86" s="27" t="s">
        <v>3</v>
      </c>
      <c r="E86" s="28">
        <v>2</v>
      </c>
      <c r="F86" s="28">
        <v>26</v>
      </c>
      <c r="G86" s="27" t="s">
        <v>66</v>
      </c>
      <c r="H86" s="27"/>
      <c r="I86" s="48"/>
      <c r="L86" s="190"/>
      <c r="M86" s="193"/>
      <c r="N86" s="27" t="s">
        <v>3</v>
      </c>
      <c r="O86" s="28">
        <v>2</v>
      </c>
      <c r="P86" s="28">
        <v>26</v>
      </c>
      <c r="Q86" s="27" t="s">
        <v>66</v>
      </c>
      <c r="R86" s="27"/>
      <c r="S86" s="48"/>
    </row>
    <row r="87" spans="2:19" x14ac:dyDescent="0.25">
      <c r="B87" s="190"/>
      <c r="C87" s="193"/>
      <c r="D87" s="27" t="s">
        <v>80</v>
      </c>
      <c r="E87" s="28">
        <v>3</v>
      </c>
      <c r="F87" s="28">
        <v>27</v>
      </c>
      <c r="G87" s="27" t="s">
        <v>66</v>
      </c>
      <c r="H87" s="27"/>
      <c r="I87" s="48"/>
      <c r="L87" s="190"/>
      <c r="M87" s="193"/>
      <c r="N87" s="27" t="s">
        <v>80</v>
      </c>
      <c r="O87" s="28">
        <v>3</v>
      </c>
      <c r="P87" s="28">
        <v>27</v>
      </c>
      <c r="Q87" s="27" t="s">
        <v>66</v>
      </c>
      <c r="R87" s="27"/>
      <c r="S87" s="48"/>
    </row>
    <row r="88" spans="2:19" x14ac:dyDescent="0.25">
      <c r="B88" s="190"/>
      <c r="C88" s="193"/>
      <c r="D88" s="27" t="s">
        <v>81</v>
      </c>
      <c r="E88" s="28">
        <v>4</v>
      </c>
      <c r="F88" s="28">
        <v>28</v>
      </c>
      <c r="G88" s="27" t="s">
        <v>66</v>
      </c>
      <c r="H88" s="27"/>
      <c r="I88" s="48"/>
      <c r="L88" s="190"/>
      <c r="M88" s="193"/>
      <c r="N88" s="27" t="s">
        <v>81</v>
      </c>
      <c r="O88" s="28">
        <v>4</v>
      </c>
      <c r="P88" s="28">
        <v>28</v>
      </c>
      <c r="Q88" s="27" t="s">
        <v>66</v>
      </c>
      <c r="R88" s="27"/>
      <c r="S88" s="48"/>
    </row>
    <row r="89" spans="2:19" x14ac:dyDescent="0.25">
      <c r="B89" s="190"/>
      <c r="C89" s="193"/>
      <c r="D89" s="27" t="s">
        <v>82</v>
      </c>
      <c r="E89" s="28">
        <v>5</v>
      </c>
      <c r="F89" s="28">
        <v>29</v>
      </c>
      <c r="G89" s="27" t="s">
        <v>66</v>
      </c>
      <c r="H89" s="27"/>
      <c r="I89" s="48"/>
      <c r="L89" s="190"/>
      <c r="M89" s="193"/>
      <c r="N89" s="27" t="s">
        <v>82</v>
      </c>
      <c r="O89" s="28">
        <v>5</v>
      </c>
      <c r="P89" s="28">
        <v>29</v>
      </c>
      <c r="Q89" s="27" t="s">
        <v>66</v>
      </c>
      <c r="R89" s="27"/>
      <c r="S89" s="48"/>
    </row>
    <row r="90" spans="2:19" ht="15.75" thickBot="1" x14ac:dyDescent="0.3">
      <c r="B90" s="190"/>
      <c r="C90" s="194"/>
      <c r="D90" s="27" t="s">
        <v>83</v>
      </c>
      <c r="E90" s="28">
        <v>6</v>
      </c>
      <c r="F90" s="28">
        <v>30</v>
      </c>
      <c r="G90" s="27" t="s">
        <v>66</v>
      </c>
      <c r="H90" s="27"/>
      <c r="I90" s="48"/>
      <c r="L90" s="190"/>
      <c r="M90" s="194"/>
      <c r="N90" s="27" t="s">
        <v>83</v>
      </c>
      <c r="O90" s="28">
        <v>6</v>
      </c>
      <c r="P90" s="28">
        <v>30</v>
      </c>
      <c r="Q90" s="27" t="s">
        <v>66</v>
      </c>
      <c r="R90" s="27"/>
      <c r="S90" s="48"/>
    </row>
    <row r="91" spans="2:19" x14ac:dyDescent="0.25">
      <c r="B91" s="190"/>
      <c r="C91" s="192" t="s">
        <v>84</v>
      </c>
      <c r="D91" s="27" t="s">
        <v>2</v>
      </c>
      <c r="E91" s="28">
        <v>1</v>
      </c>
      <c r="F91" s="28">
        <v>31</v>
      </c>
      <c r="G91" s="27" t="s">
        <v>66</v>
      </c>
      <c r="H91" s="27"/>
      <c r="I91" s="48"/>
      <c r="L91" s="190"/>
      <c r="M91" s="192" t="s">
        <v>84</v>
      </c>
      <c r="N91" s="27" t="s">
        <v>2</v>
      </c>
      <c r="O91" s="28">
        <v>1</v>
      </c>
      <c r="P91" s="28">
        <v>31</v>
      </c>
      <c r="Q91" s="27" t="s">
        <v>66</v>
      </c>
      <c r="R91" s="27"/>
      <c r="S91" s="48"/>
    </row>
    <row r="92" spans="2:19" x14ac:dyDescent="0.25">
      <c r="B92" s="190"/>
      <c r="C92" s="193"/>
      <c r="D92" s="27" t="s">
        <v>3</v>
      </c>
      <c r="E92" s="28">
        <v>2</v>
      </c>
      <c r="F92" s="28">
        <v>32</v>
      </c>
      <c r="G92" s="27" t="s">
        <v>66</v>
      </c>
      <c r="H92" s="27"/>
      <c r="I92" s="48"/>
      <c r="L92" s="190"/>
      <c r="M92" s="193"/>
      <c r="N92" s="27" t="s">
        <v>3</v>
      </c>
      <c r="O92" s="28">
        <v>2</v>
      </c>
      <c r="P92" s="28">
        <v>32</v>
      </c>
      <c r="Q92" s="27" t="s">
        <v>66</v>
      </c>
      <c r="R92" s="27"/>
      <c r="S92" s="48"/>
    </row>
    <row r="93" spans="2:19" x14ac:dyDescent="0.25">
      <c r="B93" s="190"/>
      <c r="C93" s="193"/>
      <c r="D93" s="27" t="s">
        <v>80</v>
      </c>
      <c r="E93" s="28">
        <v>3</v>
      </c>
      <c r="F93" s="28">
        <v>33</v>
      </c>
      <c r="G93" s="27" t="s">
        <v>66</v>
      </c>
      <c r="H93" s="27"/>
      <c r="I93" s="48"/>
      <c r="L93" s="190"/>
      <c r="M93" s="193"/>
      <c r="N93" s="27" t="s">
        <v>80</v>
      </c>
      <c r="O93" s="28">
        <v>3</v>
      </c>
      <c r="P93" s="28">
        <v>33</v>
      </c>
      <c r="Q93" s="27" t="s">
        <v>66</v>
      </c>
      <c r="R93" s="27"/>
      <c r="S93" s="48"/>
    </row>
    <row r="94" spans="2:19" x14ac:dyDescent="0.25">
      <c r="B94" s="190"/>
      <c r="C94" s="193"/>
      <c r="D94" s="27" t="s">
        <v>81</v>
      </c>
      <c r="E94" s="28">
        <v>4</v>
      </c>
      <c r="F94" s="28">
        <v>34</v>
      </c>
      <c r="G94" s="27" t="s">
        <v>66</v>
      </c>
      <c r="H94" s="27"/>
      <c r="I94" s="48"/>
      <c r="L94" s="190"/>
      <c r="M94" s="193"/>
      <c r="N94" s="27" t="s">
        <v>81</v>
      </c>
      <c r="O94" s="28">
        <v>4</v>
      </c>
      <c r="P94" s="28">
        <v>34</v>
      </c>
      <c r="Q94" s="27" t="s">
        <v>66</v>
      </c>
      <c r="R94" s="27"/>
      <c r="S94" s="48"/>
    </row>
    <row r="95" spans="2:19" x14ac:dyDescent="0.25">
      <c r="B95" s="190"/>
      <c r="C95" s="193"/>
      <c r="D95" s="27" t="s">
        <v>82</v>
      </c>
      <c r="E95" s="28">
        <v>5</v>
      </c>
      <c r="F95" s="28">
        <v>35</v>
      </c>
      <c r="G95" s="27" t="s">
        <v>66</v>
      </c>
      <c r="H95" s="27"/>
      <c r="I95" s="48"/>
      <c r="L95" s="190"/>
      <c r="M95" s="193"/>
      <c r="N95" s="27" t="s">
        <v>82</v>
      </c>
      <c r="O95" s="28">
        <v>5</v>
      </c>
      <c r="P95" s="28">
        <v>35</v>
      </c>
      <c r="Q95" s="27" t="s">
        <v>66</v>
      </c>
      <c r="R95" s="27"/>
      <c r="S95" s="48"/>
    </row>
    <row r="96" spans="2:19" ht="15.75" thickBot="1" x14ac:dyDescent="0.3">
      <c r="B96" s="191"/>
      <c r="C96" s="194"/>
      <c r="D96" s="27" t="s">
        <v>83</v>
      </c>
      <c r="E96" s="28">
        <v>6</v>
      </c>
      <c r="F96" s="28">
        <v>36</v>
      </c>
      <c r="G96" s="27" t="s">
        <v>66</v>
      </c>
      <c r="H96" s="27"/>
      <c r="I96" s="48"/>
      <c r="L96" s="191"/>
      <c r="M96" s="194"/>
      <c r="N96" s="27" t="s">
        <v>83</v>
      </c>
      <c r="O96" s="28">
        <v>6</v>
      </c>
      <c r="P96" s="28">
        <v>36</v>
      </c>
      <c r="Q96" s="27" t="s">
        <v>66</v>
      </c>
      <c r="R96" s="27"/>
      <c r="S96" s="48"/>
    </row>
    <row r="97" spans="2:19" x14ac:dyDescent="0.25">
      <c r="B97" s="183" t="s">
        <v>81</v>
      </c>
      <c r="C97" s="186" t="s">
        <v>77</v>
      </c>
      <c r="D97" s="29" t="s">
        <v>2</v>
      </c>
      <c r="E97" s="30">
        <v>1</v>
      </c>
      <c r="F97" s="30">
        <v>37</v>
      </c>
      <c r="G97" s="29" t="s">
        <v>66</v>
      </c>
      <c r="H97" s="29"/>
      <c r="I97" s="49"/>
      <c r="L97" s="183" t="s">
        <v>81</v>
      </c>
      <c r="M97" s="186" t="s">
        <v>77</v>
      </c>
      <c r="N97" s="29" t="s">
        <v>2</v>
      </c>
      <c r="O97" s="30">
        <v>1</v>
      </c>
      <c r="P97" s="30">
        <v>37</v>
      </c>
      <c r="Q97" s="29" t="s">
        <v>66</v>
      </c>
      <c r="R97" s="29"/>
      <c r="S97" s="49"/>
    </row>
    <row r="98" spans="2:19" x14ac:dyDescent="0.25">
      <c r="B98" s="184"/>
      <c r="C98" s="187"/>
      <c r="D98" s="29" t="s">
        <v>3</v>
      </c>
      <c r="E98" s="30">
        <v>2</v>
      </c>
      <c r="F98" s="30">
        <v>38</v>
      </c>
      <c r="G98" s="29" t="s">
        <v>66</v>
      </c>
      <c r="H98" s="29"/>
      <c r="I98" s="49"/>
      <c r="L98" s="184"/>
      <c r="M98" s="187"/>
      <c r="N98" s="29" t="s">
        <v>3</v>
      </c>
      <c r="O98" s="30">
        <v>2</v>
      </c>
      <c r="P98" s="30">
        <v>38</v>
      </c>
      <c r="Q98" s="29" t="s">
        <v>66</v>
      </c>
      <c r="R98" s="29"/>
      <c r="S98" s="49"/>
    </row>
    <row r="99" spans="2:19" x14ac:dyDescent="0.25">
      <c r="B99" s="184"/>
      <c r="C99" s="187"/>
      <c r="D99" s="29" t="s">
        <v>80</v>
      </c>
      <c r="E99" s="30">
        <v>3</v>
      </c>
      <c r="F99" s="30">
        <v>39</v>
      </c>
      <c r="G99" s="29" t="s">
        <v>66</v>
      </c>
      <c r="H99" s="29"/>
      <c r="I99" s="49"/>
      <c r="L99" s="184"/>
      <c r="M99" s="187"/>
      <c r="N99" s="29" t="s">
        <v>80</v>
      </c>
      <c r="O99" s="30">
        <v>3</v>
      </c>
      <c r="P99" s="30">
        <v>39</v>
      </c>
      <c r="Q99" s="29" t="s">
        <v>66</v>
      </c>
      <c r="R99" s="29"/>
      <c r="S99" s="49"/>
    </row>
    <row r="100" spans="2:19" x14ac:dyDescent="0.25">
      <c r="B100" s="184"/>
      <c r="C100" s="187"/>
      <c r="D100" s="29" t="s">
        <v>81</v>
      </c>
      <c r="E100" s="30">
        <v>4</v>
      </c>
      <c r="F100" s="30">
        <v>40</v>
      </c>
      <c r="G100" s="29" t="s">
        <v>66</v>
      </c>
      <c r="H100" s="29"/>
      <c r="I100" s="49"/>
      <c r="L100" s="184"/>
      <c r="M100" s="187"/>
      <c r="N100" s="29" t="s">
        <v>81</v>
      </c>
      <c r="O100" s="30">
        <v>4</v>
      </c>
      <c r="P100" s="30">
        <v>40</v>
      </c>
      <c r="Q100" s="29" t="s">
        <v>66</v>
      </c>
      <c r="R100" s="29"/>
      <c r="S100" s="49"/>
    </row>
    <row r="101" spans="2:19" x14ac:dyDescent="0.25">
      <c r="B101" s="184"/>
      <c r="C101" s="187"/>
      <c r="D101" s="29" t="s">
        <v>82</v>
      </c>
      <c r="E101" s="30">
        <v>5</v>
      </c>
      <c r="F101" s="30">
        <v>41</v>
      </c>
      <c r="G101" s="29" t="s">
        <v>66</v>
      </c>
      <c r="H101" s="29"/>
      <c r="I101" s="49"/>
      <c r="L101" s="184"/>
      <c r="M101" s="187"/>
      <c r="N101" s="29" t="s">
        <v>82</v>
      </c>
      <c r="O101" s="30">
        <v>5</v>
      </c>
      <c r="P101" s="30">
        <v>41</v>
      </c>
      <c r="Q101" s="29" t="s">
        <v>66</v>
      </c>
      <c r="R101" s="29"/>
      <c r="S101" s="49"/>
    </row>
    <row r="102" spans="2:19" ht="15.75" thickBot="1" x14ac:dyDescent="0.3">
      <c r="B102" s="184"/>
      <c r="C102" s="188"/>
      <c r="D102" s="29" t="s">
        <v>83</v>
      </c>
      <c r="E102" s="30">
        <v>6</v>
      </c>
      <c r="F102" s="30">
        <v>42</v>
      </c>
      <c r="G102" s="29" t="s">
        <v>66</v>
      </c>
      <c r="H102" s="29"/>
      <c r="I102" s="49"/>
      <c r="L102" s="184"/>
      <c r="M102" s="188"/>
      <c r="N102" s="29" t="s">
        <v>83</v>
      </c>
      <c r="O102" s="30">
        <v>6</v>
      </c>
      <c r="P102" s="30">
        <v>42</v>
      </c>
      <c r="Q102" s="29" t="s">
        <v>66</v>
      </c>
      <c r="R102" s="29"/>
      <c r="S102" s="49"/>
    </row>
    <row r="103" spans="2:19" x14ac:dyDescent="0.25">
      <c r="B103" s="184"/>
      <c r="C103" s="186" t="s">
        <v>84</v>
      </c>
      <c r="D103" s="29" t="s">
        <v>2</v>
      </c>
      <c r="E103" s="30">
        <v>1</v>
      </c>
      <c r="F103" s="30">
        <v>43</v>
      </c>
      <c r="G103" s="29" t="s">
        <v>66</v>
      </c>
      <c r="H103" s="29"/>
      <c r="I103" s="49"/>
      <c r="L103" s="184"/>
      <c r="M103" s="186" t="s">
        <v>84</v>
      </c>
      <c r="N103" s="29" t="s">
        <v>2</v>
      </c>
      <c r="O103" s="30">
        <v>1</v>
      </c>
      <c r="P103" s="30">
        <v>43</v>
      </c>
      <c r="Q103" s="29" t="s">
        <v>66</v>
      </c>
      <c r="R103" s="29"/>
      <c r="S103" s="49"/>
    </row>
    <row r="104" spans="2:19" x14ac:dyDescent="0.25">
      <c r="B104" s="184"/>
      <c r="C104" s="187"/>
      <c r="D104" s="29" t="s">
        <v>3</v>
      </c>
      <c r="E104" s="30">
        <v>2</v>
      </c>
      <c r="F104" s="30">
        <v>44</v>
      </c>
      <c r="G104" s="29" t="s">
        <v>66</v>
      </c>
      <c r="H104" s="29"/>
      <c r="I104" s="49"/>
      <c r="L104" s="184"/>
      <c r="M104" s="187"/>
      <c r="N104" s="29" t="s">
        <v>3</v>
      </c>
      <c r="O104" s="30">
        <v>2</v>
      </c>
      <c r="P104" s="30">
        <v>44</v>
      </c>
      <c r="Q104" s="29" t="s">
        <v>66</v>
      </c>
      <c r="R104" s="29"/>
      <c r="S104" s="49"/>
    </row>
    <row r="105" spans="2:19" x14ac:dyDescent="0.25">
      <c r="B105" s="184"/>
      <c r="C105" s="187"/>
      <c r="D105" s="29" t="s">
        <v>80</v>
      </c>
      <c r="E105" s="30">
        <v>3</v>
      </c>
      <c r="F105" s="30">
        <v>45</v>
      </c>
      <c r="G105" s="29" t="s">
        <v>66</v>
      </c>
      <c r="H105" s="29"/>
      <c r="I105" s="49"/>
      <c r="L105" s="184"/>
      <c r="M105" s="187"/>
      <c r="N105" s="29" t="s">
        <v>80</v>
      </c>
      <c r="O105" s="30">
        <v>3</v>
      </c>
      <c r="P105" s="30">
        <v>45</v>
      </c>
      <c r="Q105" s="29" t="s">
        <v>66</v>
      </c>
      <c r="R105" s="29"/>
      <c r="S105" s="49"/>
    </row>
    <row r="106" spans="2:19" x14ac:dyDescent="0.25">
      <c r="B106" s="184"/>
      <c r="C106" s="187"/>
      <c r="D106" s="29" t="s">
        <v>81</v>
      </c>
      <c r="E106" s="30">
        <v>4</v>
      </c>
      <c r="F106" s="30">
        <v>46</v>
      </c>
      <c r="G106" s="29" t="s">
        <v>66</v>
      </c>
      <c r="H106" s="29"/>
      <c r="I106" s="49"/>
      <c r="L106" s="184"/>
      <c r="M106" s="187"/>
      <c r="N106" s="29" t="s">
        <v>81</v>
      </c>
      <c r="O106" s="30">
        <v>4</v>
      </c>
      <c r="P106" s="30">
        <v>46</v>
      </c>
      <c r="Q106" s="29" t="s">
        <v>66</v>
      </c>
      <c r="R106" s="29"/>
      <c r="S106" s="49"/>
    </row>
    <row r="107" spans="2:19" x14ac:dyDescent="0.25">
      <c r="B107" s="184"/>
      <c r="C107" s="187"/>
      <c r="D107" s="29" t="s">
        <v>82</v>
      </c>
      <c r="E107" s="30">
        <v>5</v>
      </c>
      <c r="F107" s="30">
        <v>47</v>
      </c>
      <c r="G107" s="29" t="s">
        <v>66</v>
      </c>
      <c r="H107" s="29"/>
      <c r="I107" s="49"/>
      <c r="L107" s="184"/>
      <c r="M107" s="187"/>
      <c r="N107" s="29" t="s">
        <v>82</v>
      </c>
      <c r="O107" s="30">
        <v>5</v>
      </c>
      <c r="P107" s="30">
        <v>47</v>
      </c>
      <c r="Q107" s="29" t="s">
        <v>66</v>
      </c>
      <c r="R107" s="29"/>
      <c r="S107" s="49"/>
    </row>
    <row r="108" spans="2:19" ht="15.75" thickBot="1" x14ac:dyDescent="0.3">
      <c r="B108" s="185"/>
      <c r="C108" s="188"/>
      <c r="D108" s="29" t="s">
        <v>83</v>
      </c>
      <c r="E108" s="30">
        <v>6</v>
      </c>
      <c r="F108" s="30">
        <v>48</v>
      </c>
      <c r="G108" s="29" t="s">
        <v>66</v>
      </c>
      <c r="H108" s="29"/>
      <c r="I108" s="49"/>
      <c r="L108" s="185"/>
      <c r="M108" s="188"/>
      <c r="N108" s="29" t="s">
        <v>83</v>
      </c>
      <c r="O108" s="30">
        <v>6</v>
      </c>
      <c r="P108" s="30">
        <v>48</v>
      </c>
      <c r="Q108" s="29" t="s">
        <v>66</v>
      </c>
      <c r="R108" s="29"/>
      <c r="S108" s="49"/>
    </row>
    <row r="109" spans="2:19" ht="15.75" thickBot="1" x14ac:dyDescent="0.3"/>
    <row r="110" spans="2:19" ht="15.75" thickBot="1" x14ac:dyDescent="0.3">
      <c r="B110" s="171" t="s">
        <v>303</v>
      </c>
      <c r="C110" s="172"/>
      <c r="D110" s="172"/>
      <c r="E110" s="172"/>
      <c r="F110" s="172"/>
      <c r="G110" s="172"/>
      <c r="H110" s="172"/>
      <c r="I110" s="173"/>
      <c r="L110" s="171" t="s">
        <v>304</v>
      </c>
      <c r="M110" s="172"/>
      <c r="N110" s="172"/>
      <c r="O110" s="172"/>
      <c r="P110" s="172"/>
      <c r="Q110" s="172"/>
      <c r="R110" s="172"/>
      <c r="S110" s="173"/>
    </row>
    <row r="112" spans="2:19" ht="26.25" thickBot="1" x14ac:dyDescent="0.3">
      <c r="B112" s="15" t="s">
        <v>70</v>
      </c>
      <c r="C112" s="16" t="s">
        <v>71</v>
      </c>
      <c r="D112" s="15" t="s">
        <v>72</v>
      </c>
      <c r="E112" s="17" t="s">
        <v>73</v>
      </c>
      <c r="F112" s="17" t="s">
        <v>74</v>
      </c>
      <c r="G112" s="15" t="s">
        <v>75</v>
      </c>
      <c r="H112" s="15" t="s">
        <v>55</v>
      </c>
      <c r="I112" s="15" t="s">
        <v>76</v>
      </c>
      <c r="L112" s="15" t="s">
        <v>70</v>
      </c>
      <c r="M112" s="16" t="s">
        <v>71</v>
      </c>
      <c r="N112" s="15" t="s">
        <v>72</v>
      </c>
      <c r="O112" s="17" t="s">
        <v>73</v>
      </c>
      <c r="P112" s="17" t="s">
        <v>74</v>
      </c>
      <c r="Q112" s="15" t="s">
        <v>75</v>
      </c>
      <c r="R112" s="15" t="s">
        <v>55</v>
      </c>
      <c r="S112" s="15" t="s">
        <v>76</v>
      </c>
    </row>
    <row r="113" spans="2:19" x14ac:dyDescent="0.25">
      <c r="B113" s="174" t="s">
        <v>2</v>
      </c>
      <c r="C113" s="168" t="s">
        <v>77</v>
      </c>
      <c r="D113" s="18" t="s">
        <v>2</v>
      </c>
      <c r="E113" s="19">
        <v>1</v>
      </c>
      <c r="F113" s="19">
        <v>1</v>
      </c>
      <c r="G113" s="18" t="s">
        <v>78</v>
      </c>
      <c r="H113" s="156" t="s">
        <v>300</v>
      </c>
      <c r="I113" s="165" t="s">
        <v>176</v>
      </c>
      <c r="L113" s="174" t="s">
        <v>2</v>
      </c>
      <c r="M113" s="168" t="s">
        <v>77</v>
      </c>
      <c r="N113" s="18" t="s">
        <v>2</v>
      </c>
      <c r="O113" s="19">
        <v>1</v>
      </c>
      <c r="P113" s="19">
        <v>1</v>
      </c>
      <c r="Q113" s="18" t="s">
        <v>78</v>
      </c>
      <c r="R113" s="156" t="s">
        <v>300</v>
      </c>
      <c r="S113" s="165" t="s">
        <v>178</v>
      </c>
    </row>
    <row r="114" spans="2:19" x14ac:dyDescent="0.25">
      <c r="B114" s="175"/>
      <c r="C114" s="169"/>
      <c r="D114" s="18" t="s">
        <v>3</v>
      </c>
      <c r="E114" s="19">
        <v>2</v>
      </c>
      <c r="F114" s="19">
        <v>2</v>
      </c>
      <c r="G114" s="18" t="s">
        <v>78</v>
      </c>
      <c r="H114" s="157"/>
      <c r="I114" s="166"/>
      <c r="L114" s="175"/>
      <c r="M114" s="169"/>
      <c r="N114" s="18" t="s">
        <v>3</v>
      </c>
      <c r="O114" s="19">
        <v>2</v>
      </c>
      <c r="P114" s="19">
        <v>2</v>
      </c>
      <c r="Q114" s="18" t="s">
        <v>78</v>
      </c>
      <c r="R114" s="157"/>
      <c r="S114" s="166"/>
    </row>
    <row r="115" spans="2:19" x14ac:dyDescent="0.25">
      <c r="B115" s="175"/>
      <c r="C115" s="169"/>
      <c r="D115" s="18" t="s">
        <v>80</v>
      </c>
      <c r="E115" s="20">
        <v>3</v>
      </c>
      <c r="F115" s="20">
        <v>3</v>
      </c>
      <c r="G115" s="18" t="s">
        <v>66</v>
      </c>
      <c r="H115" s="157"/>
      <c r="I115" s="166"/>
      <c r="L115" s="175"/>
      <c r="M115" s="169"/>
      <c r="N115" s="18" t="s">
        <v>80</v>
      </c>
      <c r="O115" s="20">
        <v>3</v>
      </c>
      <c r="P115" s="20">
        <v>3</v>
      </c>
      <c r="Q115" s="18" t="s">
        <v>66</v>
      </c>
      <c r="R115" s="157"/>
      <c r="S115" s="166"/>
    </row>
    <row r="116" spans="2:19" x14ac:dyDescent="0.25">
      <c r="B116" s="175"/>
      <c r="C116" s="169"/>
      <c r="D116" s="18" t="s">
        <v>81</v>
      </c>
      <c r="E116" s="20">
        <v>4</v>
      </c>
      <c r="F116" s="20">
        <v>4</v>
      </c>
      <c r="G116" s="18" t="s">
        <v>66</v>
      </c>
      <c r="H116" s="157"/>
      <c r="I116" s="166"/>
      <c r="L116" s="175"/>
      <c r="M116" s="169"/>
      <c r="N116" s="18" t="s">
        <v>81</v>
      </c>
      <c r="O116" s="20">
        <v>4</v>
      </c>
      <c r="P116" s="20">
        <v>4</v>
      </c>
      <c r="Q116" s="18" t="s">
        <v>66</v>
      </c>
      <c r="R116" s="157"/>
      <c r="S116" s="166"/>
    </row>
    <row r="117" spans="2:19" x14ac:dyDescent="0.25">
      <c r="B117" s="175"/>
      <c r="C117" s="169"/>
      <c r="D117" s="18" t="s">
        <v>82</v>
      </c>
      <c r="E117" s="20">
        <v>5</v>
      </c>
      <c r="F117" s="20">
        <v>5</v>
      </c>
      <c r="G117" s="18" t="s">
        <v>66</v>
      </c>
      <c r="H117" s="157"/>
      <c r="I117" s="166"/>
      <c r="L117" s="175"/>
      <c r="M117" s="169"/>
      <c r="N117" s="18" t="s">
        <v>82</v>
      </c>
      <c r="O117" s="20">
        <v>5</v>
      </c>
      <c r="P117" s="20">
        <v>5</v>
      </c>
      <c r="Q117" s="18" t="s">
        <v>66</v>
      </c>
      <c r="R117" s="157"/>
      <c r="S117" s="166"/>
    </row>
    <row r="118" spans="2:19" ht="15.75" thickBot="1" x14ac:dyDescent="0.3">
      <c r="B118" s="175"/>
      <c r="C118" s="170"/>
      <c r="D118" s="18" t="s">
        <v>83</v>
      </c>
      <c r="E118" s="20">
        <v>6</v>
      </c>
      <c r="F118" s="20">
        <v>6</v>
      </c>
      <c r="G118" s="18" t="s">
        <v>66</v>
      </c>
      <c r="H118" s="158"/>
      <c r="I118" s="167"/>
      <c r="L118" s="175"/>
      <c r="M118" s="170"/>
      <c r="N118" s="18" t="s">
        <v>83</v>
      </c>
      <c r="O118" s="20">
        <v>6</v>
      </c>
      <c r="P118" s="20">
        <v>6</v>
      </c>
      <c r="Q118" s="18" t="s">
        <v>66</v>
      </c>
      <c r="R118" s="158"/>
      <c r="S118" s="167"/>
    </row>
    <row r="119" spans="2:19" x14ac:dyDescent="0.25">
      <c r="B119" s="175"/>
      <c r="C119" s="168" t="s">
        <v>84</v>
      </c>
      <c r="D119" s="18" t="s">
        <v>2</v>
      </c>
      <c r="E119" s="19">
        <v>1</v>
      </c>
      <c r="F119" s="19">
        <v>7</v>
      </c>
      <c r="G119" s="18" t="s">
        <v>66</v>
      </c>
      <c r="H119" s="32"/>
      <c r="I119" s="50"/>
      <c r="L119" s="175"/>
      <c r="M119" s="168" t="s">
        <v>84</v>
      </c>
      <c r="N119" s="18" t="s">
        <v>2</v>
      </c>
      <c r="O119" s="19">
        <v>1</v>
      </c>
      <c r="P119" s="19">
        <v>7</v>
      </c>
      <c r="Q119" s="18" t="s">
        <v>66</v>
      </c>
      <c r="R119" s="32"/>
      <c r="S119" s="50"/>
    </row>
    <row r="120" spans="2:19" x14ac:dyDescent="0.25">
      <c r="B120" s="175"/>
      <c r="C120" s="169"/>
      <c r="D120" s="18" t="s">
        <v>3</v>
      </c>
      <c r="E120" s="19">
        <v>2</v>
      </c>
      <c r="F120" s="19">
        <v>8</v>
      </c>
      <c r="G120" s="18" t="s">
        <v>66</v>
      </c>
      <c r="H120" s="32"/>
      <c r="I120" s="50"/>
      <c r="L120" s="175"/>
      <c r="M120" s="169"/>
      <c r="N120" s="18" t="s">
        <v>3</v>
      </c>
      <c r="O120" s="19">
        <v>2</v>
      </c>
      <c r="P120" s="19">
        <v>8</v>
      </c>
      <c r="Q120" s="18" t="s">
        <v>66</v>
      </c>
      <c r="R120" s="32"/>
      <c r="S120" s="50"/>
    </row>
    <row r="121" spans="2:19" x14ac:dyDescent="0.25">
      <c r="B121" s="175"/>
      <c r="C121" s="169"/>
      <c r="D121" s="18" t="s">
        <v>80</v>
      </c>
      <c r="E121" s="20">
        <v>3</v>
      </c>
      <c r="F121" s="20">
        <v>9</v>
      </c>
      <c r="G121" s="18" t="s">
        <v>66</v>
      </c>
      <c r="H121" s="32"/>
      <c r="I121" s="50"/>
      <c r="L121" s="175"/>
      <c r="M121" s="169"/>
      <c r="N121" s="18" t="s">
        <v>80</v>
      </c>
      <c r="O121" s="20">
        <v>3</v>
      </c>
      <c r="P121" s="20">
        <v>9</v>
      </c>
      <c r="Q121" s="18" t="s">
        <v>66</v>
      </c>
      <c r="R121" s="32"/>
      <c r="S121" s="50"/>
    </row>
    <row r="122" spans="2:19" x14ac:dyDescent="0.25">
      <c r="B122" s="175"/>
      <c r="C122" s="169"/>
      <c r="D122" s="18" t="s">
        <v>81</v>
      </c>
      <c r="E122" s="20">
        <v>4</v>
      </c>
      <c r="F122" s="20">
        <v>10</v>
      </c>
      <c r="G122" s="18" t="s">
        <v>66</v>
      </c>
      <c r="H122" s="32"/>
      <c r="I122" s="50"/>
      <c r="L122" s="175"/>
      <c r="M122" s="169"/>
      <c r="N122" s="18" t="s">
        <v>81</v>
      </c>
      <c r="O122" s="20">
        <v>4</v>
      </c>
      <c r="P122" s="20">
        <v>10</v>
      </c>
      <c r="Q122" s="18" t="s">
        <v>66</v>
      </c>
      <c r="R122" s="32"/>
      <c r="S122" s="50"/>
    </row>
    <row r="123" spans="2:19" x14ac:dyDescent="0.25">
      <c r="B123" s="175"/>
      <c r="C123" s="169"/>
      <c r="D123" s="18" t="s">
        <v>82</v>
      </c>
      <c r="E123" s="20">
        <v>5</v>
      </c>
      <c r="F123" s="20">
        <v>11</v>
      </c>
      <c r="G123" s="18" t="s">
        <v>66</v>
      </c>
      <c r="H123" s="32"/>
      <c r="I123" s="50"/>
      <c r="L123" s="175"/>
      <c r="M123" s="169"/>
      <c r="N123" s="18" t="s">
        <v>82</v>
      </c>
      <c r="O123" s="20">
        <v>5</v>
      </c>
      <c r="P123" s="20">
        <v>11</v>
      </c>
      <c r="Q123" s="18" t="s">
        <v>66</v>
      </c>
      <c r="R123" s="32"/>
      <c r="S123" s="50"/>
    </row>
    <row r="124" spans="2:19" ht="15.75" thickBot="1" x14ac:dyDescent="0.3">
      <c r="B124" s="176"/>
      <c r="C124" s="170"/>
      <c r="D124" s="18" t="s">
        <v>83</v>
      </c>
      <c r="E124" s="20">
        <v>6</v>
      </c>
      <c r="F124" s="20">
        <v>12</v>
      </c>
      <c r="G124" s="18" t="s">
        <v>66</v>
      </c>
      <c r="H124" s="32"/>
      <c r="I124" s="50"/>
      <c r="L124" s="176"/>
      <c r="M124" s="170"/>
      <c r="N124" s="18" t="s">
        <v>83</v>
      </c>
      <c r="O124" s="20">
        <v>6</v>
      </c>
      <c r="P124" s="20">
        <v>12</v>
      </c>
      <c r="Q124" s="18" t="s">
        <v>66</v>
      </c>
      <c r="R124" s="32"/>
      <c r="S124" s="50"/>
    </row>
    <row r="125" spans="2:19" x14ac:dyDescent="0.25">
      <c r="B125" s="180" t="s">
        <v>3</v>
      </c>
      <c r="C125" s="177" t="s">
        <v>77</v>
      </c>
      <c r="D125" s="21" t="s">
        <v>2</v>
      </c>
      <c r="E125" s="22">
        <v>1</v>
      </c>
      <c r="F125" s="22">
        <v>13</v>
      </c>
      <c r="G125" s="21" t="s">
        <v>66</v>
      </c>
      <c r="H125" s="21"/>
      <c r="I125" s="51"/>
      <c r="L125" s="180" t="s">
        <v>3</v>
      </c>
      <c r="M125" s="177" t="s">
        <v>77</v>
      </c>
      <c r="N125" s="21" t="s">
        <v>2</v>
      </c>
      <c r="O125" s="22">
        <v>1</v>
      </c>
      <c r="P125" s="22">
        <v>13</v>
      </c>
      <c r="Q125" s="21" t="s">
        <v>66</v>
      </c>
      <c r="R125" s="21"/>
      <c r="S125" s="51"/>
    </row>
    <row r="126" spans="2:19" x14ac:dyDescent="0.25">
      <c r="B126" s="181"/>
      <c r="C126" s="178"/>
      <c r="D126" s="23" t="s">
        <v>3</v>
      </c>
      <c r="E126" s="24">
        <v>2</v>
      </c>
      <c r="F126" s="24">
        <v>14</v>
      </c>
      <c r="G126" s="23" t="s">
        <v>66</v>
      </c>
      <c r="H126" s="23"/>
      <c r="I126" s="47"/>
      <c r="L126" s="181"/>
      <c r="M126" s="178"/>
      <c r="N126" s="23" t="s">
        <v>3</v>
      </c>
      <c r="O126" s="24">
        <v>2</v>
      </c>
      <c r="P126" s="24">
        <v>14</v>
      </c>
      <c r="Q126" s="23" t="s">
        <v>66</v>
      </c>
      <c r="R126" s="23"/>
      <c r="S126" s="47"/>
    </row>
    <row r="127" spans="2:19" x14ac:dyDescent="0.25">
      <c r="B127" s="181"/>
      <c r="C127" s="178"/>
      <c r="D127" s="23" t="s">
        <v>80</v>
      </c>
      <c r="E127" s="24">
        <v>3</v>
      </c>
      <c r="F127" s="24">
        <v>15</v>
      </c>
      <c r="G127" s="23" t="s">
        <v>66</v>
      </c>
      <c r="H127" s="23"/>
      <c r="I127" s="47"/>
      <c r="L127" s="181"/>
      <c r="M127" s="178"/>
      <c r="N127" s="23" t="s">
        <v>80</v>
      </c>
      <c r="O127" s="24">
        <v>3</v>
      </c>
      <c r="P127" s="24">
        <v>15</v>
      </c>
      <c r="Q127" s="23" t="s">
        <v>66</v>
      </c>
      <c r="R127" s="23"/>
      <c r="S127" s="47"/>
    </row>
    <row r="128" spans="2:19" x14ac:dyDescent="0.25">
      <c r="B128" s="181"/>
      <c r="C128" s="178"/>
      <c r="D128" s="23" t="s">
        <v>81</v>
      </c>
      <c r="E128" s="24">
        <v>4</v>
      </c>
      <c r="F128" s="24">
        <v>16</v>
      </c>
      <c r="G128" s="23" t="s">
        <v>66</v>
      </c>
      <c r="H128" s="23"/>
      <c r="I128" s="47"/>
      <c r="L128" s="181"/>
      <c r="M128" s="178"/>
      <c r="N128" s="23" t="s">
        <v>81</v>
      </c>
      <c r="O128" s="24">
        <v>4</v>
      </c>
      <c r="P128" s="24">
        <v>16</v>
      </c>
      <c r="Q128" s="23" t="s">
        <v>66</v>
      </c>
      <c r="R128" s="23"/>
      <c r="S128" s="47"/>
    </row>
    <row r="129" spans="2:19" x14ac:dyDescent="0.25">
      <c r="B129" s="181"/>
      <c r="C129" s="178"/>
      <c r="D129" s="23" t="s">
        <v>82</v>
      </c>
      <c r="E129" s="24">
        <v>5</v>
      </c>
      <c r="F129" s="24">
        <v>17</v>
      </c>
      <c r="G129" s="23" t="s">
        <v>66</v>
      </c>
      <c r="H129" s="23"/>
      <c r="I129" s="47"/>
      <c r="L129" s="181"/>
      <c r="M129" s="178"/>
      <c r="N129" s="23" t="s">
        <v>82</v>
      </c>
      <c r="O129" s="24">
        <v>5</v>
      </c>
      <c r="P129" s="24">
        <v>17</v>
      </c>
      <c r="Q129" s="23" t="s">
        <v>66</v>
      </c>
      <c r="R129" s="23"/>
      <c r="S129" s="47"/>
    </row>
    <row r="130" spans="2:19" ht="15.75" thickBot="1" x14ac:dyDescent="0.3">
      <c r="B130" s="181"/>
      <c r="C130" s="179"/>
      <c r="D130" s="23" t="s">
        <v>83</v>
      </c>
      <c r="E130" s="24">
        <v>6</v>
      </c>
      <c r="F130" s="24">
        <v>18</v>
      </c>
      <c r="G130" s="23" t="s">
        <v>66</v>
      </c>
      <c r="H130" s="23"/>
      <c r="I130" s="47"/>
      <c r="L130" s="181"/>
      <c r="M130" s="179"/>
      <c r="N130" s="23" t="s">
        <v>83</v>
      </c>
      <c r="O130" s="24">
        <v>6</v>
      </c>
      <c r="P130" s="24">
        <v>18</v>
      </c>
      <c r="Q130" s="23" t="s">
        <v>66</v>
      </c>
      <c r="R130" s="23"/>
      <c r="S130" s="47"/>
    </row>
    <row r="131" spans="2:19" x14ac:dyDescent="0.25">
      <c r="B131" s="181"/>
      <c r="C131" s="177" t="s">
        <v>84</v>
      </c>
      <c r="D131" s="23" t="s">
        <v>2</v>
      </c>
      <c r="E131" s="24">
        <v>1</v>
      </c>
      <c r="F131" s="24">
        <v>19</v>
      </c>
      <c r="G131" s="23" t="s">
        <v>66</v>
      </c>
      <c r="H131" s="23"/>
      <c r="I131" s="47"/>
      <c r="L131" s="181"/>
      <c r="M131" s="177" t="s">
        <v>84</v>
      </c>
      <c r="N131" s="23" t="s">
        <v>2</v>
      </c>
      <c r="O131" s="24">
        <v>1</v>
      </c>
      <c r="P131" s="24">
        <v>19</v>
      </c>
      <c r="Q131" s="23" t="s">
        <v>66</v>
      </c>
      <c r="R131" s="23"/>
      <c r="S131" s="47"/>
    </row>
    <row r="132" spans="2:19" x14ac:dyDescent="0.25">
      <c r="B132" s="181"/>
      <c r="C132" s="178"/>
      <c r="D132" s="23" t="s">
        <v>3</v>
      </c>
      <c r="E132" s="24">
        <v>2</v>
      </c>
      <c r="F132" s="24">
        <v>20</v>
      </c>
      <c r="G132" s="23" t="s">
        <v>66</v>
      </c>
      <c r="H132" s="23"/>
      <c r="I132" s="47"/>
      <c r="L132" s="181"/>
      <c r="M132" s="178"/>
      <c r="N132" s="23" t="s">
        <v>3</v>
      </c>
      <c r="O132" s="24">
        <v>2</v>
      </c>
      <c r="P132" s="24">
        <v>20</v>
      </c>
      <c r="Q132" s="23" t="s">
        <v>66</v>
      </c>
      <c r="R132" s="23"/>
      <c r="S132" s="47"/>
    </row>
    <row r="133" spans="2:19" x14ac:dyDescent="0.25">
      <c r="B133" s="181"/>
      <c r="C133" s="178"/>
      <c r="D133" s="23" t="s">
        <v>80</v>
      </c>
      <c r="E133" s="26">
        <v>3</v>
      </c>
      <c r="F133" s="24">
        <v>21</v>
      </c>
      <c r="G133" s="23" t="s">
        <v>66</v>
      </c>
      <c r="H133" s="23"/>
      <c r="I133" s="47"/>
      <c r="L133" s="181"/>
      <c r="M133" s="178"/>
      <c r="N133" s="23" t="s">
        <v>80</v>
      </c>
      <c r="O133" s="26">
        <v>3</v>
      </c>
      <c r="P133" s="24">
        <v>21</v>
      </c>
      <c r="Q133" s="23" t="s">
        <v>66</v>
      </c>
      <c r="R133" s="23"/>
      <c r="S133" s="47"/>
    </row>
    <row r="134" spans="2:19" x14ac:dyDescent="0.25">
      <c r="B134" s="181"/>
      <c r="C134" s="178"/>
      <c r="D134" s="23" t="s">
        <v>81</v>
      </c>
      <c r="E134" s="24">
        <v>4</v>
      </c>
      <c r="F134" s="24">
        <v>22</v>
      </c>
      <c r="G134" s="23" t="s">
        <v>66</v>
      </c>
      <c r="H134" s="23"/>
      <c r="I134" s="47"/>
      <c r="L134" s="181"/>
      <c r="M134" s="178"/>
      <c r="N134" s="23" t="s">
        <v>81</v>
      </c>
      <c r="O134" s="24">
        <v>4</v>
      </c>
      <c r="P134" s="24">
        <v>22</v>
      </c>
      <c r="Q134" s="23" t="s">
        <v>66</v>
      </c>
      <c r="R134" s="23"/>
      <c r="S134" s="47"/>
    </row>
    <row r="135" spans="2:19" x14ac:dyDescent="0.25">
      <c r="B135" s="181"/>
      <c r="C135" s="178"/>
      <c r="D135" s="23" t="s">
        <v>82</v>
      </c>
      <c r="E135" s="24">
        <v>5</v>
      </c>
      <c r="F135" s="24">
        <v>23</v>
      </c>
      <c r="G135" s="23" t="s">
        <v>66</v>
      </c>
      <c r="H135" s="23"/>
      <c r="I135" s="47"/>
      <c r="L135" s="181"/>
      <c r="M135" s="178"/>
      <c r="N135" s="23" t="s">
        <v>82</v>
      </c>
      <c r="O135" s="24">
        <v>5</v>
      </c>
      <c r="P135" s="24">
        <v>23</v>
      </c>
      <c r="Q135" s="23" t="s">
        <v>66</v>
      </c>
      <c r="R135" s="23"/>
      <c r="S135" s="47"/>
    </row>
    <row r="136" spans="2:19" ht="15.75" thickBot="1" x14ac:dyDescent="0.3">
      <c r="B136" s="182"/>
      <c r="C136" s="179"/>
      <c r="D136" s="23" t="s">
        <v>83</v>
      </c>
      <c r="E136" s="24">
        <v>6</v>
      </c>
      <c r="F136" s="24">
        <v>24</v>
      </c>
      <c r="G136" s="23" t="s">
        <v>66</v>
      </c>
      <c r="H136" s="23"/>
      <c r="I136" s="47"/>
      <c r="L136" s="182"/>
      <c r="M136" s="179"/>
      <c r="N136" s="23" t="s">
        <v>83</v>
      </c>
      <c r="O136" s="24">
        <v>6</v>
      </c>
      <c r="P136" s="24">
        <v>24</v>
      </c>
      <c r="Q136" s="23" t="s">
        <v>66</v>
      </c>
      <c r="R136" s="23"/>
      <c r="S136" s="47"/>
    </row>
    <row r="137" spans="2:19" x14ac:dyDescent="0.25">
      <c r="B137" s="189" t="s">
        <v>80</v>
      </c>
      <c r="C137" s="192" t="s">
        <v>77</v>
      </c>
      <c r="D137" s="27" t="s">
        <v>2</v>
      </c>
      <c r="E137" s="28">
        <v>1</v>
      </c>
      <c r="F137" s="28">
        <v>25</v>
      </c>
      <c r="G137" s="27" t="s">
        <v>66</v>
      </c>
      <c r="H137" s="27"/>
      <c r="I137" s="48"/>
      <c r="L137" s="189" t="s">
        <v>80</v>
      </c>
      <c r="M137" s="192" t="s">
        <v>77</v>
      </c>
      <c r="N137" s="27" t="s">
        <v>2</v>
      </c>
      <c r="O137" s="28">
        <v>1</v>
      </c>
      <c r="P137" s="28">
        <v>25</v>
      </c>
      <c r="Q137" s="27" t="s">
        <v>66</v>
      </c>
      <c r="R137" s="27"/>
      <c r="S137" s="48"/>
    </row>
    <row r="138" spans="2:19" x14ac:dyDescent="0.25">
      <c r="B138" s="190"/>
      <c r="C138" s="193"/>
      <c r="D138" s="27" t="s">
        <v>3</v>
      </c>
      <c r="E138" s="28">
        <v>2</v>
      </c>
      <c r="F138" s="28">
        <v>26</v>
      </c>
      <c r="G138" s="27" t="s">
        <v>66</v>
      </c>
      <c r="H138" s="27"/>
      <c r="I138" s="48"/>
      <c r="L138" s="190"/>
      <c r="M138" s="193"/>
      <c r="N138" s="27" t="s">
        <v>3</v>
      </c>
      <c r="O138" s="28">
        <v>2</v>
      </c>
      <c r="P138" s="28">
        <v>26</v>
      </c>
      <c r="Q138" s="27" t="s">
        <v>66</v>
      </c>
      <c r="R138" s="27"/>
      <c r="S138" s="48"/>
    </row>
    <row r="139" spans="2:19" x14ac:dyDescent="0.25">
      <c r="B139" s="190"/>
      <c r="C139" s="193"/>
      <c r="D139" s="27" t="s">
        <v>80</v>
      </c>
      <c r="E139" s="28">
        <v>3</v>
      </c>
      <c r="F139" s="28">
        <v>27</v>
      </c>
      <c r="G139" s="27" t="s">
        <v>66</v>
      </c>
      <c r="H139" s="27"/>
      <c r="I139" s="48"/>
      <c r="L139" s="190"/>
      <c r="M139" s="193"/>
      <c r="N139" s="27" t="s">
        <v>80</v>
      </c>
      <c r="O139" s="28">
        <v>3</v>
      </c>
      <c r="P139" s="28">
        <v>27</v>
      </c>
      <c r="Q139" s="27" t="s">
        <v>66</v>
      </c>
      <c r="R139" s="27"/>
      <c r="S139" s="48"/>
    </row>
    <row r="140" spans="2:19" x14ac:dyDescent="0.25">
      <c r="B140" s="190"/>
      <c r="C140" s="193"/>
      <c r="D140" s="27" t="s">
        <v>81</v>
      </c>
      <c r="E140" s="28">
        <v>4</v>
      </c>
      <c r="F140" s="28">
        <v>28</v>
      </c>
      <c r="G140" s="27" t="s">
        <v>66</v>
      </c>
      <c r="H140" s="27"/>
      <c r="I140" s="48"/>
      <c r="L140" s="190"/>
      <c r="M140" s="193"/>
      <c r="N140" s="27" t="s">
        <v>81</v>
      </c>
      <c r="O140" s="28">
        <v>4</v>
      </c>
      <c r="P140" s="28">
        <v>28</v>
      </c>
      <c r="Q140" s="27" t="s">
        <v>66</v>
      </c>
      <c r="R140" s="27"/>
      <c r="S140" s="48"/>
    </row>
    <row r="141" spans="2:19" x14ac:dyDescent="0.25">
      <c r="B141" s="190"/>
      <c r="C141" s="193"/>
      <c r="D141" s="27" t="s">
        <v>82</v>
      </c>
      <c r="E141" s="28">
        <v>5</v>
      </c>
      <c r="F141" s="28">
        <v>29</v>
      </c>
      <c r="G141" s="27" t="s">
        <v>66</v>
      </c>
      <c r="H141" s="27"/>
      <c r="I141" s="48"/>
      <c r="L141" s="190"/>
      <c r="M141" s="193"/>
      <c r="N141" s="27" t="s">
        <v>82</v>
      </c>
      <c r="O141" s="28">
        <v>5</v>
      </c>
      <c r="P141" s="28">
        <v>29</v>
      </c>
      <c r="Q141" s="27" t="s">
        <v>66</v>
      </c>
      <c r="R141" s="27"/>
      <c r="S141" s="48"/>
    </row>
    <row r="142" spans="2:19" ht="15.75" thickBot="1" x14ac:dyDescent="0.3">
      <c r="B142" s="190"/>
      <c r="C142" s="194"/>
      <c r="D142" s="27" t="s">
        <v>83</v>
      </c>
      <c r="E142" s="28">
        <v>6</v>
      </c>
      <c r="F142" s="28">
        <v>30</v>
      </c>
      <c r="G142" s="27" t="s">
        <v>66</v>
      </c>
      <c r="H142" s="27"/>
      <c r="I142" s="48"/>
      <c r="L142" s="190"/>
      <c r="M142" s="194"/>
      <c r="N142" s="27" t="s">
        <v>83</v>
      </c>
      <c r="O142" s="28">
        <v>6</v>
      </c>
      <c r="P142" s="28">
        <v>30</v>
      </c>
      <c r="Q142" s="27" t="s">
        <v>66</v>
      </c>
      <c r="R142" s="27"/>
      <c r="S142" s="48"/>
    </row>
    <row r="143" spans="2:19" x14ac:dyDescent="0.25">
      <c r="B143" s="190"/>
      <c r="C143" s="192" t="s">
        <v>84</v>
      </c>
      <c r="D143" s="27" t="s">
        <v>2</v>
      </c>
      <c r="E143" s="28">
        <v>1</v>
      </c>
      <c r="F143" s="28">
        <v>31</v>
      </c>
      <c r="G143" s="27" t="s">
        <v>66</v>
      </c>
      <c r="H143" s="27"/>
      <c r="I143" s="48"/>
      <c r="L143" s="190"/>
      <c r="M143" s="192" t="s">
        <v>84</v>
      </c>
      <c r="N143" s="27" t="s">
        <v>2</v>
      </c>
      <c r="O143" s="28">
        <v>1</v>
      </c>
      <c r="P143" s="28">
        <v>31</v>
      </c>
      <c r="Q143" s="27" t="s">
        <v>66</v>
      </c>
      <c r="R143" s="27"/>
      <c r="S143" s="48"/>
    </row>
    <row r="144" spans="2:19" x14ac:dyDescent="0.25">
      <c r="B144" s="190"/>
      <c r="C144" s="193"/>
      <c r="D144" s="27" t="s">
        <v>3</v>
      </c>
      <c r="E144" s="28">
        <v>2</v>
      </c>
      <c r="F144" s="28">
        <v>32</v>
      </c>
      <c r="G144" s="27" t="s">
        <v>66</v>
      </c>
      <c r="H144" s="27"/>
      <c r="I144" s="48"/>
      <c r="L144" s="190"/>
      <c r="M144" s="193"/>
      <c r="N144" s="27" t="s">
        <v>3</v>
      </c>
      <c r="O144" s="28">
        <v>2</v>
      </c>
      <c r="P144" s="28">
        <v>32</v>
      </c>
      <c r="Q144" s="27" t="s">
        <v>66</v>
      </c>
      <c r="R144" s="27"/>
      <c r="S144" s="48"/>
    </row>
    <row r="145" spans="2:19" x14ac:dyDescent="0.25">
      <c r="B145" s="190"/>
      <c r="C145" s="193"/>
      <c r="D145" s="27" t="s">
        <v>80</v>
      </c>
      <c r="E145" s="28">
        <v>3</v>
      </c>
      <c r="F145" s="28">
        <v>33</v>
      </c>
      <c r="G145" s="27" t="s">
        <v>66</v>
      </c>
      <c r="H145" s="27"/>
      <c r="I145" s="48"/>
      <c r="L145" s="190"/>
      <c r="M145" s="193"/>
      <c r="N145" s="27" t="s">
        <v>80</v>
      </c>
      <c r="O145" s="28">
        <v>3</v>
      </c>
      <c r="P145" s="28">
        <v>33</v>
      </c>
      <c r="Q145" s="27" t="s">
        <v>66</v>
      </c>
      <c r="R145" s="27"/>
      <c r="S145" s="48"/>
    </row>
    <row r="146" spans="2:19" x14ac:dyDescent="0.25">
      <c r="B146" s="190"/>
      <c r="C146" s="193"/>
      <c r="D146" s="27" t="s">
        <v>81</v>
      </c>
      <c r="E146" s="28">
        <v>4</v>
      </c>
      <c r="F146" s="28">
        <v>34</v>
      </c>
      <c r="G146" s="27" t="s">
        <v>66</v>
      </c>
      <c r="H146" s="27"/>
      <c r="I146" s="48"/>
      <c r="L146" s="190"/>
      <c r="M146" s="193"/>
      <c r="N146" s="27" t="s">
        <v>81</v>
      </c>
      <c r="O146" s="28">
        <v>4</v>
      </c>
      <c r="P146" s="28">
        <v>34</v>
      </c>
      <c r="Q146" s="27" t="s">
        <v>66</v>
      </c>
      <c r="R146" s="27"/>
      <c r="S146" s="48"/>
    </row>
    <row r="147" spans="2:19" x14ac:dyDescent="0.25">
      <c r="B147" s="190"/>
      <c r="C147" s="193"/>
      <c r="D147" s="27" t="s">
        <v>82</v>
      </c>
      <c r="E147" s="28">
        <v>5</v>
      </c>
      <c r="F147" s="28">
        <v>35</v>
      </c>
      <c r="G147" s="27" t="s">
        <v>66</v>
      </c>
      <c r="H147" s="27"/>
      <c r="I147" s="48"/>
      <c r="L147" s="190"/>
      <c r="M147" s="193"/>
      <c r="N147" s="27" t="s">
        <v>82</v>
      </c>
      <c r="O147" s="28">
        <v>5</v>
      </c>
      <c r="P147" s="28">
        <v>35</v>
      </c>
      <c r="Q147" s="27" t="s">
        <v>66</v>
      </c>
      <c r="R147" s="27"/>
      <c r="S147" s="48"/>
    </row>
    <row r="148" spans="2:19" ht="15.75" thickBot="1" x14ac:dyDescent="0.3">
      <c r="B148" s="191"/>
      <c r="C148" s="194"/>
      <c r="D148" s="27" t="s">
        <v>83</v>
      </c>
      <c r="E148" s="28">
        <v>6</v>
      </c>
      <c r="F148" s="28">
        <v>36</v>
      </c>
      <c r="G148" s="27" t="s">
        <v>66</v>
      </c>
      <c r="H148" s="27"/>
      <c r="I148" s="48"/>
      <c r="L148" s="191"/>
      <c r="M148" s="194"/>
      <c r="N148" s="27" t="s">
        <v>83</v>
      </c>
      <c r="O148" s="28">
        <v>6</v>
      </c>
      <c r="P148" s="28">
        <v>36</v>
      </c>
      <c r="Q148" s="27" t="s">
        <v>66</v>
      </c>
      <c r="R148" s="27"/>
      <c r="S148" s="48"/>
    </row>
    <row r="149" spans="2:19" x14ac:dyDescent="0.25">
      <c r="B149" s="183" t="s">
        <v>81</v>
      </c>
      <c r="C149" s="186" t="s">
        <v>77</v>
      </c>
      <c r="D149" s="29" t="s">
        <v>2</v>
      </c>
      <c r="E149" s="30">
        <v>1</v>
      </c>
      <c r="F149" s="30">
        <v>37</v>
      </c>
      <c r="G149" s="29" t="s">
        <v>66</v>
      </c>
      <c r="H149" s="29"/>
      <c r="I149" s="49"/>
      <c r="L149" s="183" t="s">
        <v>81</v>
      </c>
      <c r="M149" s="186" t="s">
        <v>77</v>
      </c>
      <c r="N149" s="29" t="s">
        <v>2</v>
      </c>
      <c r="O149" s="30">
        <v>1</v>
      </c>
      <c r="P149" s="30">
        <v>37</v>
      </c>
      <c r="Q149" s="29" t="s">
        <v>66</v>
      </c>
      <c r="R149" s="29"/>
      <c r="S149" s="49"/>
    </row>
    <row r="150" spans="2:19" x14ac:dyDescent="0.25">
      <c r="B150" s="184"/>
      <c r="C150" s="187"/>
      <c r="D150" s="29" t="s">
        <v>3</v>
      </c>
      <c r="E150" s="30">
        <v>2</v>
      </c>
      <c r="F150" s="30">
        <v>38</v>
      </c>
      <c r="G150" s="29" t="s">
        <v>66</v>
      </c>
      <c r="H150" s="29"/>
      <c r="I150" s="49"/>
      <c r="L150" s="184"/>
      <c r="M150" s="187"/>
      <c r="N150" s="29" t="s">
        <v>3</v>
      </c>
      <c r="O150" s="30">
        <v>2</v>
      </c>
      <c r="P150" s="30">
        <v>38</v>
      </c>
      <c r="Q150" s="29" t="s">
        <v>66</v>
      </c>
      <c r="R150" s="29"/>
      <c r="S150" s="49"/>
    </row>
    <row r="151" spans="2:19" x14ac:dyDescent="0.25">
      <c r="B151" s="184"/>
      <c r="C151" s="187"/>
      <c r="D151" s="29" t="s">
        <v>80</v>
      </c>
      <c r="E151" s="30">
        <v>3</v>
      </c>
      <c r="F151" s="30">
        <v>39</v>
      </c>
      <c r="G151" s="29" t="s">
        <v>66</v>
      </c>
      <c r="H151" s="29"/>
      <c r="I151" s="49"/>
      <c r="L151" s="184"/>
      <c r="M151" s="187"/>
      <c r="N151" s="29" t="s">
        <v>80</v>
      </c>
      <c r="O151" s="30">
        <v>3</v>
      </c>
      <c r="P151" s="30">
        <v>39</v>
      </c>
      <c r="Q151" s="29" t="s">
        <v>66</v>
      </c>
      <c r="R151" s="29"/>
      <c r="S151" s="49"/>
    </row>
    <row r="152" spans="2:19" x14ac:dyDescent="0.25">
      <c r="B152" s="184"/>
      <c r="C152" s="187"/>
      <c r="D152" s="29" t="s">
        <v>81</v>
      </c>
      <c r="E152" s="30">
        <v>4</v>
      </c>
      <c r="F152" s="30">
        <v>40</v>
      </c>
      <c r="G152" s="29" t="s">
        <v>66</v>
      </c>
      <c r="H152" s="29"/>
      <c r="I152" s="49"/>
      <c r="L152" s="184"/>
      <c r="M152" s="187"/>
      <c r="N152" s="29" t="s">
        <v>81</v>
      </c>
      <c r="O152" s="30">
        <v>4</v>
      </c>
      <c r="P152" s="30">
        <v>40</v>
      </c>
      <c r="Q152" s="29" t="s">
        <v>66</v>
      </c>
      <c r="R152" s="29"/>
      <c r="S152" s="49"/>
    </row>
    <row r="153" spans="2:19" x14ac:dyDescent="0.25">
      <c r="B153" s="184"/>
      <c r="C153" s="187"/>
      <c r="D153" s="29" t="s">
        <v>82</v>
      </c>
      <c r="E153" s="30">
        <v>5</v>
      </c>
      <c r="F153" s="30">
        <v>41</v>
      </c>
      <c r="G153" s="29" t="s">
        <v>66</v>
      </c>
      <c r="H153" s="29"/>
      <c r="I153" s="49"/>
      <c r="L153" s="184"/>
      <c r="M153" s="187"/>
      <c r="N153" s="29" t="s">
        <v>82</v>
      </c>
      <c r="O153" s="30">
        <v>5</v>
      </c>
      <c r="P153" s="30">
        <v>41</v>
      </c>
      <c r="Q153" s="29" t="s">
        <v>66</v>
      </c>
      <c r="R153" s="29"/>
      <c r="S153" s="49"/>
    </row>
    <row r="154" spans="2:19" ht="15.75" thickBot="1" x14ac:dyDescent="0.3">
      <c r="B154" s="184"/>
      <c r="C154" s="188"/>
      <c r="D154" s="29" t="s">
        <v>83</v>
      </c>
      <c r="E154" s="30">
        <v>6</v>
      </c>
      <c r="F154" s="30">
        <v>42</v>
      </c>
      <c r="G154" s="29" t="s">
        <v>66</v>
      </c>
      <c r="H154" s="29"/>
      <c r="I154" s="49"/>
      <c r="L154" s="184"/>
      <c r="M154" s="188"/>
      <c r="N154" s="29" t="s">
        <v>83</v>
      </c>
      <c r="O154" s="30">
        <v>6</v>
      </c>
      <c r="P154" s="30">
        <v>42</v>
      </c>
      <c r="Q154" s="29" t="s">
        <v>66</v>
      </c>
      <c r="R154" s="29"/>
      <c r="S154" s="49"/>
    </row>
    <row r="155" spans="2:19" x14ac:dyDescent="0.25">
      <c r="B155" s="184"/>
      <c r="C155" s="186" t="s">
        <v>84</v>
      </c>
      <c r="D155" s="29" t="s">
        <v>2</v>
      </c>
      <c r="E155" s="30">
        <v>1</v>
      </c>
      <c r="F155" s="30">
        <v>43</v>
      </c>
      <c r="G155" s="29" t="s">
        <v>66</v>
      </c>
      <c r="H155" s="29"/>
      <c r="I155" s="49"/>
      <c r="L155" s="184"/>
      <c r="M155" s="186" t="s">
        <v>84</v>
      </c>
      <c r="N155" s="29" t="s">
        <v>2</v>
      </c>
      <c r="O155" s="30">
        <v>1</v>
      </c>
      <c r="P155" s="30">
        <v>43</v>
      </c>
      <c r="Q155" s="29" t="s">
        <v>66</v>
      </c>
      <c r="R155" s="29"/>
      <c r="S155" s="49"/>
    </row>
    <row r="156" spans="2:19" x14ac:dyDescent="0.25">
      <c r="B156" s="184"/>
      <c r="C156" s="187"/>
      <c r="D156" s="29" t="s">
        <v>3</v>
      </c>
      <c r="E156" s="30">
        <v>2</v>
      </c>
      <c r="F156" s="30">
        <v>44</v>
      </c>
      <c r="G156" s="29" t="s">
        <v>66</v>
      </c>
      <c r="H156" s="29"/>
      <c r="I156" s="49"/>
      <c r="L156" s="184"/>
      <c r="M156" s="187"/>
      <c r="N156" s="29" t="s">
        <v>3</v>
      </c>
      <c r="O156" s="30">
        <v>2</v>
      </c>
      <c r="P156" s="30">
        <v>44</v>
      </c>
      <c r="Q156" s="29" t="s">
        <v>66</v>
      </c>
      <c r="R156" s="29"/>
      <c r="S156" s="49"/>
    </row>
    <row r="157" spans="2:19" x14ac:dyDescent="0.25">
      <c r="B157" s="184"/>
      <c r="C157" s="187"/>
      <c r="D157" s="29" t="s">
        <v>80</v>
      </c>
      <c r="E157" s="30">
        <v>3</v>
      </c>
      <c r="F157" s="30">
        <v>45</v>
      </c>
      <c r="G157" s="29" t="s">
        <v>66</v>
      </c>
      <c r="H157" s="29"/>
      <c r="I157" s="49"/>
      <c r="L157" s="184"/>
      <c r="M157" s="187"/>
      <c r="N157" s="29" t="s">
        <v>80</v>
      </c>
      <c r="O157" s="30">
        <v>3</v>
      </c>
      <c r="P157" s="30">
        <v>45</v>
      </c>
      <c r="Q157" s="29" t="s">
        <v>66</v>
      </c>
      <c r="R157" s="29"/>
      <c r="S157" s="49"/>
    </row>
    <row r="158" spans="2:19" x14ac:dyDescent="0.25">
      <c r="B158" s="184"/>
      <c r="C158" s="187"/>
      <c r="D158" s="29" t="s">
        <v>81</v>
      </c>
      <c r="E158" s="30">
        <v>4</v>
      </c>
      <c r="F158" s="30">
        <v>46</v>
      </c>
      <c r="G158" s="29" t="s">
        <v>66</v>
      </c>
      <c r="H158" s="29"/>
      <c r="I158" s="49"/>
      <c r="L158" s="184"/>
      <c r="M158" s="187"/>
      <c r="N158" s="29" t="s">
        <v>81</v>
      </c>
      <c r="O158" s="30">
        <v>4</v>
      </c>
      <c r="P158" s="30">
        <v>46</v>
      </c>
      <c r="Q158" s="29" t="s">
        <v>66</v>
      </c>
      <c r="R158" s="29"/>
      <c r="S158" s="49"/>
    </row>
    <row r="159" spans="2:19" x14ac:dyDescent="0.25">
      <c r="B159" s="184"/>
      <c r="C159" s="187"/>
      <c r="D159" s="29" t="s">
        <v>82</v>
      </c>
      <c r="E159" s="30">
        <v>5</v>
      </c>
      <c r="F159" s="30">
        <v>47</v>
      </c>
      <c r="G159" s="29" t="s">
        <v>66</v>
      </c>
      <c r="H159" s="29"/>
      <c r="I159" s="49"/>
      <c r="L159" s="184"/>
      <c r="M159" s="187"/>
      <c r="N159" s="29" t="s">
        <v>82</v>
      </c>
      <c r="O159" s="30">
        <v>5</v>
      </c>
      <c r="P159" s="30">
        <v>47</v>
      </c>
      <c r="Q159" s="29" t="s">
        <v>66</v>
      </c>
      <c r="R159" s="29"/>
      <c r="S159" s="49"/>
    </row>
    <row r="160" spans="2:19" ht="15.75" thickBot="1" x14ac:dyDescent="0.3">
      <c r="B160" s="185"/>
      <c r="C160" s="188"/>
      <c r="D160" s="29" t="s">
        <v>83</v>
      </c>
      <c r="E160" s="30">
        <v>6</v>
      </c>
      <c r="F160" s="30">
        <v>48</v>
      </c>
      <c r="G160" s="29" t="s">
        <v>66</v>
      </c>
      <c r="H160" s="29"/>
      <c r="I160" s="49"/>
      <c r="L160" s="185"/>
      <c r="M160" s="188"/>
      <c r="N160" s="29" t="s">
        <v>83</v>
      </c>
      <c r="O160" s="30">
        <v>6</v>
      </c>
      <c r="P160" s="30">
        <v>48</v>
      </c>
      <c r="Q160" s="29" t="s">
        <v>66</v>
      </c>
      <c r="R160" s="29"/>
      <c r="S160" s="49"/>
    </row>
    <row r="161" spans="2:19" ht="15.75" thickBot="1" x14ac:dyDescent="0.3"/>
    <row r="162" spans="2:19" ht="15.75" thickBot="1" x14ac:dyDescent="0.3">
      <c r="B162" s="171" t="s">
        <v>305</v>
      </c>
      <c r="C162" s="172"/>
      <c r="D162" s="172"/>
      <c r="E162" s="172"/>
      <c r="F162" s="172"/>
      <c r="G162" s="172"/>
      <c r="H162" s="172"/>
      <c r="I162" s="173"/>
      <c r="L162" s="171" t="s">
        <v>306</v>
      </c>
      <c r="M162" s="172"/>
      <c r="N162" s="172"/>
      <c r="O162" s="172"/>
      <c r="P162" s="172"/>
      <c r="Q162" s="172"/>
      <c r="R162" s="172"/>
      <c r="S162" s="173"/>
    </row>
    <row r="163" spans="2:19" ht="8.25" customHeight="1" x14ac:dyDescent="0.25"/>
    <row r="164" spans="2:19" ht="26.25" thickBot="1" x14ac:dyDescent="0.3">
      <c r="B164" s="15" t="s">
        <v>70</v>
      </c>
      <c r="C164" s="16" t="s">
        <v>71</v>
      </c>
      <c r="D164" s="15" t="s">
        <v>72</v>
      </c>
      <c r="E164" s="17" t="s">
        <v>73</v>
      </c>
      <c r="F164" s="17" t="s">
        <v>74</v>
      </c>
      <c r="G164" s="15" t="s">
        <v>75</v>
      </c>
      <c r="H164" s="15" t="s">
        <v>55</v>
      </c>
      <c r="I164" s="15" t="s">
        <v>76</v>
      </c>
      <c r="L164" s="15" t="s">
        <v>70</v>
      </c>
      <c r="M164" s="16" t="s">
        <v>71</v>
      </c>
      <c r="N164" s="15" t="s">
        <v>72</v>
      </c>
      <c r="O164" s="17" t="s">
        <v>73</v>
      </c>
      <c r="P164" s="17" t="s">
        <v>74</v>
      </c>
      <c r="Q164" s="15" t="s">
        <v>75</v>
      </c>
      <c r="R164" s="15" t="s">
        <v>55</v>
      </c>
      <c r="S164" s="15" t="s">
        <v>76</v>
      </c>
    </row>
    <row r="165" spans="2:19" x14ac:dyDescent="0.25">
      <c r="B165" s="174" t="s">
        <v>2</v>
      </c>
      <c r="C165" s="168" t="s">
        <v>77</v>
      </c>
      <c r="D165" s="18" t="s">
        <v>2</v>
      </c>
      <c r="E165" s="19">
        <v>1</v>
      </c>
      <c r="F165" s="19">
        <v>1</v>
      </c>
      <c r="G165" s="18" t="s">
        <v>78</v>
      </c>
      <c r="H165" s="156" t="s">
        <v>300</v>
      </c>
      <c r="I165" s="165" t="s">
        <v>177</v>
      </c>
      <c r="L165" s="174" t="s">
        <v>2</v>
      </c>
      <c r="M165" s="168" t="s">
        <v>77</v>
      </c>
      <c r="N165" s="18" t="s">
        <v>2</v>
      </c>
      <c r="O165" s="19">
        <v>1</v>
      </c>
      <c r="P165" s="19">
        <v>1</v>
      </c>
      <c r="Q165" s="18" t="s">
        <v>78</v>
      </c>
      <c r="R165" s="156" t="s">
        <v>300</v>
      </c>
      <c r="S165" s="165" t="s">
        <v>179</v>
      </c>
    </row>
    <row r="166" spans="2:19" x14ac:dyDescent="0.25">
      <c r="B166" s="175"/>
      <c r="C166" s="169"/>
      <c r="D166" s="18" t="s">
        <v>3</v>
      </c>
      <c r="E166" s="19">
        <v>2</v>
      </c>
      <c r="F166" s="19">
        <v>2</v>
      </c>
      <c r="G166" s="18" t="s">
        <v>78</v>
      </c>
      <c r="H166" s="157"/>
      <c r="I166" s="166"/>
      <c r="L166" s="175"/>
      <c r="M166" s="169"/>
      <c r="N166" s="18" t="s">
        <v>3</v>
      </c>
      <c r="O166" s="19">
        <v>2</v>
      </c>
      <c r="P166" s="19">
        <v>2</v>
      </c>
      <c r="Q166" s="18" t="s">
        <v>78</v>
      </c>
      <c r="R166" s="157"/>
      <c r="S166" s="166"/>
    </row>
    <row r="167" spans="2:19" x14ac:dyDescent="0.25">
      <c r="B167" s="175"/>
      <c r="C167" s="169"/>
      <c r="D167" s="18" t="s">
        <v>80</v>
      </c>
      <c r="E167" s="20">
        <v>3</v>
      </c>
      <c r="F167" s="20">
        <v>3</v>
      </c>
      <c r="G167" s="18" t="s">
        <v>66</v>
      </c>
      <c r="H167" s="157"/>
      <c r="I167" s="166"/>
      <c r="L167" s="175"/>
      <c r="M167" s="169"/>
      <c r="N167" s="18" t="s">
        <v>80</v>
      </c>
      <c r="O167" s="20">
        <v>3</v>
      </c>
      <c r="P167" s="20">
        <v>3</v>
      </c>
      <c r="Q167" s="18" t="s">
        <v>66</v>
      </c>
      <c r="R167" s="157"/>
      <c r="S167" s="166"/>
    </row>
    <row r="168" spans="2:19" x14ac:dyDescent="0.25">
      <c r="B168" s="175"/>
      <c r="C168" s="169"/>
      <c r="D168" s="18" t="s">
        <v>81</v>
      </c>
      <c r="E168" s="20">
        <v>4</v>
      </c>
      <c r="F168" s="20">
        <v>4</v>
      </c>
      <c r="G168" s="18" t="s">
        <v>66</v>
      </c>
      <c r="H168" s="157"/>
      <c r="I168" s="166"/>
      <c r="L168" s="175"/>
      <c r="M168" s="169"/>
      <c r="N168" s="18" t="s">
        <v>81</v>
      </c>
      <c r="O168" s="20">
        <v>4</v>
      </c>
      <c r="P168" s="20">
        <v>4</v>
      </c>
      <c r="Q168" s="18" t="s">
        <v>66</v>
      </c>
      <c r="R168" s="157"/>
      <c r="S168" s="166"/>
    </row>
    <row r="169" spans="2:19" x14ac:dyDescent="0.25">
      <c r="B169" s="175"/>
      <c r="C169" s="169"/>
      <c r="D169" s="18" t="s">
        <v>82</v>
      </c>
      <c r="E169" s="20">
        <v>5</v>
      </c>
      <c r="F169" s="20">
        <v>5</v>
      </c>
      <c r="G169" s="18" t="s">
        <v>66</v>
      </c>
      <c r="H169" s="157"/>
      <c r="I169" s="166"/>
      <c r="L169" s="175"/>
      <c r="M169" s="169"/>
      <c r="N169" s="18" t="s">
        <v>82</v>
      </c>
      <c r="O169" s="20">
        <v>5</v>
      </c>
      <c r="P169" s="20">
        <v>5</v>
      </c>
      <c r="Q169" s="18" t="s">
        <v>66</v>
      </c>
      <c r="R169" s="157"/>
      <c r="S169" s="166"/>
    </row>
    <row r="170" spans="2:19" ht="15.75" thickBot="1" x14ac:dyDescent="0.3">
      <c r="B170" s="175"/>
      <c r="C170" s="170"/>
      <c r="D170" s="18" t="s">
        <v>83</v>
      </c>
      <c r="E170" s="20">
        <v>6</v>
      </c>
      <c r="F170" s="20">
        <v>6</v>
      </c>
      <c r="G170" s="18" t="s">
        <v>66</v>
      </c>
      <c r="H170" s="158"/>
      <c r="I170" s="167"/>
      <c r="L170" s="175"/>
      <c r="M170" s="170"/>
      <c r="N170" s="18" t="s">
        <v>83</v>
      </c>
      <c r="O170" s="20">
        <v>6</v>
      </c>
      <c r="P170" s="20">
        <v>6</v>
      </c>
      <c r="Q170" s="18" t="s">
        <v>66</v>
      </c>
      <c r="R170" s="158"/>
      <c r="S170" s="167"/>
    </row>
    <row r="171" spans="2:19" x14ac:dyDescent="0.25">
      <c r="B171" s="175"/>
      <c r="C171" s="168" t="s">
        <v>84</v>
      </c>
      <c r="D171" s="18" t="s">
        <v>2</v>
      </c>
      <c r="E171" s="19">
        <v>1</v>
      </c>
      <c r="F171" s="19">
        <v>7</v>
      </c>
      <c r="G171" s="18" t="s">
        <v>66</v>
      </c>
      <c r="H171" s="32"/>
      <c r="I171" s="50"/>
      <c r="L171" s="175"/>
      <c r="M171" s="168" t="s">
        <v>84</v>
      </c>
      <c r="N171" s="18" t="s">
        <v>2</v>
      </c>
      <c r="O171" s="19">
        <v>1</v>
      </c>
      <c r="P171" s="19">
        <v>7</v>
      </c>
      <c r="Q171" s="18" t="s">
        <v>66</v>
      </c>
      <c r="R171" s="32"/>
      <c r="S171" s="50"/>
    </row>
    <row r="172" spans="2:19" x14ac:dyDescent="0.25">
      <c r="B172" s="175"/>
      <c r="C172" s="169"/>
      <c r="D172" s="18" t="s">
        <v>3</v>
      </c>
      <c r="E172" s="19">
        <v>2</v>
      </c>
      <c r="F172" s="19">
        <v>8</v>
      </c>
      <c r="G172" s="18" t="s">
        <v>66</v>
      </c>
      <c r="H172" s="32"/>
      <c r="I172" s="50"/>
      <c r="L172" s="175"/>
      <c r="M172" s="169"/>
      <c r="N172" s="18" t="s">
        <v>3</v>
      </c>
      <c r="O172" s="19">
        <v>2</v>
      </c>
      <c r="P172" s="19">
        <v>8</v>
      </c>
      <c r="Q172" s="18" t="s">
        <v>66</v>
      </c>
      <c r="R172" s="32"/>
      <c r="S172" s="50"/>
    </row>
    <row r="173" spans="2:19" x14ac:dyDescent="0.25">
      <c r="B173" s="175"/>
      <c r="C173" s="169"/>
      <c r="D173" s="18" t="s">
        <v>80</v>
      </c>
      <c r="E173" s="20">
        <v>3</v>
      </c>
      <c r="F173" s="20">
        <v>9</v>
      </c>
      <c r="G173" s="18" t="s">
        <v>66</v>
      </c>
      <c r="H173" s="32"/>
      <c r="I173" s="50"/>
      <c r="L173" s="175"/>
      <c r="M173" s="169"/>
      <c r="N173" s="18" t="s">
        <v>80</v>
      </c>
      <c r="O173" s="20">
        <v>3</v>
      </c>
      <c r="P173" s="20">
        <v>9</v>
      </c>
      <c r="Q173" s="18" t="s">
        <v>66</v>
      </c>
      <c r="R173" s="32"/>
      <c r="S173" s="50"/>
    </row>
    <row r="174" spans="2:19" x14ac:dyDescent="0.25">
      <c r="B174" s="175"/>
      <c r="C174" s="169"/>
      <c r="D174" s="18" t="s">
        <v>81</v>
      </c>
      <c r="E174" s="20">
        <v>4</v>
      </c>
      <c r="F174" s="20">
        <v>10</v>
      </c>
      <c r="G174" s="18" t="s">
        <v>66</v>
      </c>
      <c r="H174" s="32"/>
      <c r="I174" s="50"/>
      <c r="L174" s="175"/>
      <c r="M174" s="169"/>
      <c r="N174" s="18" t="s">
        <v>81</v>
      </c>
      <c r="O174" s="20">
        <v>4</v>
      </c>
      <c r="P174" s="20">
        <v>10</v>
      </c>
      <c r="Q174" s="18" t="s">
        <v>66</v>
      </c>
      <c r="R174" s="32"/>
      <c r="S174" s="50"/>
    </row>
    <row r="175" spans="2:19" x14ac:dyDescent="0.25">
      <c r="B175" s="175"/>
      <c r="C175" s="169"/>
      <c r="D175" s="18" t="s">
        <v>82</v>
      </c>
      <c r="E175" s="20">
        <v>5</v>
      </c>
      <c r="F175" s="20">
        <v>11</v>
      </c>
      <c r="G175" s="18" t="s">
        <v>66</v>
      </c>
      <c r="H175" s="32"/>
      <c r="I175" s="50"/>
      <c r="L175" s="175"/>
      <c r="M175" s="169"/>
      <c r="N175" s="18" t="s">
        <v>82</v>
      </c>
      <c r="O175" s="20">
        <v>5</v>
      </c>
      <c r="P175" s="20">
        <v>11</v>
      </c>
      <c r="Q175" s="18" t="s">
        <v>66</v>
      </c>
      <c r="R175" s="32"/>
      <c r="S175" s="50"/>
    </row>
    <row r="176" spans="2:19" ht="15.75" thickBot="1" x14ac:dyDescent="0.3">
      <c r="B176" s="176"/>
      <c r="C176" s="170"/>
      <c r="D176" s="18" t="s">
        <v>83</v>
      </c>
      <c r="E176" s="20">
        <v>6</v>
      </c>
      <c r="F176" s="20">
        <v>12</v>
      </c>
      <c r="G176" s="18" t="s">
        <v>66</v>
      </c>
      <c r="H176" s="32"/>
      <c r="I176" s="50"/>
      <c r="L176" s="176"/>
      <c r="M176" s="170"/>
      <c r="N176" s="18" t="s">
        <v>83</v>
      </c>
      <c r="O176" s="20">
        <v>6</v>
      </c>
      <c r="P176" s="20">
        <v>12</v>
      </c>
      <c r="Q176" s="18" t="s">
        <v>66</v>
      </c>
      <c r="R176" s="32"/>
      <c r="S176" s="50"/>
    </row>
    <row r="177" spans="2:19" x14ac:dyDescent="0.25">
      <c r="B177" s="180" t="s">
        <v>3</v>
      </c>
      <c r="C177" s="177" t="s">
        <v>77</v>
      </c>
      <c r="D177" s="21" t="s">
        <v>2</v>
      </c>
      <c r="E177" s="22">
        <v>1</v>
      </c>
      <c r="F177" s="22">
        <v>13</v>
      </c>
      <c r="G177" s="21" t="s">
        <v>66</v>
      </c>
      <c r="H177" s="21"/>
      <c r="I177" s="51"/>
      <c r="L177" s="180" t="s">
        <v>3</v>
      </c>
      <c r="M177" s="177" t="s">
        <v>77</v>
      </c>
      <c r="N177" s="21" t="s">
        <v>2</v>
      </c>
      <c r="O177" s="22">
        <v>1</v>
      </c>
      <c r="P177" s="22">
        <v>13</v>
      </c>
      <c r="Q177" s="21" t="s">
        <v>66</v>
      </c>
      <c r="R177" s="21"/>
      <c r="S177" s="51"/>
    </row>
    <row r="178" spans="2:19" x14ac:dyDescent="0.25">
      <c r="B178" s="181"/>
      <c r="C178" s="178"/>
      <c r="D178" s="23" t="s">
        <v>3</v>
      </c>
      <c r="E178" s="24">
        <v>2</v>
      </c>
      <c r="F178" s="24">
        <v>14</v>
      </c>
      <c r="G178" s="23" t="s">
        <v>66</v>
      </c>
      <c r="H178" s="23"/>
      <c r="I178" s="47"/>
      <c r="L178" s="181"/>
      <c r="M178" s="178"/>
      <c r="N178" s="23" t="s">
        <v>3</v>
      </c>
      <c r="O178" s="24">
        <v>2</v>
      </c>
      <c r="P178" s="24">
        <v>14</v>
      </c>
      <c r="Q178" s="23" t="s">
        <v>66</v>
      </c>
      <c r="R178" s="23"/>
      <c r="S178" s="47"/>
    </row>
    <row r="179" spans="2:19" x14ac:dyDescent="0.25">
      <c r="B179" s="181"/>
      <c r="C179" s="178"/>
      <c r="D179" s="23" t="s">
        <v>80</v>
      </c>
      <c r="E179" s="24">
        <v>3</v>
      </c>
      <c r="F179" s="24">
        <v>15</v>
      </c>
      <c r="G179" s="23" t="s">
        <v>66</v>
      </c>
      <c r="H179" s="23"/>
      <c r="I179" s="47"/>
      <c r="L179" s="181"/>
      <c r="M179" s="178"/>
      <c r="N179" s="23" t="s">
        <v>80</v>
      </c>
      <c r="O179" s="24">
        <v>3</v>
      </c>
      <c r="P179" s="24">
        <v>15</v>
      </c>
      <c r="Q179" s="23" t="s">
        <v>66</v>
      </c>
      <c r="R179" s="23"/>
      <c r="S179" s="47"/>
    </row>
    <row r="180" spans="2:19" x14ac:dyDescent="0.25">
      <c r="B180" s="181"/>
      <c r="C180" s="178"/>
      <c r="D180" s="23" t="s">
        <v>81</v>
      </c>
      <c r="E180" s="24">
        <v>4</v>
      </c>
      <c r="F180" s="24">
        <v>16</v>
      </c>
      <c r="G180" s="23" t="s">
        <v>66</v>
      </c>
      <c r="H180" s="23"/>
      <c r="I180" s="47"/>
      <c r="L180" s="181"/>
      <c r="M180" s="178"/>
      <c r="N180" s="23" t="s">
        <v>81</v>
      </c>
      <c r="O180" s="24">
        <v>4</v>
      </c>
      <c r="P180" s="24">
        <v>16</v>
      </c>
      <c r="Q180" s="23" t="s">
        <v>66</v>
      </c>
      <c r="R180" s="23"/>
      <c r="S180" s="47"/>
    </row>
    <row r="181" spans="2:19" x14ac:dyDescent="0.25">
      <c r="B181" s="181"/>
      <c r="C181" s="178"/>
      <c r="D181" s="23" t="s">
        <v>82</v>
      </c>
      <c r="E181" s="24">
        <v>5</v>
      </c>
      <c r="F181" s="24">
        <v>17</v>
      </c>
      <c r="G181" s="23" t="s">
        <v>66</v>
      </c>
      <c r="H181" s="23"/>
      <c r="I181" s="47"/>
      <c r="L181" s="181"/>
      <c r="M181" s="178"/>
      <c r="N181" s="23" t="s">
        <v>82</v>
      </c>
      <c r="O181" s="24">
        <v>5</v>
      </c>
      <c r="P181" s="24">
        <v>17</v>
      </c>
      <c r="Q181" s="23" t="s">
        <v>66</v>
      </c>
      <c r="R181" s="23"/>
      <c r="S181" s="47"/>
    </row>
    <row r="182" spans="2:19" ht="15.75" thickBot="1" x14ac:dyDescent="0.3">
      <c r="B182" s="181"/>
      <c r="C182" s="179"/>
      <c r="D182" s="23" t="s">
        <v>83</v>
      </c>
      <c r="E182" s="24">
        <v>6</v>
      </c>
      <c r="F182" s="24">
        <v>18</v>
      </c>
      <c r="G182" s="23" t="s">
        <v>66</v>
      </c>
      <c r="H182" s="23"/>
      <c r="I182" s="47"/>
      <c r="L182" s="181"/>
      <c r="M182" s="179"/>
      <c r="N182" s="23" t="s">
        <v>83</v>
      </c>
      <c r="O182" s="24">
        <v>6</v>
      </c>
      <c r="P182" s="24">
        <v>18</v>
      </c>
      <c r="Q182" s="23" t="s">
        <v>66</v>
      </c>
      <c r="R182" s="23"/>
      <c r="S182" s="47"/>
    </row>
    <row r="183" spans="2:19" x14ac:dyDescent="0.25">
      <c r="B183" s="181"/>
      <c r="C183" s="177" t="s">
        <v>84</v>
      </c>
      <c r="D183" s="23" t="s">
        <v>2</v>
      </c>
      <c r="E183" s="24">
        <v>1</v>
      </c>
      <c r="F183" s="24">
        <v>19</v>
      </c>
      <c r="G183" s="23" t="s">
        <v>66</v>
      </c>
      <c r="H183" s="23"/>
      <c r="I183" s="47"/>
      <c r="L183" s="181"/>
      <c r="M183" s="177" t="s">
        <v>84</v>
      </c>
      <c r="N183" s="23" t="s">
        <v>2</v>
      </c>
      <c r="O183" s="24">
        <v>1</v>
      </c>
      <c r="P183" s="24">
        <v>19</v>
      </c>
      <c r="Q183" s="23" t="s">
        <v>66</v>
      </c>
      <c r="R183" s="23"/>
      <c r="S183" s="47"/>
    </row>
    <row r="184" spans="2:19" x14ac:dyDescent="0.25">
      <c r="B184" s="181"/>
      <c r="C184" s="178"/>
      <c r="D184" s="23" t="s">
        <v>3</v>
      </c>
      <c r="E184" s="24">
        <v>2</v>
      </c>
      <c r="F184" s="24">
        <v>20</v>
      </c>
      <c r="G184" s="23" t="s">
        <v>66</v>
      </c>
      <c r="H184" s="23"/>
      <c r="I184" s="47"/>
      <c r="L184" s="181"/>
      <c r="M184" s="178"/>
      <c r="N184" s="23" t="s">
        <v>3</v>
      </c>
      <c r="O184" s="24">
        <v>2</v>
      </c>
      <c r="P184" s="24">
        <v>20</v>
      </c>
      <c r="Q184" s="23" t="s">
        <v>66</v>
      </c>
      <c r="R184" s="23"/>
      <c r="S184" s="47"/>
    </row>
    <row r="185" spans="2:19" x14ac:dyDescent="0.25">
      <c r="B185" s="181"/>
      <c r="C185" s="178"/>
      <c r="D185" s="23" t="s">
        <v>80</v>
      </c>
      <c r="E185" s="26">
        <v>3</v>
      </c>
      <c r="F185" s="24">
        <v>21</v>
      </c>
      <c r="G185" s="23" t="s">
        <v>66</v>
      </c>
      <c r="H185" s="23"/>
      <c r="I185" s="47"/>
      <c r="L185" s="181"/>
      <c r="M185" s="178"/>
      <c r="N185" s="23" t="s">
        <v>80</v>
      </c>
      <c r="O185" s="26">
        <v>3</v>
      </c>
      <c r="P185" s="24">
        <v>21</v>
      </c>
      <c r="Q185" s="23" t="s">
        <v>66</v>
      </c>
      <c r="R185" s="23"/>
      <c r="S185" s="47"/>
    </row>
    <row r="186" spans="2:19" x14ac:dyDescent="0.25">
      <c r="B186" s="181"/>
      <c r="C186" s="178"/>
      <c r="D186" s="23" t="s">
        <v>81</v>
      </c>
      <c r="E186" s="24">
        <v>4</v>
      </c>
      <c r="F186" s="24">
        <v>22</v>
      </c>
      <c r="G186" s="23" t="s">
        <v>66</v>
      </c>
      <c r="H186" s="23"/>
      <c r="I186" s="47"/>
      <c r="L186" s="181"/>
      <c r="M186" s="178"/>
      <c r="N186" s="23" t="s">
        <v>81</v>
      </c>
      <c r="O186" s="24">
        <v>4</v>
      </c>
      <c r="P186" s="24">
        <v>22</v>
      </c>
      <c r="Q186" s="23" t="s">
        <v>66</v>
      </c>
      <c r="R186" s="23"/>
      <c r="S186" s="47"/>
    </row>
    <row r="187" spans="2:19" x14ac:dyDescent="0.25">
      <c r="B187" s="181"/>
      <c r="C187" s="178"/>
      <c r="D187" s="23" t="s">
        <v>82</v>
      </c>
      <c r="E187" s="24">
        <v>5</v>
      </c>
      <c r="F187" s="24">
        <v>23</v>
      </c>
      <c r="G187" s="23" t="s">
        <v>66</v>
      </c>
      <c r="H187" s="23"/>
      <c r="I187" s="47"/>
      <c r="L187" s="181"/>
      <c r="M187" s="178"/>
      <c r="N187" s="23" t="s">
        <v>82</v>
      </c>
      <c r="O187" s="24">
        <v>5</v>
      </c>
      <c r="P187" s="24">
        <v>23</v>
      </c>
      <c r="Q187" s="23" t="s">
        <v>66</v>
      </c>
      <c r="R187" s="23"/>
      <c r="S187" s="47"/>
    </row>
    <row r="188" spans="2:19" ht="15.75" thickBot="1" x14ac:dyDescent="0.3">
      <c r="B188" s="182"/>
      <c r="C188" s="179"/>
      <c r="D188" s="23" t="s">
        <v>83</v>
      </c>
      <c r="E188" s="24">
        <v>6</v>
      </c>
      <c r="F188" s="24">
        <v>24</v>
      </c>
      <c r="G188" s="23" t="s">
        <v>66</v>
      </c>
      <c r="H188" s="23"/>
      <c r="I188" s="47"/>
      <c r="L188" s="182"/>
      <c r="M188" s="179"/>
      <c r="N188" s="23" t="s">
        <v>83</v>
      </c>
      <c r="O188" s="24">
        <v>6</v>
      </c>
      <c r="P188" s="24">
        <v>24</v>
      </c>
      <c r="Q188" s="23" t="s">
        <v>66</v>
      </c>
      <c r="R188" s="23"/>
      <c r="S188" s="47"/>
    </row>
    <row r="189" spans="2:19" x14ac:dyDescent="0.25">
      <c r="B189" s="189" t="s">
        <v>80</v>
      </c>
      <c r="C189" s="192" t="s">
        <v>77</v>
      </c>
      <c r="D189" s="27" t="s">
        <v>2</v>
      </c>
      <c r="E189" s="28">
        <v>1</v>
      </c>
      <c r="F189" s="28">
        <v>25</v>
      </c>
      <c r="G189" s="27" t="s">
        <v>66</v>
      </c>
      <c r="H189" s="27"/>
      <c r="I189" s="48"/>
      <c r="L189" s="189" t="s">
        <v>80</v>
      </c>
      <c r="M189" s="192" t="s">
        <v>77</v>
      </c>
      <c r="N189" s="27" t="s">
        <v>2</v>
      </c>
      <c r="O189" s="28">
        <v>1</v>
      </c>
      <c r="P189" s="28">
        <v>25</v>
      </c>
      <c r="Q189" s="27" t="s">
        <v>66</v>
      </c>
      <c r="R189" s="27"/>
      <c r="S189" s="48"/>
    </row>
    <row r="190" spans="2:19" x14ac:dyDescent="0.25">
      <c r="B190" s="190"/>
      <c r="C190" s="193"/>
      <c r="D190" s="27" t="s">
        <v>3</v>
      </c>
      <c r="E190" s="28">
        <v>2</v>
      </c>
      <c r="F190" s="28">
        <v>26</v>
      </c>
      <c r="G190" s="27" t="s">
        <v>66</v>
      </c>
      <c r="H190" s="27"/>
      <c r="I190" s="48"/>
      <c r="L190" s="190"/>
      <c r="M190" s="193"/>
      <c r="N190" s="27" t="s">
        <v>3</v>
      </c>
      <c r="O190" s="28">
        <v>2</v>
      </c>
      <c r="P190" s="28">
        <v>26</v>
      </c>
      <c r="Q190" s="27" t="s">
        <v>66</v>
      </c>
      <c r="R190" s="27"/>
      <c r="S190" s="48"/>
    </row>
    <row r="191" spans="2:19" x14ac:dyDescent="0.25">
      <c r="B191" s="190"/>
      <c r="C191" s="193"/>
      <c r="D191" s="27" t="s">
        <v>80</v>
      </c>
      <c r="E191" s="28">
        <v>3</v>
      </c>
      <c r="F191" s="28">
        <v>27</v>
      </c>
      <c r="G191" s="27" t="s">
        <v>66</v>
      </c>
      <c r="H191" s="27"/>
      <c r="I191" s="48"/>
      <c r="L191" s="190"/>
      <c r="M191" s="193"/>
      <c r="N191" s="27" t="s">
        <v>80</v>
      </c>
      <c r="O191" s="28">
        <v>3</v>
      </c>
      <c r="P191" s="28">
        <v>27</v>
      </c>
      <c r="Q191" s="27" t="s">
        <v>66</v>
      </c>
      <c r="R191" s="27"/>
      <c r="S191" s="48"/>
    </row>
    <row r="192" spans="2:19" x14ac:dyDescent="0.25">
      <c r="B192" s="190"/>
      <c r="C192" s="193"/>
      <c r="D192" s="27" t="s">
        <v>81</v>
      </c>
      <c r="E192" s="28">
        <v>4</v>
      </c>
      <c r="F192" s="28">
        <v>28</v>
      </c>
      <c r="G192" s="27" t="s">
        <v>66</v>
      </c>
      <c r="H192" s="27"/>
      <c r="I192" s="48"/>
      <c r="L192" s="190"/>
      <c r="M192" s="193"/>
      <c r="N192" s="27" t="s">
        <v>81</v>
      </c>
      <c r="O192" s="28">
        <v>4</v>
      </c>
      <c r="P192" s="28">
        <v>28</v>
      </c>
      <c r="Q192" s="27" t="s">
        <v>66</v>
      </c>
      <c r="R192" s="27"/>
      <c r="S192" s="48"/>
    </row>
    <row r="193" spans="2:19" x14ac:dyDescent="0.25">
      <c r="B193" s="190"/>
      <c r="C193" s="193"/>
      <c r="D193" s="27" t="s">
        <v>82</v>
      </c>
      <c r="E193" s="28">
        <v>5</v>
      </c>
      <c r="F193" s="28">
        <v>29</v>
      </c>
      <c r="G193" s="27" t="s">
        <v>66</v>
      </c>
      <c r="H193" s="27"/>
      <c r="I193" s="48"/>
      <c r="L193" s="190"/>
      <c r="M193" s="193"/>
      <c r="N193" s="27" t="s">
        <v>82</v>
      </c>
      <c r="O193" s="28">
        <v>5</v>
      </c>
      <c r="P193" s="28">
        <v>29</v>
      </c>
      <c r="Q193" s="27" t="s">
        <v>66</v>
      </c>
      <c r="R193" s="27"/>
      <c r="S193" s="48"/>
    </row>
    <row r="194" spans="2:19" ht="15.75" thickBot="1" x14ac:dyDescent="0.3">
      <c r="B194" s="190"/>
      <c r="C194" s="194"/>
      <c r="D194" s="27" t="s">
        <v>83</v>
      </c>
      <c r="E194" s="28">
        <v>6</v>
      </c>
      <c r="F194" s="28">
        <v>30</v>
      </c>
      <c r="G194" s="27" t="s">
        <v>66</v>
      </c>
      <c r="H194" s="27"/>
      <c r="I194" s="48"/>
      <c r="L194" s="190"/>
      <c r="M194" s="194"/>
      <c r="N194" s="27" t="s">
        <v>83</v>
      </c>
      <c r="O194" s="28">
        <v>6</v>
      </c>
      <c r="P194" s="28">
        <v>30</v>
      </c>
      <c r="Q194" s="27" t="s">
        <v>66</v>
      </c>
      <c r="R194" s="27"/>
      <c r="S194" s="48"/>
    </row>
    <row r="195" spans="2:19" x14ac:dyDescent="0.25">
      <c r="B195" s="190"/>
      <c r="C195" s="192" t="s">
        <v>84</v>
      </c>
      <c r="D195" s="27" t="s">
        <v>2</v>
      </c>
      <c r="E195" s="28">
        <v>1</v>
      </c>
      <c r="F195" s="28">
        <v>31</v>
      </c>
      <c r="G195" s="27" t="s">
        <v>66</v>
      </c>
      <c r="H195" s="27"/>
      <c r="I195" s="48"/>
      <c r="L195" s="190"/>
      <c r="M195" s="192" t="s">
        <v>84</v>
      </c>
      <c r="N195" s="27" t="s">
        <v>2</v>
      </c>
      <c r="O195" s="28">
        <v>1</v>
      </c>
      <c r="P195" s="28">
        <v>31</v>
      </c>
      <c r="Q195" s="27" t="s">
        <v>66</v>
      </c>
      <c r="R195" s="27"/>
      <c r="S195" s="48"/>
    </row>
    <row r="196" spans="2:19" x14ac:dyDescent="0.25">
      <c r="B196" s="190"/>
      <c r="C196" s="193"/>
      <c r="D196" s="27" t="s">
        <v>3</v>
      </c>
      <c r="E196" s="28">
        <v>2</v>
      </c>
      <c r="F196" s="28">
        <v>32</v>
      </c>
      <c r="G196" s="27" t="s">
        <v>66</v>
      </c>
      <c r="H196" s="27"/>
      <c r="I196" s="48"/>
      <c r="L196" s="190"/>
      <c r="M196" s="193"/>
      <c r="N196" s="27" t="s">
        <v>3</v>
      </c>
      <c r="O196" s="28">
        <v>2</v>
      </c>
      <c r="P196" s="28">
        <v>32</v>
      </c>
      <c r="Q196" s="27" t="s">
        <v>66</v>
      </c>
      <c r="R196" s="27"/>
      <c r="S196" s="48"/>
    </row>
    <row r="197" spans="2:19" x14ac:dyDescent="0.25">
      <c r="B197" s="190"/>
      <c r="C197" s="193"/>
      <c r="D197" s="27" t="s">
        <v>80</v>
      </c>
      <c r="E197" s="28">
        <v>3</v>
      </c>
      <c r="F197" s="28">
        <v>33</v>
      </c>
      <c r="G197" s="27" t="s">
        <v>66</v>
      </c>
      <c r="H197" s="27"/>
      <c r="I197" s="48"/>
      <c r="L197" s="190"/>
      <c r="M197" s="193"/>
      <c r="N197" s="27" t="s">
        <v>80</v>
      </c>
      <c r="O197" s="28">
        <v>3</v>
      </c>
      <c r="P197" s="28">
        <v>33</v>
      </c>
      <c r="Q197" s="27" t="s">
        <v>66</v>
      </c>
      <c r="R197" s="27"/>
      <c r="S197" s="48"/>
    </row>
    <row r="198" spans="2:19" x14ac:dyDescent="0.25">
      <c r="B198" s="190"/>
      <c r="C198" s="193"/>
      <c r="D198" s="27" t="s">
        <v>81</v>
      </c>
      <c r="E198" s="28">
        <v>4</v>
      </c>
      <c r="F198" s="28">
        <v>34</v>
      </c>
      <c r="G198" s="27" t="s">
        <v>66</v>
      </c>
      <c r="H198" s="27"/>
      <c r="I198" s="48"/>
      <c r="L198" s="190"/>
      <c r="M198" s="193"/>
      <c r="N198" s="27" t="s">
        <v>81</v>
      </c>
      <c r="O198" s="28">
        <v>4</v>
      </c>
      <c r="P198" s="28">
        <v>34</v>
      </c>
      <c r="Q198" s="27" t="s">
        <v>66</v>
      </c>
      <c r="R198" s="27"/>
      <c r="S198" s="48"/>
    </row>
    <row r="199" spans="2:19" x14ac:dyDescent="0.25">
      <c r="B199" s="190"/>
      <c r="C199" s="193"/>
      <c r="D199" s="27" t="s">
        <v>82</v>
      </c>
      <c r="E199" s="28">
        <v>5</v>
      </c>
      <c r="F199" s="28">
        <v>35</v>
      </c>
      <c r="G199" s="27" t="s">
        <v>66</v>
      </c>
      <c r="H199" s="27"/>
      <c r="I199" s="48"/>
      <c r="L199" s="190"/>
      <c r="M199" s="193"/>
      <c r="N199" s="27" t="s">
        <v>82</v>
      </c>
      <c r="O199" s="28">
        <v>5</v>
      </c>
      <c r="P199" s="28">
        <v>35</v>
      </c>
      <c r="Q199" s="27" t="s">
        <v>66</v>
      </c>
      <c r="R199" s="27"/>
      <c r="S199" s="48"/>
    </row>
    <row r="200" spans="2:19" ht="15.75" thickBot="1" x14ac:dyDescent="0.3">
      <c r="B200" s="191"/>
      <c r="C200" s="194"/>
      <c r="D200" s="27" t="s">
        <v>83</v>
      </c>
      <c r="E200" s="28">
        <v>6</v>
      </c>
      <c r="F200" s="28">
        <v>36</v>
      </c>
      <c r="G200" s="27" t="s">
        <v>66</v>
      </c>
      <c r="H200" s="27"/>
      <c r="I200" s="48"/>
      <c r="L200" s="191"/>
      <c r="M200" s="194"/>
      <c r="N200" s="27" t="s">
        <v>83</v>
      </c>
      <c r="O200" s="28">
        <v>6</v>
      </c>
      <c r="P200" s="28">
        <v>36</v>
      </c>
      <c r="Q200" s="27" t="s">
        <v>66</v>
      </c>
      <c r="R200" s="27"/>
      <c r="S200" s="48"/>
    </row>
    <row r="201" spans="2:19" x14ac:dyDescent="0.25">
      <c r="B201" s="183" t="s">
        <v>81</v>
      </c>
      <c r="C201" s="186" t="s">
        <v>77</v>
      </c>
      <c r="D201" s="29" t="s">
        <v>2</v>
      </c>
      <c r="E201" s="30">
        <v>1</v>
      </c>
      <c r="F201" s="30">
        <v>37</v>
      </c>
      <c r="G201" s="29" t="s">
        <v>66</v>
      </c>
      <c r="H201" s="29"/>
      <c r="I201" s="49"/>
      <c r="L201" s="183" t="s">
        <v>81</v>
      </c>
      <c r="M201" s="186" t="s">
        <v>77</v>
      </c>
      <c r="N201" s="29" t="s">
        <v>2</v>
      </c>
      <c r="O201" s="30">
        <v>1</v>
      </c>
      <c r="P201" s="30">
        <v>37</v>
      </c>
      <c r="Q201" s="29" t="s">
        <v>66</v>
      </c>
      <c r="R201" s="29"/>
      <c r="S201" s="49"/>
    </row>
    <row r="202" spans="2:19" x14ac:dyDescent="0.25">
      <c r="B202" s="184"/>
      <c r="C202" s="187"/>
      <c r="D202" s="29" t="s">
        <v>3</v>
      </c>
      <c r="E202" s="30">
        <v>2</v>
      </c>
      <c r="F202" s="30">
        <v>38</v>
      </c>
      <c r="G202" s="29" t="s">
        <v>66</v>
      </c>
      <c r="H202" s="29"/>
      <c r="I202" s="49"/>
      <c r="L202" s="184"/>
      <c r="M202" s="187"/>
      <c r="N202" s="29" t="s">
        <v>3</v>
      </c>
      <c r="O202" s="30">
        <v>2</v>
      </c>
      <c r="P202" s="30">
        <v>38</v>
      </c>
      <c r="Q202" s="29" t="s">
        <v>66</v>
      </c>
      <c r="R202" s="29"/>
      <c r="S202" s="49"/>
    </row>
    <row r="203" spans="2:19" x14ac:dyDescent="0.25">
      <c r="B203" s="184"/>
      <c r="C203" s="187"/>
      <c r="D203" s="29" t="s">
        <v>80</v>
      </c>
      <c r="E203" s="30">
        <v>3</v>
      </c>
      <c r="F203" s="30">
        <v>39</v>
      </c>
      <c r="G203" s="29" t="s">
        <v>66</v>
      </c>
      <c r="H203" s="29"/>
      <c r="I203" s="49"/>
      <c r="L203" s="184"/>
      <c r="M203" s="187"/>
      <c r="N203" s="29" t="s">
        <v>80</v>
      </c>
      <c r="O203" s="30">
        <v>3</v>
      </c>
      <c r="P203" s="30">
        <v>39</v>
      </c>
      <c r="Q203" s="29" t="s">
        <v>66</v>
      </c>
      <c r="R203" s="29"/>
      <c r="S203" s="49"/>
    </row>
    <row r="204" spans="2:19" x14ac:dyDescent="0.25">
      <c r="B204" s="184"/>
      <c r="C204" s="187"/>
      <c r="D204" s="29" t="s">
        <v>81</v>
      </c>
      <c r="E204" s="30">
        <v>4</v>
      </c>
      <c r="F204" s="30">
        <v>40</v>
      </c>
      <c r="G204" s="29" t="s">
        <v>66</v>
      </c>
      <c r="H204" s="29"/>
      <c r="I204" s="49"/>
      <c r="L204" s="184"/>
      <c r="M204" s="187"/>
      <c r="N204" s="29" t="s">
        <v>81</v>
      </c>
      <c r="O204" s="30">
        <v>4</v>
      </c>
      <c r="P204" s="30">
        <v>40</v>
      </c>
      <c r="Q204" s="29" t="s">
        <v>66</v>
      </c>
      <c r="R204" s="29"/>
      <c r="S204" s="49"/>
    </row>
    <row r="205" spans="2:19" x14ac:dyDescent="0.25">
      <c r="B205" s="184"/>
      <c r="C205" s="187"/>
      <c r="D205" s="29" t="s">
        <v>82</v>
      </c>
      <c r="E205" s="30">
        <v>5</v>
      </c>
      <c r="F205" s="30">
        <v>41</v>
      </c>
      <c r="G205" s="29" t="s">
        <v>66</v>
      </c>
      <c r="H205" s="29"/>
      <c r="I205" s="49"/>
      <c r="L205" s="184"/>
      <c r="M205" s="187"/>
      <c r="N205" s="29" t="s">
        <v>82</v>
      </c>
      <c r="O205" s="30">
        <v>5</v>
      </c>
      <c r="P205" s="30">
        <v>41</v>
      </c>
      <c r="Q205" s="29" t="s">
        <v>66</v>
      </c>
      <c r="R205" s="29"/>
      <c r="S205" s="49"/>
    </row>
    <row r="206" spans="2:19" ht="15.75" thickBot="1" x14ac:dyDescent="0.3">
      <c r="B206" s="184"/>
      <c r="C206" s="188"/>
      <c r="D206" s="29" t="s">
        <v>83</v>
      </c>
      <c r="E206" s="30">
        <v>6</v>
      </c>
      <c r="F206" s="30">
        <v>42</v>
      </c>
      <c r="G206" s="29" t="s">
        <v>66</v>
      </c>
      <c r="H206" s="29"/>
      <c r="I206" s="49"/>
      <c r="L206" s="184"/>
      <c r="M206" s="188"/>
      <c r="N206" s="29" t="s">
        <v>83</v>
      </c>
      <c r="O206" s="30">
        <v>6</v>
      </c>
      <c r="P206" s="30">
        <v>42</v>
      </c>
      <c r="Q206" s="29" t="s">
        <v>66</v>
      </c>
      <c r="R206" s="29"/>
      <c r="S206" s="49"/>
    </row>
    <row r="207" spans="2:19" x14ac:dyDescent="0.25">
      <c r="B207" s="184"/>
      <c r="C207" s="186" t="s">
        <v>84</v>
      </c>
      <c r="D207" s="29" t="s">
        <v>2</v>
      </c>
      <c r="E207" s="30">
        <v>1</v>
      </c>
      <c r="F207" s="30">
        <v>43</v>
      </c>
      <c r="G207" s="29" t="s">
        <v>66</v>
      </c>
      <c r="H207" s="29"/>
      <c r="I207" s="49"/>
      <c r="L207" s="184"/>
      <c r="M207" s="186" t="s">
        <v>84</v>
      </c>
      <c r="N207" s="29" t="s">
        <v>2</v>
      </c>
      <c r="O207" s="30">
        <v>1</v>
      </c>
      <c r="P207" s="30">
        <v>43</v>
      </c>
      <c r="Q207" s="29" t="s">
        <v>66</v>
      </c>
      <c r="R207" s="29"/>
      <c r="S207" s="49"/>
    </row>
    <row r="208" spans="2:19" x14ac:dyDescent="0.25">
      <c r="B208" s="184"/>
      <c r="C208" s="187"/>
      <c r="D208" s="29" t="s">
        <v>3</v>
      </c>
      <c r="E208" s="30">
        <v>2</v>
      </c>
      <c r="F208" s="30">
        <v>44</v>
      </c>
      <c r="G208" s="29" t="s">
        <v>66</v>
      </c>
      <c r="H208" s="29"/>
      <c r="I208" s="49"/>
      <c r="L208" s="184"/>
      <c r="M208" s="187"/>
      <c r="N208" s="29" t="s">
        <v>3</v>
      </c>
      <c r="O208" s="30">
        <v>2</v>
      </c>
      <c r="P208" s="30">
        <v>44</v>
      </c>
      <c r="Q208" s="29" t="s">
        <v>66</v>
      </c>
      <c r="R208" s="29"/>
      <c r="S208" s="49"/>
    </row>
    <row r="209" spans="2:19" x14ac:dyDescent="0.25">
      <c r="B209" s="184"/>
      <c r="C209" s="187"/>
      <c r="D209" s="29" t="s">
        <v>80</v>
      </c>
      <c r="E209" s="30">
        <v>3</v>
      </c>
      <c r="F209" s="30">
        <v>45</v>
      </c>
      <c r="G209" s="29" t="s">
        <v>66</v>
      </c>
      <c r="H209" s="29"/>
      <c r="I209" s="49"/>
      <c r="L209" s="184"/>
      <c r="M209" s="187"/>
      <c r="N209" s="29" t="s">
        <v>80</v>
      </c>
      <c r="O209" s="30">
        <v>3</v>
      </c>
      <c r="P209" s="30">
        <v>45</v>
      </c>
      <c r="Q209" s="29" t="s">
        <v>66</v>
      </c>
      <c r="R209" s="29"/>
      <c r="S209" s="49"/>
    </row>
    <row r="210" spans="2:19" x14ac:dyDescent="0.25">
      <c r="B210" s="184"/>
      <c r="C210" s="187"/>
      <c r="D210" s="29" t="s">
        <v>81</v>
      </c>
      <c r="E210" s="30">
        <v>4</v>
      </c>
      <c r="F210" s="30">
        <v>46</v>
      </c>
      <c r="G210" s="29" t="s">
        <v>66</v>
      </c>
      <c r="H210" s="29"/>
      <c r="I210" s="49"/>
      <c r="L210" s="184"/>
      <c r="M210" s="187"/>
      <c r="N210" s="29" t="s">
        <v>81</v>
      </c>
      <c r="O210" s="30">
        <v>4</v>
      </c>
      <c r="P210" s="30">
        <v>46</v>
      </c>
      <c r="Q210" s="29" t="s">
        <v>66</v>
      </c>
      <c r="R210" s="29"/>
      <c r="S210" s="49"/>
    </row>
    <row r="211" spans="2:19" x14ac:dyDescent="0.25">
      <c r="B211" s="184"/>
      <c r="C211" s="187"/>
      <c r="D211" s="29" t="s">
        <v>82</v>
      </c>
      <c r="E211" s="30">
        <v>5</v>
      </c>
      <c r="F211" s="30">
        <v>47</v>
      </c>
      <c r="G211" s="29" t="s">
        <v>66</v>
      </c>
      <c r="H211" s="29"/>
      <c r="I211" s="49"/>
      <c r="L211" s="184"/>
      <c r="M211" s="187"/>
      <c r="N211" s="29" t="s">
        <v>82</v>
      </c>
      <c r="O211" s="30">
        <v>5</v>
      </c>
      <c r="P211" s="30">
        <v>47</v>
      </c>
      <c r="Q211" s="29" t="s">
        <v>66</v>
      </c>
      <c r="R211" s="29"/>
      <c r="S211" s="49"/>
    </row>
    <row r="212" spans="2:19" ht="15.75" thickBot="1" x14ac:dyDescent="0.3">
      <c r="B212" s="185"/>
      <c r="C212" s="188"/>
      <c r="D212" s="29" t="s">
        <v>83</v>
      </c>
      <c r="E212" s="30">
        <v>6</v>
      </c>
      <c r="F212" s="30">
        <v>48</v>
      </c>
      <c r="G212" s="29" t="s">
        <v>66</v>
      </c>
      <c r="H212" s="29"/>
      <c r="I212" s="49"/>
      <c r="L212" s="185"/>
      <c r="M212" s="188"/>
      <c r="N212" s="29" t="s">
        <v>83</v>
      </c>
      <c r="O212" s="30">
        <v>6</v>
      </c>
      <c r="P212" s="30">
        <v>48</v>
      </c>
      <c r="Q212" s="29" t="s">
        <v>66</v>
      </c>
      <c r="R212" s="29"/>
      <c r="S212" s="49"/>
    </row>
    <row r="218" spans="2:19" ht="15.75" thickBot="1" x14ac:dyDescent="0.3"/>
    <row r="219" spans="2:19" ht="15.75" thickBot="1" x14ac:dyDescent="0.3">
      <c r="B219" s="171" t="s">
        <v>307</v>
      </c>
      <c r="C219" s="172"/>
      <c r="D219" s="172"/>
      <c r="E219" s="172"/>
      <c r="F219" s="172"/>
      <c r="G219" s="172"/>
      <c r="H219" s="172"/>
      <c r="I219" s="173"/>
      <c r="L219" s="171" t="s">
        <v>308</v>
      </c>
      <c r="M219" s="172"/>
      <c r="N219" s="172"/>
      <c r="O219" s="172"/>
      <c r="P219" s="172"/>
      <c r="Q219" s="172"/>
      <c r="R219" s="172"/>
      <c r="S219" s="173"/>
    </row>
    <row r="221" spans="2:19" ht="26.25" thickBot="1" x14ac:dyDescent="0.3">
      <c r="B221" s="15" t="s">
        <v>70</v>
      </c>
      <c r="C221" s="16" t="s">
        <v>71</v>
      </c>
      <c r="D221" s="15" t="s">
        <v>72</v>
      </c>
      <c r="E221" s="17" t="s">
        <v>73</v>
      </c>
      <c r="F221" s="17" t="s">
        <v>74</v>
      </c>
      <c r="G221" s="15" t="s">
        <v>75</v>
      </c>
      <c r="H221" s="15" t="s">
        <v>55</v>
      </c>
      <c r="I221" s="15" t="s">
        <v>76</v>
      </c>
      <c r="L221" s="15" t="s">
        <v>70</v>
      </c>
      <c r="M221" s="16" t="s">
        <v>71</v>
      </c>
      <c r="N221" s="15" t="s">
        <v>72</v>
      </c>
      <c r="O221" s="17" t="s">
        <v>73</v>
      </c>
      <c r="P221" s="17" t="s">
        <v>74</v>
      </c>
      <c r="Q221" s="15" t="s">
        <v>75</v>
      </c>
      <c r="R221" s="15" t="s">
        <v>55</v>
      </c>
      <c r="S221" s="15" t="s">
        <v>76</v>
      </c>
    </row>
    <row r="222" spans="2:19" x14ac:dyDescent="0.25">
      <c r="B222" s="174" t="s">
        <v>2</v>
      </c>
      <c r="C222" s="168" t="s">
        <v>77</v>
      </c>
      <c r="D222" s="18" t="s">
        <v>2</v>
      </c>
      <c r="E222" s="19">
        <v>1</v>
      </c>
      <c r="F222" s="19">
        <v>1</v>
      </c>
      <c r="G222" s="18" t="s">
        <v>78</v>
      </c>
      <c r="H222" s="156" t="s">
        <v>300</v>
      </c>
      <c r="I222" s="165" t="s">
        <v>178</v>
      </c>
      <c r="L222" s="174" t="s">
        <v>2</v>
      </c>
      <c r="M222" s="168" t="s">
        <v>77</v>
      </c>
      <c r="N222" s="18" t="s">
        <v>2</v>
      </c>
      <c r="O222" s="19">
        <v>1</v>
      </c>
      <c r="P222" s="19">
        <v>1</v>
      </c>
      <c r="Q222" s="18" t="s">
        <v>78</v>
      </c>
      <c r="R222" s="156" t="s">
        <v>300</v>
      </c>
      <c r="S222" s="165" t="s">
        <v>180</v>
      </c>
    </row>
    <row r="223" spans="2:19" x14ac:dyDescent="0.25">
      <c r="B223" s="175"/>
      <c r="C223" s="169"/>
      <c r="D223" s="18" t="s">
        <v>3</v>
      </c>
      <c r="E223" s="19">
        <v>2</v>
      </c>
      <c r="F223" s="19">
        <v>2</v>
      </c>
      <c r="G223" s="18" t="s">
        <v>78</v>
      </c>
      <c r="H223" s="157"/>
      <c r="I223" s="166"/>
      <c r="L223" s="175"/>
      <c r="M223" s="169"/>
      <c r="N223" s="18" t="s">
        <v>3</v>
      </c>
      <c r="O223" s="19">
        <v>2</v>
      </c>
      <c r="P223" s="19">
        <v>2</v>
      </c>
      <c r="Q223" s="18" t="s">
        <v>78</v>
      </c>
      <c r="R223" s="157"/>
      <c r="S223" s="166"/>
    </row>
    <row r="224" spans="2:19" x14ac:dyDescent="0.25">
      <c r="B224" s="175"/>
      <c r="C224" s="169"/>
      <c r="D224" s="18" t="s">
        <v>80</v>
      </c>
      <c r="E224" s="20">
        <v>3</v>
      </c>
      <c r="F224" s="20">
        <v>3</v>
      </c>
      <c r="G224" s="18" t="s">
        <v>66</v>
      </c>
      <c r="H224" s="157"/>
      <c r="I224" s="166"/>
      <c r="L224" s="175"/>
      <c r="M224" s="169"/>
      <c r="N224" s="18" t="s">
        <v>80</v>
      </c>
      <c r="O224" s="20">
        <v>3</v>
      </c>
      <c r="P224" s="20">
        <v>3</v>
      </c>
      <c r="Q224" s="18" t="s">
        <v>66</v>
      </c>
      <c r="R224" s="157"/>
      <c r="S224" s="166"/>
    </row>
    <row r="225" spans="2:19" x14ac:dyDescent="0.25">
      <c r="B225" s="175"/>
      <c r="C225" s="169"/>
      <c r="D225" s="18" t="s">
        <v>81</v>
      </c>
      <c r="E225" s="20">
        <v>4</v>
      </c>
      <c r="F225" s="20">
        <v>4</v>
      </c>
      <c r="G225" s="18" t="s">
        <v>66</v>
      </c>
      <c r="H225" s="157"/>
      <c r="I225" s="166"/>
      <c r="L225" s="175"/>
      <c r="M225" s="169"/>
      <c r="N225" s="18" t="s">
        <v>81</v>
      </c>
      <c r="O225" s="20">
        <v>4</v>
      </c>
      <c r="P225" s="20">
        <v>4</v>
      </c>
      <c r="Q225" s="18" t="s">
        <v>66</v>
      </c>
      <c r="R225" s="157"/>
      <c r="S225" s="166"/>
    </row>
    <row r="226" spans="2:19" x14ac:dyDescent="0.25">
      <c r="B226" s="175"/>
      <c r="C226" s="169"/>
      <c r="D226" s="18" t="s">
        <v>82</v>
      </c>
      <c r="E226" s="20">
        <v>5</v>
      </c>
      <c r="F226" s="20">
        <v>5</v>
      </c>
      <c r="G226" s="18" t="s">
        <v>66</v>
      </c>
      <c r="H226" s="157"/>
      <c r="I226" s="166"/>
      <c r="L226" s="175"/>
      <c r="M226" s="169"/>
      <c r="N226" s="18" t="s">
        <v>82</v>
      </c>
      <c r="O226" s="20">
        <v>5</v>
      </c>
      <c r="P226" s="20">
        <v>5</v>
      </c>
      <c r="Q226" s="18" t="s">
        <v>66</v>
      </c>
      <c r="R226" s="157"/>
      <c r="S226" s="166"/>
    </row>
    <row r="227" spans="2:19" ht="15.75" thickBot="1" x14ac:dyDescent="0.3">
      <c r="B227" s="175"/>
      <c r="C227" s="170"/>
      <c r="D227" s="18" t="s">
        <v>83</v>
      </c>
      <c r="E227" s="20">
        <v>6</v>
      </c>
      <c r="F227" s="20">
        <v>6</v>
      </c>
      <c r="G227" s="18" t="s">
        <v>66</v>
      </c>
      <c r="H227" s="158"/>
      <c r="I227" s="167"/>
      <c r="L227" s="175"/>
      <c r="M227" s="170"/>
      <c r="N227" s="18" t="s">
        <v>83</v>
      </c>
      <c r="O227" s="20">
        <v>6</v>
      </c>
      <c r="P227" s="20">
        <v>6</v>
      </c>
      <c r="Q227" s="18" t="s">
        <v>66</v>
      </c>
      <c r="R227" s="158"/>
      <c r="S227" s="167"/>
    </row>
    <row r="228" spans="2:19" x14ac:dyDescent="0.25">
      <c r="B228" s="175"/>
      <c r="C228" s="168" t="s">
        <v>84</v>
      </c>
      <c r="D228" s="18" t="s">
        <v>2</v>
      </c>
      <c r="E228" s="19">
        <v>1</v>
      </c>
      <c r="F228" s="19">
        <v>7</v>
      </c>
      <c r="G228" s="18" t="s">
        <v>66</v>
      </c>
      <c r="H228" s="32"/>
      <c r="I228" s="50"/>
      <c r="L228" s="175"/>
      <c r="M228" s="168" t="s">
        <v>84</v>
      </c>
      <c r="N228" s="18" t="s">
        <v>2</v>
      </c>
      <c r="O228" s="19">
        <v>1</v>
      </c>
      <c r="P228" s="19">
        <v>7</v>
      </c>
      <c r="Q228" s="18" t="s">
        <v>66</v>
      </c>
      <c r="R228" s="32"/>
      <c r="S228" s="50"/>
    </row>
    <row r="229" spans="2:19" x14ac:dyDescent="0.25">
      <c r="B229" s="175"/>
      <c r="C229" s="169"/>
      <c r="D229" s="18" t="s">
        <v>3</v>
      </c>
      <c r="E229" s="19">
        <v>2</v>
      </c>
      <c r="F229" s="19">
        <v>8</v>
      </c>
      <c r="G229" s="18" t="s">
        <v>66</v>
      </c>
      <c r="H229" s="32"/>
      <c r="I229" s="50"/>
      <c r="L229" s="175"/>
      <c r="M229" s="169"/>
      <c r="N229" s="18" t="s">
        <v>3</v>
      </c>
      <c r="O229" s="19">
        <v>2</v>
      </c>
      <c r="P229" s="19">
        <v>8</v>
      </c>
      <c r="Q229" s="18" t="s">
        <v>66</v>
      </c>
      <c r="R229" s="32"/>
      <c r="S229" s="50"/>
    </row>
    <row r="230" spans="2:19" x14ac:dyDescent="0.25">
      <c r="B230" s="175"/>
      <c r="C230" s="169"/>
      <c r="D230" s="18" t="s">
        <v>80</v>
      </c>
      <c r="E230" s="20">
        <v>3</v>
      </c>
      <c r="F230" s="20">
        <v>9</v>
      </c>
      <c r="G230" s="18" t="s">
        <v>66</v>
      </c>
      <c r="H230" s="32"/>
      <c r="I230" s="50"/>
      <c r="L230" s="175"/>
      <c r="M230" s="169"/>
      <c r="N230" s="18" t="s">
        <v>80</v>
      </c>
      <c r="O230" s="20">
        <v>3</v>
      </c>
      <c r="P230" s="20">
        <v>9</v>
      </c>
      <c r="Q230" s="18" t="s">
        <v>66</v>
      </c>
      <c r="R230" s="32"/>
      <c r="S230" s="50"/>
    </row>
    <row r="231" spans="2:19" x14ac:dyDescent="0.25">
      <c r="B231" s="175"/>
      <c r="C231" s="169"/>
      <c r="D231" s="18" t="s">
        <v>81</v>
      </c>
      <c r="E231" s="20">
        <v>4</v>
      </c>
      <c r="F231" s="20">
        <v>10</v>
      </c>
      <c r="G231" s="18" t="s">
        <v>66</v>
      </c>
      <c r="H231" s="32"/>
      <c r="I231" s="50"/>
      <c r="L231" s="175"/>
      <c r="M231" s="169"/>
      <c r="N231" s="18" t="s">
        <v>81</v>
      </c>
      <c r="O231" s="20">
        <v>4</v>
      </c>
      <c r="P231" s="20">
        <v>10</v>
      </c>
      <c r="Q231" s="18" t="s">
        <v>66</v>
      </c>
      <c r="R231" s="32"/>
      <c r="S231" s="50"/>
    </row>
    <row r="232" spans="2:19" x14ac:dyDescent="0.25">
      <c r="B232" s="175"/>
      <c r="C232" s="169"/>
      <c r="D232" s="18" t="s">
        <v>82</v>
      </c>
      <c r="E232" s="20">
        <v>5</v>
      </c>
      <c r="F232" s="20">
        <v>11</v>
      </c>
      <c r="G232" s="18" t="s">
        <v>66</v>
      </c>
      <c r="H232" s="32"/>
      <c r="I232" s="50"/>
      <c r="L232" s="175"/>
      <c r="M232" s="169"/>
      <c r="N232" s="18" t="s">
        <v>82</v>
      </c>
      <c r="O232" s="20">
        <v>5</v>
      </c>
      <c r="P232" s="20">
        <v>11</v>
      </c>
      <c r="Q232" s="18" t="s">
        <v>66</v>
      </c>
      <c r="R232" s="32"/>
      <c r="S232" s="50"/>
    </row>
    <row r="233" spans="2:19" ht="15.75" thickBot="1" x14ac:dyDescent="0.3">
      <c r="B233" s="176"/>
      <c r="C233" s="170"/>
      <c r="D233" s="18" t="s">
        <v>83</v>
      </c>
      <c r="E233" s="20">
        <v>6</v>
      </c>
      <c r="F233" s="20">
        <v>12</v>
      </c>
      <c r="G233" s="18" t="s">
        <v>66</v>
      </c>
      <c r="H233" s="32"/>
      <c r="I233" s="50"/>
      <c r="L233" s="176"/>
      <c r="M233" s="170"/>
      <c r="N233" s="18" t="s">
        <v>83</v>
      </c>
      <c r="O233" s="20">
        <v>6</v>
      </c>
      <c r="P233" s="20">
        <v>12</v>
      </c>
      <c r="Q233" s="18" t="s">
        <v>66</v>
      </c>
      <c r="R233" s="32"/>
      <c r="S233" s="50"/>
    </row>
    <row r="234" spans="2:19" x14ac:dyDescent="0.25">
      <c r="B234" s="180" t="s">
        <v>3</v>
      </c>
      <c r="C234" s="177" t="s">
        <v>77</v>
      </c>
      <c r="D234" s="21" t="s">
        <v>2</v>
      </c>
      <c r="E234" s="22">
        <v>1</v>
      </c>
      <c r="F234" s="22">
        <v>13</v>
      </c>
      <c r="G234" s="21" t="s">
        <v>66</v>
      </c>
      <c r="H234" s="21"/>
      <c r="I234" s="51"/>
      <c r="L234" s="180" t="s">
        <v>3</v>
      </c>
      <c r="M234" s="177" t="s">
        <v>77</v>
      </c>
      <c r="N234" s="21" t="s">
        <v>2</v>
      </c>
      <c r="O234" s="22">
        <v>1</v>
      </c>
      <c r="P234" s="22">
        <v>13</v>
      </c>
      <c r="Q234" s="21" t="s">
        <v>66</v>
      </c>
      <c r="R234" s="21"/>
      <c r="S234" s="51"/>
    </row>
    <row r="235" spans="2:19" x14ac:dyDescent="0.25">
      <c r="B235" s="181"/>
      <c r="C235" s="178"/>
      <c r="D235" s="23" t="s">
        <v>3</v>
      </c>
      <c r="E235" s="24">
        <v>2</v>
      </c>
      <c r="F235" s="24">
        <v>14</v>
      </c>
      <c r="G235" s="23" t="s">
        <v>66</v>
      </c>
      <c r="H235" s="23"/>
      <c r="I235" s="47"/>
      <c r="L235" s="181"/>
      <c r="M235" s="178"/>
      <c r="N235" s="23" t="s">
        <v>3</v>
      </c>
      <c r="O235" s="24">
        <v>2</v>
      </c>
      <c r="P235" s="24">
        <v>14</v>
      </c>
      <c r="Q235" s="23" t="s">
        <v>66</v>
      </c>
      <c r="R235" s="23"/>
      <c r="S235" s="47"/>
    </row>
    <row r="236" spans="2:19" x14ac:dyDescent="0.25">
      <c r="B236" s="181"/>
      <c r="C236" s="178"/>
      <c r="D236" s="23" t="s">
        <v>80</v>
      </c>
      <c r="E236" s="24">
        <v>3</v>
      </c>
      <c r="F236" s="24">
        <v>15</v>
      </c>
      <c r="G236" s="23" t="s">
        <v>66</v>
      </c>
      <c r="H236" s="23"/>
      <c r="I236" s="47"/>
      <c r="L236" s="181"/>
      <c r="M236" s="178"/>
      <c r="N236" s="23" t="s">
        <v>80</v>
      </c>
      <c r="O236" s="24">
        <v>3</v>
      </c>
      <c r="P236" s="24">
        <v>15</v>
      </c>
      <c r="Q236" s="23" t="s">
        <v>66</v>
      </c>
      <c r="R236" s="23"/>
      <c r="S236" s="47"/>
    </row>
    <row r="237" spans="2:19" x14ac:dyDescent="0.25">
      <c r="B237" s="181"/>
      <c r="C237" s="178"/>
      <c r="D237" s="23" t="s">
        <v>81</v>
      </c>
      <c r="E237" s="24">
        <v>4</v>
      </c>
      <c r="F237" s="24">
        <v>16</v>
      </c>
      <c r="G237" s="23" t="s">
        <v>66</v>
      </c>
      <c r="H237" s="23"/>
      <c r="I237" s="47"/>
      <c r="L237" s="181"/>
      <c r="M237" s="178"/>
      <c r="N237" s="23" t="s">
        <v>81</v>
      </c>
      <c r="O237" s="24">
        <v>4</v>
      </c>
      <c r="P237" s="24">
        <v>16</v>
      </c>
      <c r="Q237" s="23" t="s">
        <v>66</v>
      </c>
      <c r="R237" s="23"/>
      <c r="S237" s="47"/>
    </row>
    <row r="238" spans="2:19" x14ac:dyDescent="0.25">
      <c r="B238" s="181"/>
      <c r="C238" s="178"/>
      <c r="D238" s="23" t="s">
        <v>82</v>
      </c>
      <c r="E238" s="24">
        <v>5</v>
      </c>
      <c r="F238" s="24">
        <v>17</v>
      </c>
      <c r="G238" s="23" t="s">
        <v>66</v>
      </c>
      <c r="H238" s="23"/>
      <c r="I238" s="47"/>
      <c r="L238" s="181"/>
      <c r="M238" s="178"/>
      <c r="N238" s="23" t="s">
        <v>82</v>
      </c>
      <c r="O238" s="24">
        <v>5</v>
      </c>
      <c r="P238" s="24">
        <v>17</v>
      </c>
      <c r="Q238" s="23" t="s">
        <v>66</v>
      </c>
      <c r="R238" s="23"/>
      <c r="S238" s="47"/>
    </row>
    <row r="239" spans="2:19" ht="15.75" thickBot="1" x14ac:dyDescent="0.3">
      <c r="B239" s="181"/>
      <c r="C239" s="179"/>
      <c r="D239" s="23" t="s">
        <v>83</v>
      </c>
      <c r="E239" s="24">
        <v>6</v>
      </c>
      <c r="F239" s="24">
        <v>18</v>
      </c>
      <c r="G239" s="23" t="s">
        <v>66</v>
      </c>
      <c r="H239" s="23"/>
      <c r="I239" s="47"/>
      <c r="L239" s="181"/>
      <c r="M239" s="179"/>
      <c r="N239" s="23" t="s">
        <v>83</v>
      </c>
      <c r="O239" s="24">
        <v>6</v>
      </c>
      <c r="P239" s="24">
        <v>18</v>
      </c>
      <c r="Q239" s="23" t="s">
        <v>66</v>
      </c>
      <c r="R239" s="23"/>
      <c r="S239" s="47"/>
    </row>
    <row r="240" spans="2:19" x14ac:dyDescent="0.25">
      <c r="B240" s="181"/>
      <c r="C240" s="177" t="s">
        <v>84</v>
      </c>
      <c r="D240" s="23" t="s">
        <v>2</v>
      </c>
      <c r="E240" s="24">
        <v>1</v>
      </c>
      <c r="F240" s="24">
        <v>19</v>
      </c>
      <c r="G240" s="23" t="s">
        <v>66</v>
      </c>
      <c r="H240" s="23"/>
      <c r="I240" s="47"/>
      <c r="L240" s="181"/>
      <c r="M240" s="177" t="s">
        <v>84</v>
      </c>
      <c r="N240" s="23" t="s">
        <v>2</v>
      </c>
      <c r="O240" s="24">
        <v>1</v>
      </c>
      <c r="P240" s="24">
        <v>19</v>
      </c>
      <c r="Q240" s="23" t="s">
        <v>66</v>
      </c>
      <c r="R240" s="23"/>
      <c r="S240" s="47"/>
    </row>
    <row r="241" spans="2:19" x14ac:dyDescent="0.25">
      <c r="B241" s="181"/>
      <c r="C241" s="178"/>
      <c r="D241" s="23" t="s">
        <v>3</v>
      </c>
      <c r="E241" s="24">
        <v>2</v>
      </c>
      <c r="F241" s="24">
        <v>20</v>
      </c>
      <c r="G241" s="23" t="s">
        <v>66</v>
      </c>
      <c r="H241" s="23"/>
      <c r="I241" s="47"/>
      <c r="L241" s="181"/>
      <c r="M241" s="178"/>
      <c r="N241" s="23" t="s">
        <v>3</v>
      </c>
      <c r="O241" s="24">
        <v>2</v>
      </c>
      <c r="P241" s="24">
        <v>20</v>
      </c>
      <c r="Q241" s="23" t="s">
        <v>66</v>
      </c>
      <c r="R241" s="23"/>
      <c r="S241" s="47"/>
    </row>
    <row r="242" spans="2:19" x14ac:dyDescent="0.25">
      <c r="B242" s="181"/>
      <c r="C242" s="178"/>
      <c r="D242" s="23" t="s">
        <v>80</v>
      </c>
      <c r="E242" s="26">
        <v>3</v>
      </c>
      <c r="F242" s="24">
        <v>21</v>
      </c>
      <c r="G242" s="23" t="s">
        <v>66</v>
      </c>
      <c r="H242" s="23"/>
      <c r="I242" s="47"/>
      <c r="L242" s="181"/>
      <c r="M242" s="178"/>
      <c r="N242" s="23" t="s">
        <v>80</v>
      </c>
      <c r="O242" s="26">
        <v>3</v>
      </c>
      <c r="P242" s="24">
        <v>21</v>
      </c>
      <c r="Q242" s="23" t="s">
        <v>66</v>
      </c>
      <c r="R242" s="23"/>
      <c r="S242" s="47"/>
    </row>
    <row r="243" spans="2:19" x14ac:dyDescent="0.25">
      <c r="B243" s="181"/>
      <c r="C243" s="178"/>
      <c r="D243" s="23" t="s">
        <v>81</v>
      </c>
      <c r="E243" s="24">
        <v>4</v>
      </c>
      <c r="F243" s="24">
        <v>22</v>
      </c>
      <c r="G243" s="23" t="s">
        <v>66</v>
      </c>
      <c r="H243" s="23"/>
      <c r="I243" s="47"/>
      <c r="L243" s="181"/>
      <c r="M243" s="178"/>
      <c r="N243" s="23" t="s">
        <v>81</v>
      </c>
      <c r="O243" s="24">
        <v>4</v>
      </c>
      <c r="P243" s="24">
        <v>22</v>
      </c>
      <c r="Q243" s="23" t="s">
        <v>66</v>
      </c>
      <c r="R243" s="23"/>
      <c r="S243" s="47"/>
    </row>
    <row r="244" spans="2:19" x14ac:dyDescent="0.25">
      <c r="B244" s="181"/>
      <c r="C244" s="178"/>
      <c r="D244" s="23" t="s">
        <v>82</v>
      </c>
      <c r="E244" s="24">
        <v>5</v>
      </c>
      <c r="F244" s="24">
        <v>23</v>
      </c>
      <c r="G244" s="23" t="s">
        <v>66</v>
      </c>
      <c r="H244" s="23"/>
      <c r="I244" s="47"/>
      <c r="L244" s="181"/>
      <c r="M244" s="178"/>
      <c r="N244" s="23" t="s">
        <v>82</v>
      </c>
      <c r="O244" s="24">
        <v>5</v>
      </c>
      <c r="P244" s="24">
        <v>23</v>
      </c>
      <c r="Q244" s="23" t="s">
        <v>66</v>
      </c>
      <c r="R244" s="23"/>
      <c r="S244" s="47"/>
    </row>
    <row r="245" spans="2:19" ht="15.75" thickBot="1" x14ac:dyDescent="0.3">
      <c r="B245" s="182"/>
      <c r="C245" s="179"/>
      <c r="D245" s="23" t="s">
        <v>83</v>
      </c>
      <c r="E245" s="24">
        <v>6</v>
      </c>
      <c r="F245" s="24">
        <v>24</v>
      </c>
      <c r="G245" s="23" t="s">
        <v>66</v>
      </c>
      <c r="H245" s="23"/>
      <c r="I245" s="47"/>
      <c r="L245" s="182"/>
      <c r="M245" s="179"/>
      <c r="N245" s="23" t="s">
        <v>83</v>
      </c>
      <c r="O245" s="24">
        <v>6</v>
      </c>
      <c r="P245" s="24">
        <v>24</v>
      </c>
      <c r="Q245" s="23" t="s">
        <v>66</v>
      </c>
      <c r="R245" s="23"/>
      <c r="S245" s="47"/>
    </row>
    <row r="246" spans="2:19" x14ac:dyDescent="0.25">
      <c r="B246" s="189" t="s">
        <v>80</v>
      </c>
      <c r="C246" s="192" t="s">
        <v>77</v>
      </c>
      <c r="D246" s="27" t="s">
        <v>2</v>
      </c>
      <c r="E246" s="28">
        <v>1</v>
      </c>
      <c r="F246" s="28">
        <v>25</v>
      </c>
      <c r="G246" s="27" t="s">
        <v>66</v>
      </c>
      <c r="H246" s="27"/>
      <c r="I246" s="48"/>
      <c r="L246" s="189" t="s">
        <v>80</v>
      </c>
      <c r="M246" s="192" t="s">
        <v>77</v>
      </c>
      <c r="N246" s="27" t="s">
        <v>2</v>
      </c>
      <c r="O246" s="28">
        <v>1</v>
      </c>
      <c r="P246" s="28">
        <v>25</v>
      </c>
      <c r="Q246" s="27" t="s">
        <v>66</v>
      </c>
      <c r="R246" s="27"/>
      <c r="S246" s="48"/>
    </row>
    <row r="247" spans="2:19" x14ac:dyDescent="0.25">
      <c r="B247" s="190"/>
      <c r="C247" s="193"/>
      <c r="D247" s="27" t="s">
        <v>3</v>
      </c>
      <c r="E247" s="28">
        <v>2</v>
      </c>
      <c r="F247" s="28">
        <v>26</v>
      </c>
      <c r="G247" s="27" t="s">
        <v>66</v>
      </c>
      <c r="H247" s="27"/>
      <c r="I247" s="48"/>
      <c r="L247" s="190"/>
      <c r="M247" s="193"/>
      <c r="N247" s="27" t="s">
        <v>3</v>
      </c>
      <c r="O247" s="28">
        <v>2</v>
      </c>
      <c r="P247" s="28">
        <v>26</v>
      </c>
      <c r="Q247" s="27" t="s">
        <v>66</v>
      </c>
      <c r="R247" s="27"/>
      <c r="S247" s="48"/>
    </row>
    <row r="248" spans="2:19" x14ac:dyDescent="0.25">
      <c r="B248" s="190"/>
      <c r="C248" s="193"/>
      <c r="D248" s="27" t="s">
        <v>80</v>
      </c>
      <c r="E248" s="28">
        <v>3</v>
      </c>
      <c r="F248" s="28">
        <v>27</v>
      </c>
      <c r="G248" s="27" t="s">
        <v>66</v>
      </c>
      <c r="H248" s="27"/>
      <c r="I248" s="48"/>
      <c r="L248" s="190"/>
      <c r="M248" s="193"/>
      <c r="N248" s="27" t="s">
        <v>80</v>
      </c>
      <c r="O248" s="28">
        <v>3</v>
      </c>
      <c r="P248" s="28">
        <v>27</v>
      </c>
      <c r="Q248" s="27" t="s">
        <v>66</v>
      </c>
      <c r="R248" s="27"/>
      <c r="S248" s="48"/>
    </row>
    <row r="249" spans="2:19" x14ac:dyDescent="0.25">
      <c r="B249" s="190"/>
      <c r="C249" s="193"/>
      <c r="D249" s="27" t="s">
        <v>81</v>
      </c>
      <c r="E249" s="28">
        <v>4</v>
      </c>
      <c r="F249" s="28">
        <v>28</v>
      </c>
      <c r="G249" s="27" t="s">
        <v>66</v>
      </c>
      <c r="H249" s="27"/>
      <c r="I249" s="48"/>
      <c r="L249" s="190"/>
      <c r="M249" s="193"/>
      <c r="N249" s="27" t="s">
        <v>81</v>
      </c>
      <c r="O249" s="28">
        <v>4</v>
      </c>
      <c r="P249" s="28">
        <v>28</v>
      </c>
      <c r="Q249" s="27" t="s">
        <v>66</v>
      </c>
      <c r="R249" s="27"/>
      <c r="S249" s="48"/>
    </row>
    <row r="250" spans="2:19" x14ac:dyDescent="0.25">
      <c r="B250" s="190"/>
      <c r="C250" s="193"/>
      <c r="D250" s="27" t="s">
        <v>82</v>
      </c>
      <c r="E250" s="28">
        <v>5</v>
      </c>
      <c r="F250" s="28">
        <v>29</v>
      </c>
      <c r="G250" s="27" t="s">
        <v>66</v>
      </c>
      <c r="H250" s="27"/>
      <c r="I250" s="48"/>
      <c r="L250" s="190"/>
      <c r="M250" s="193"/>
      <c r="N250" s="27" t="s">
        <v>82</v>
      </c>
      <c r="O250" s="28">
        <v>5</v>
      </c>
      <c r="P250" s="28">
        <v>29</v>
      </c>
      <c r="Q250" s="27" t="s">
        <v>66</v>
      </c>
      <c r="R250" s="27"/>
      <c r="S250" s="48"/>
    </row>
    <row r="251" spans="2:19" ht="15.75" thickBot="1" x14ac:dyDescent="0.3">
      <c r="B251" s="190"/>
      <c r="C251" s="194"/>
      <c r="D251" s="27" t="s">
        <v>83</v>
      </c>
      <c r="E251" s="28">
        <v>6</v>
      </c>
      <c r="F251" s="28">
        <v>30</v>
      </c>
      <c r="G251" s="27" t="s">
        <v>66</v>
      </c>
      <c r="H251" s="27"/>
      <c r="I251" s="48"/>
      <c r="L251" s="190"/>
      <c r="M251" s="194"/>
      <c r="N251" s="27" t="s">
        <v>83</v>
      </c>
      <c r="O251" s="28">
        <v>6</v>
      </c>
      <c r="P251" s="28">
        <v>30</v>
      </c>
      <c r="Q251" s="27" t="s">
        <v>66</v>
      </c>
      <c r="R251" s="27"/>
      <c r="S251" s="48"/>
    </row>
    <row r="252" spans="2:19" x14ac:dyDescent="0.25">
      <c r="B252" s="190"/>
      <c r="C252" s="192" t="s">
        <v>84</v>
      </c>
      <c r="D252" s="27" t="s">
        <v>2</v>
      </c>
      <c r="E252" s="28">
        <v>1</v>
      </c>
      <c r="F252" s="28">
        <v>31</v>
      </c>
      <c r="G252" s="27" t="s">
        <v>66</v>
      </c>
      <c r="H252" s="27"/>
      <c r="I252" s="48"/>
      <c r="L252" s="190"/>
      <c r="M252" s="192" t="s">
        <v>84</v>
      </c>
      <c r="N252" s="27" t="s">
        <v>2</v>
      </c>
      <c r="O252" s="28">
        <v>1</v>
      </c>
      <c r="P252" s="28">
        <v>31</v>
      </c>
      <c r="Q252" s="27" t="s">
        <v>66</v>
      </c>
      <c r="R252" s="27"/>
      <c r="S252" s="48"/>
    </row>
    <row r="253" spans="2:19" x14ac:dyDescent="0.25">
      <c r="B253" s="190"/>
      <c r="C253" s="193"/>
      <c r="D253" s="27" t="s">
        <v>3</v>
      </c>
      <c r="E253" s="28">
        <v>2</v>
      </c>
      <c r="F253" s="28">
        <v>32</v>
      </c>
      <c r="G253" s="27" t="s">
        <v>66</v>
      </c>
      <c r="H253" s="27"/>
      <c r="I253" s="48"/>
      <c r="L253" s="190"/>
      <c r="M253" s="193"/>
      <c r="N253" s="27" t="s">
        <v>3</v>
      </c>
      <c r="O253" s="28">
        <v>2</v>
      </c>
      <c r="P253" s="28">
        <v>32</v>
      </c>
      <c r="Q253" s="27" t="s">
        <v>66</v>
      </c>
      <c r="R253" s="27"/>
      <c r="S253" s="48"/>
    </row>
    <row r="254" spans="2:19" x14ac:dyDescent="0.25">
      <c r="B254" s="190"/>
      <c r="C254" s="193"/>
      <c r="D254" s="27" t="s">
        <v>80</v>
      </c>
      <c r="E254" s="28">
        <v>3</v>
      </c>
      <c r="F254" s="28">
        <v>33</v>
      </c>
      <c r="G254" s="27" t="s">
        <v>66</v>
      </c>
      <c r="H254" s="27"/>
      <c r="I254" s="48"/>
      <c r="L254" s="190"/>
      <c r="M254" s="193"/>
      <c r="N254" s="27" t="s">
        <v>80</v>
      </c>
      <c r="O254" s="28">
        <v>3</v>
      </c>
      <c r="P254" s="28">
        <v>33</v>
      </c>
      <c r="Q254" s="27" t="s">
        <v>66</v>
      </c>
      <c r="R254" s="27"/>
      <c r="S254" s="48"/>
    </row>
    <row r="255" spans="2:19" x14ac:dyDescent="0.25">
      <c r="B255" s="190"/>
      <c r="C255" s="193"/>
      <c r="D255" s="27" t="s">
        <v>81</v>
      </c>
      <c r="E255" s="28">
        <v>4</v>
      </c>
      <c r="F255" s="28">
        <v>34</v>
      </c>
      <c r="G255" s="27" t="s">
        <v>66</v>
      </c>
      <c r="H255" s="27"/>
      <c r="I255" s="48"/>
      <c r="L255" s="190"/>
      <c r="M255" s="193"/>
      <c r="N255" s="27" t="s">
        <v>81</v>
      </c>
      <c r="O255" s="28">
        <v>4</v>
      </c>
      <c r="P255" s="28">
        <v>34</v>
      </c>
      <c r="Q255" s="27" t="s">
        <v>66</v>
      </c>
      <c r="R255" s="27"/>
      <c r="S255" s="48"/>
    </row>
    <row r="256" spans="2:19" x14ac:dyDescent="0.25">
      <c r="B256" s="190"/>
      <c r="C256" s="193"/>
      <c r="D256" s="27" t="s">
        <v>82</v>
      </c>
      <c r="E256" s="28">
        <v>5</v>
      </c>
      <c r="F256" s="28">
        <v>35</v>
      </c>
      <c r="G256" s="27" t="s">
        <v>66</v>
      </c>
      <c r="H256" s="27"/>
      <c r="I256" s="48"/>
      <c r="L256" s="190"/>
      <c r="M256" s="193"/>
      <c r="N256" s="27" t="s">
        <v>82</v>
      </c>
      <c r="O256" s="28">
        <v>5</v>
      </c>
      <c r="P256" s="28">
        <v>35</v>
      </c>
      <c r="Q256" s="27" t="s">
        <v>66</v>
      </c>
      <c r="R256" s="27"/>
      <c r="S256" s="48"/>
    </row>
    <row r="257" spans="2:19" ht="15.75" thickBot="1" x14ac:dyDescent="0.3">
      <c r="B257" s="191"/>
      <c r="C257" s="194"/>
      <c r="D257" s="27" t="s">
        <v>83</v>
      </c>
      <c r="E257" s="28">
        <v>6</v>
      </c>
      <c r="F257" s="28">
        <v>36</v>
      </c>
      <c r="G257" s="27" t="s">
        <v>66</v>
      </c>
      <c r="H257" s="27"/>
      <c r="I257" s="48"/>
      <c r="L257" s="191"/>
      <c r="M257" s="194"/>
      <c r="N257" s="27" t="s">
        <v>83</v>
      </c>
      <c r="O257" s="28">
        <v>6</v>
      </c>
      <c r="P257" s="28">
        <v>36</v>
      </c>
      <c r="Q257" s="27" t="s">
        <v>66</v>
      </c>
      <c r="R257" s="27"/>
      <c r="S257" s="48"/>
    </row>
    <row r="258" spans="2:19" x14ac:dyDescent="0.25">
      <c r="B258" s="183" t="s">
        <v>81</v>
      </c>
      <c r="C258" s="186" t="s">
        <v>77</v>
      </c>
      <c r="D258" s="29" t="s">
        <v>2</v>
      </c>
      <c r="E258" s="30">
        <v>1</v>
      </c>
      <c r="F258" s="30">
        <v>37</v>
      </c>
      <c r="G258" s="29" t="s">
        <v>66</v>
      </c>
      <c r="H258" s="29"/>
      <c r="I258" s="49"/>
      <c r="L258" s="183" t="s">
        <v>81</v>
      </c>
      <c r="M258" s="186" t="s">
        <v>77</v>
      </c>
      <c r="N258" s="29" t="s">
        <v>2</v>
      </c>
      <c r="O258" s="30">
        <v>1</v>
      </c>
      <c r="P258" s="30">
        <v>37</v>
      </c>
      <c r="Q258" s="29" t="s">
        <v>66</v>
      </c>
      <c r="R258" s="29"/>
      <c r="S258" s="49"/>
    </row>
    <row r="259" spans="2:19" x14ac:dyDescent="0.25">
      <c r="B259" s="184"/>
      <c r="C259" s="187"/>
      <c r="D259" s="29" t="s">
        <v>3</v>
      </c>
      <c r="E259" s="30">
        <v>2</v>
      </c>
      <c r="F259" s="30">
        <v>38</v>
      </c>
      <c r="G259" s="29" t="s">
        <v>66</v>
      </c>
      <c r="H259" s="29"/>
      <c r="I259" s="49"/>
      <c r="L259" s="184"/>
      <c r="M259" s="187"/>
      <c r="N259" s="29" t="s">
        <v>3</v>
      </c>
      <c r="O259" s="30">
        <v>2</v>
      </c>
      <c r="P259" s="30">
        <v>38</v>
      </c>
      <c r="Q259" s="29" t="s">
        <v>66</v>
      </c>
      <c r="R259" s="29"/>
      <c r="S259" s="49"/>
    </row>
    <row r="260" spans="2:19" x14ac:dyDescent="0.25">
      <c r="B260" s="184"/>
      <c r="C260" s="187"/>
      <c r="D260" s="29" t="s">
        <v>80</v>
      </c>
      <c r="E260" s="30">
        <v>3</v>
      </c>
      <c r="F260" s="30">
        <v>39</v>
      </c>
      <c r="G260" s="29" t="s">
        <v>66</v>
      </c>
      <c r="H260" s="29"/>
      <c r="I260" s="49"/>
      <c r="L260" s="184"/>
      <c r="M260" s="187"/>
      <c r="N260" s="29" t="s">
        <v>80</v>
      </c>
      <c r="O260" s="30">
        <v>3</v>
      </c>
      <c r="P260" s="30">
        <v>39</v>
      </c>
      <c r="Q260" s="29" t="s">
        <v>66</v>
      </c>
      <c r="R260" s="29"/>
      <c r="S260" s="49"/>
    </row>
    <row r="261" spans="2:19" x14ac:dyDescent="0.25">
      <c r="B261" s="184"/>
      <c r="C261" s="187"/>
      <c r="D261" s="29" t="s">
        <v>81</v>
      </c>
      <c r="E261" s="30">
        <v>4</v>
      </c>
      <c r="F261" s="30">
        <v>40</v>
      </c>
      <c r="G261" s="29" t="s">
        <v>66</v>
      </c>
      <c r="H261" s="29"/>
      <c r="I261" s="49"/>
      <c r="L261" s="184"/>
      <c r="M261" s="187"/>
      <c r="N261" s="29" t="s">
        <v>81</v>
      </c>
      <c r="O261" s="30">
        <v>4</v>
      </c>
      <c r="P261" s="30">
        <v>40</v>
      </c>
      <c r="Q261" s="29" t="s">
        <v>66</v>
      </c>
      <c r="R261" s="29"/>
      <c r="S261" s="49"/>
    </row>
    <row r="262" spans="2:19" x14ac:dyDescent="0.25">
      <c r="B262" s="184"/>
      <c r="C262" s="187"/>
      <c r="D262" s="29" t="s">
        <v>82</v>
      </c>
      <c r="E262" s="30">
        <v>5</v>
      </c>
      <c r="F262" s="30">
        <v>41</v>
      </c>
      <c r="G262" s="29" t="s">
        <v>66</v>
      </c>
      <c r="H262" s="29"/>
      <c r="I262" s="49"/>
      <c r="L262" s="184"/>
      <c r="M262" s="187"/>
      <c r="N262" s="29" t="s">
        <v>82</v>
      </c>
      <c r="O262" s="30">
        <v>5</v>
      </c>
      <c r="P262" s="30">
        <v>41</v>
      </c>
      <c r="Q262" s="29" t="s">
        <v>66</v>
      </c>
      <c r="R262" s="29"/>
      <c r="S262" s="49"/>
    </row>
    <row r="263" spans="2:19" ht="15.75" thickBot="1" x14ac:dyDescent="0.3">
      <c r="B263" s="184"/>
      <c r="C263" s="188"/>
      <c r="D263" s="29" t="s">
        <v>83</v>
      </c>
      <c r="E263" s="30">
        <v>6</v>
      </c>
      <c r="F263" s="30">
        <v>42</v>
      </c>
      <c r="G263" s="29" t="s">
        <v>66</v>
      </c>
      <c r="H263" s="29"/>
      <c r="I263" s="49"/>
      <c r="L263" s="184"/>
      <c r="M263" s="188"/>
      <c r="N263" s="29" t="s">
        <v>83</v>
      </c>
      <c r="O263" s="30">
        <v>6</v>
      </c>
      <c r="P263" s="30">
        <v>42</v>
      </c>
      <c r="Q263" s="29" t="s">
        <v>66</v>
      </c>
      <c r="R263" s="29"/>
      <c r="S263" s="49"/>
    </row>
    <row r="264" spans="2:19" x14ac:dyDescent="0.25">
      <c r="B264" s="184"/>
      <c r="C264" s="186" t="s">
        <v>84</v>
      </c>
      <c r="D264" s="29" t="s">
        <v>2</v>
      </c>
      <c r="E264" s="30">
        <v>1</v>
      </c>
      <c r="F264" s="30">
        <v>43</v>
      </c>
      <c r="G264" s="29" t="s">
        <v>66</v>
      </c>
      <c r="H264" s="29"/>
      <c r="I264" s="49"/>
      <c r="L264" s="184"/>
      <c r="M264" s="186" t="s">
        <v>84</v>
      </c>
      <c r="N264" s="29" t="s">
        <v>2</v>
      </c>
      <c r="O264" s="30">
        <v>1</v>
      </c>
      <c r="P264" s="30">
        <v>43</v>
      </c>
      <c r="Q264" s="29" t="s">
        <v>66</v>
      </c>
      <c r="R264" s="29"/>
      <c r="S264" s="49"/>
    </row>
    <row r="265" spans="2:19" x14ac:dyDescent="0.25">
      <c r="B265" s="184"/>
      <c r="C265" s="187"/>
      <c r="D265" s="29" t="s">
        <v>3</v>
      </c>
      <c r="E265" s="30">
        <v>2</v>
      </c>
      <c r="F265" s="30">
        <v>44</v>
      </c>
      <c r="G265" s="29" t="s">
        <v>66</v>
      </c>
      <c r="H265" s="29"/>
      <c r="I265" s="49"/>
      <c r="L265" s="184"/>
      <c r="M265" s="187"/>
      <c r="N265" s="29" t="s">
        <v>3</v>
      </c>
      <c r="O265" s="30">
        <v>2</v>
      </c>
      <c r="P265" s="30">
        <v>44</v>
      </c>
      <c r="Q265" s="29" t="s">
        <v>66</v>
      </c>
      <c r="R265" s="29"/>
      <c r="S265" s="49"/>
    </row>
    <row r="266" spans="2:19" x14ac:dyDescent="0.25">
      <c r="B266" s="184"/>
      <c r="C266" s="187"/>
      <c r="D266" s="29" t="s">
        <v>80</v>
      </c>
      <c r="E266" s="30">
        <v>3</v>
      </c>
      <c r="F266" s="30">
        <v>45</v>
      </c>
      <c r="G266" s="29" t="s">
        <v>66</v>
      </c>
      <c r="H266" s="29"/>
      <c r="I266" s="49"/>
      <c r="L266" s="184"/>
      <c r="M266" s="187"/>
      <c r="N266" s="29" t="s">
        <v>80</v>
      </c>
      <c r="O266" s="30">
        <v>3</v>
      </c>
      <c r="P266" s="30">
        <v>45</v>
      </c>
      <c r="Q266" s="29" t="s">
        <v>66</v>
      </c>
      <c r="R266" s="29"/>
      <c r="S266" s="49"/>
    </row>
    <row r="267" spans="2:19" x14ac:dyDescent="0.25">
      <c r="B267" s="184"/>
      <c r="C267" s="187"/>
      <c r="D267" s="29" t="s">
        <v>81</v>
      </c>
      <c r="E267" s="30">
        <v>4</v>
      </c>
      <c r="F267" s="30">
        <v>46</v>
      </c>
      <c r="G267" s="29" t="s">
        <v>66</v>
      </c>
      <c r="H267" s="29"/>
      <c r="I267" s="49"/>
      <c r="L267" s="184"/>
      <c r="M267" s="187"/>
      <c r="N267" s="29" t="s">
        <v>81</v>
      </c>
      <c r="O267" s="30">
        <v>4</v>
      </c>
      <c r="P267" s="30">
        <v>46</v>
      </c>
      <c r="Q267" s="29" t="s">
        <v>66</v>
      </c>
      <c r="R267" s="29"/>
      <c r="S267" s="49"/>
    </row>
    <row r="268" spans="2:19" x14ac:dyDescent="0.25">
      <c r="B268" s="184"/>
      <c r="C268" s="187"/>
      <c r="D268" s="29" t="s">
        <v>82</v>
      </c>
      <c r="E268" s="30">
        <v>5</v>
      </c>
      <c r="F268" s="30">
        <v>47</v>
      </c>
      <c r="G268" s="29" t="s">
        <v>66</v>
      </c>
      <c r="H268" s="29"/>
      <c r="I268" s="49"/>
      <c r="L268" s="184"/>
      <c r="M268" s="187"/>
      <c r="N268" s="29" t="s">
        <v>82</v>
      </c>
      <c r="O268" s="30">
        <v>5</v>
      </c>
      <c r="P268" s="30">
        <v>47</v>
      </c>
      <c r="Q268" s="29" t="s">
        <v>66</v>
      </c>
      <c r="R268" s="29"/>
      <c r="S268" s="49"/>
    </row>
    <row r="269" spans="2:19" ht="15.75" thickBot="1" x14ac:dyDescent="0.3">
      <c r="B269" s="185"/>
      <c r="C269" s="188"/>
      <c r="D269" s="29" t="s">
        <v>83</v>
      </c>
      <c r="E269" s="30">
        <v>6</v>
      </c>
      <c r="F269" s="30">
        <v>48</v>
      </c>
      <c r="G269" s="29" t="s">
        <v>66</v>
      </c>
      <c r="H269" s="29"/>
      <c r="I269" s="49"/>
      <c r="L269" s="185"/>
      <c r="M269" s="188"/>
      <c r="N269" s="29" t="s">
        <v>83</v>
      </c>
      <c r="O269" s="30">
        <v>6</v>
      </c>
      <c r="P269" s="30">
        <v>48</v>
      </c>
      <c r="Q269" s="29" t="s">
        <v>66</v>
      </c>
      <c r="R269" s="29"/>
      <c r="S269" s="49"/>
    </row>
    <row r="270" spans="2:19" ht="15.75" thickBot="1" x14ac:dyDescent="0.3"/>
    <row r="271" spans="2:19" ht="15.75" thickBot="1" x14ac:dyDescent="0.3">
      <c r="B271" s="171" t="s">
        <v>309</v>
      </c>
      <c r="C271" s="172"/>
      <c r="D271" s="172"/>
      <c r="E271" s="172"/>
      <c r="F271" s="172"/>
      <c r="G271" s="172"/>
      <c r="H271" s="172"/>
      <c r="I271" s="173"/>
      <c r="L271" s="171" t="s">
        <v>310</v>
      </c>
      <c r="M271" s="172"/>
      <c r="N271" s="172"/>
      <c r="O271" s="172"/>
      <c r="P271" s="172"/>
      <c r="Q271" s="172"/>
      <c r="R271" s="172"/>
      <c r="S271" s="173"/>
    </row>
    <row r="273" spans="2:19" ht="26.25" thickBot="1" x14ac:dyDescent="0.3">
      <c r="B273" s="15" t="s">
        <v>70</v>
      </c>
      <c r="C273" s="16" t="s">
        <v>71</v>
      </c>
      <c r="D273" s="15" t="s">
        <v>72</v>
      </c>
      <c r="E273" s="17" t="s">
        <v>73</v>
      </c>
      <c r="F273" s="17" t="s">
        <v>74</v>
      </c>
      <c r="G273" s="15" t="s">
        <v>75</v>
      </c>
      <c r="H273" s="15" t="s">
        <v>55</v>
      </c>
      <c r="I273" s="15" t="s">
        <v>76</v>
      </c>
      <c r="L273" s="15" t="s">
        <v>70</v>
      </c>
      <c r="M273" s="16" t="s">
        <v>71</v>
      </c>
      <c r="N273" s="15" t="s">
        <v>72</v>
      </c>
      <c r="O273" s="17" t="s">
        <v>73</v>
      </c>
      <c r="P273" s="17" t="s">
        <v>74</v>
      </c>
      <c r="Q273" s="15" t="s">
        <v>75</v>
      </c>
      <c r="R273" s="15" t="s">
        <v>55</v>
      </c>
      <c r="S273" s="15" t="s">
        <v>76</v>
      </c>
    </row>
    <row r="274" spans="2:19" x14ac:dyDescent="0.25">
      <c r="B274" s="174" t="s">
        <v>2</v>
      </c>
      <c r="C274" s="168" t="s">
        <v>77</v>
      </c>
      <c r="D274" s="18" t="s">
        <v>2</v>
      </c>
      <c r="E274" s="19">
        <v>1</v>
      </c>
      <c r="F274" s="19">
        <v>1</v>
      </c>
      <c r="G274" s="18" t="s">
        <v>78</v>
      </c>
      <c r="H274" s="156" t="s">
        <v>300</v>
      </c>
      <c r="I274" s="165" t="s">
        <v>179</v>
      </c>
      <c r="L274" s="174" t="s">
        <v>2</v>
      </c>
      <c r="M274" s="168" t="s">
        <v>77</v>
      </c>
      <c r="N274" s="18" t="s">
        <v>2</v>
      </c>
      <c r="O274" s="19">
        <v>1</v>
      </c>
      <c r="P274" s="19">
        <v>1</v>
      </c>
      <c r="Q274" s="18" t="s">
        <v>78</v>
      </c>
      <c r="R274" s="156" t="s">
        <v>300</v>
      </c>
      <c r="S274" s="165" t="s">
        <v>181</v>
      </c>
    </row>
    <row r="275" spans="2:19" x14ac:dyDescent="0.25">
      <c r="B275" s="175"/>
      <c r="C275" s="169"/>
      <c r="D275" s="18" t="s">
        <v>3</v>
      </c>
      <c r="E275" s="19">
        <v>2</v>
      </c>
      <c r="F275" s="19">
        <v>2</v>
      </c>
      <c r="G275" s="18" t="s">
        <v>78</v>
      </c>
      <c r="H275" s="157"/>
      <c r="I275" s="166"/>
      <c r="L275" s="175"/>
      <c r="M275" s="169"/>
      <c r="N275" s="18" t="s">
        <v>3</v>
      </c>
      <c r="O275" s="19">
        <v>2</v>
      </c>
      <c r="P275" s="19">
        <v>2</v>
      </c>
      <c r="Q275" s="18" t="s">
        <v>78</v>
      </c>
      <c r="R275" s="157"/>
      <c r="S275" s="166"/>
    </row>
    <row r="276" spans="2:19" x14ac:dyDescent="0.25">
      <c r="B276" s="175"/>
      <c r="C276" s="169"/>
      <c r="D276" s="18" t="s">
        <v>80</v>
      </c>
      <c r="E276" s="20">
        <v>3</v>
      </c>
      <c r="F276" s="20">
        <v>3</v>
      </c>
      <c r="G276" s="18" t="s">
        <v>66</v>
      </c>
      <c r="H276" s="157"/>
      <c r="I276" s="166"/>
      <c r="L276" s="175"/>
      <c r="M276" s="169"/>
      <c r="N276" s="18" t="s">
        <v>80</v>
      </c>
      <c r="O276" s="20">
        <v>3</v>
      </c>
      <c r="P276" s="20">
        <v>3</v>
      </c>
      <c r="Q276" s="18" t="s">
        <v>66</v>
      </c>
      <c r="R276" s="157"/>
      <c r="S276" s="166"/>
    </row>
    <row r="277" spans="2:19" x14ac:dyDescent="0.25">
      <c r="B277" s="175"/>
      <c r="C277" s="169"/>
      <c r="D277" s="18" t="s">
        <v>81</v>
      </c>
      <c r="E277" s="20">
        <v>4</v>
      </c>
      <c r="F277" s="20">
        <v>4</v>
      </c>
      <c r="G277" s="18" t="s">
        <v>66</v>
      </c>
      <c r="H277" s="157"/>
      <c r="I277" s="166"/>
      <c r="L277" s="175"/>
      <c r="M277" s="169"/>
      <c r="N277" s="18" t="s">
        <v>81</v>
      </c>
      <c r="O277" s="20">
        <v>4</v>
      </c>
      <c r="P277" s="20">
        <v>4</v>
      </c>
      <c r="Q277" s="18" t="s">
        <v>66</v>
      </c>
      <c r="R277" s="157"/>
      <c r="S277" s="166"/>
    </row>
    <row r="278" spans="2:19" x14ac:dyDescent="0.25">
      <c r="B278" s="175"/>
      <c r="C278" s="169"/>
      <c r="D278" s="18" t="s">
        <v>82</v>
      </c>
      <c r="E278" s="20">
        <v>5</v>
      </c>
      <c r="F278" s="20">
        <v>5</v>
      </c>
      <c r="G278" s="18" t="s">
        <v>66</v>
      </c>
      <c r="H278" s="157"/>
      <c r="I278" s="166"/>
      <c r="L278" s="175"/>
      <c r="M278" s="169"/>
      <c r="N278" s="18" t="s">
        <v>82</v>
      </c>
      <c r="O278" s="20">
        <v>5</v>
      </c>
      <c r="P278" s="20">
        <v>5</v>
      </c>
      <c r="Q278" s="18" t="s">
        <v>66</v>
      </c>
      <c r="R278" s="157"/>
      <c r="S278" s="166"/>
    </row>
    <row r="279" spans="2:19" ht="15.75" thickBot="1" x14ac:dyDescent="0.3">
      <c r="B279" s="175"/>
      <c r="C279" s="170"/>
      <c r="D279" s="18" t="s">
        <v>83</v>
      </c>
      <c r="E279" s="20">
        <v>6</v>
      </c>
      <c r="F279" s="20">
        <v>6</v>
      </c>
      <c r="G279" s="18" t="s">
        <v>66</v>
      </c>
      <c r="H279" s="158"/>
      <c r="I279" s="167"/>
      <c r="L279" s="175"/>
      <c r="M279" s="170"/>
      <c r="N279" s="18" t="s">
        <v>83</v>
      </c>
      <c r="O279" s="20">
        <v>6</v>
      </c>
      <c r="P279" s="20">
        <v>6</v>
      </c>
      <c r="Q279" s="18" t="s">
        <v>66</v>
      </c>
      <c r="R279" s="158"/>
      <c r="S279" s="167"/>
    </row>
    <row r="280" spans="2:19" x14ac:dyDescent="0.25">
      <c r="B280" s="175"/>
      <c r="C280" s="168" t="s">
        <v>84</v>
      </c>
      <c r="D280" s="18" t="s">
        <v>2</v>
      </c>
      <c r="E280" s="19">
        <v>1</v>
      </c>
      <c r="F280" s="19">
        <v>7</v>
      </c>
      <c r="G280" s="18" t="s">
        <v>66</v>
      </c>
      <c r="H280" s="32"/>
      <c r="I280" s="50"/>
      <c r="L280" s="175"/>
      <c r="M280" s="168" t="s">
        <v>84</v>
      </c>
      <c r="N280" s="18" t="s">
        <v>2</v>
      </c>
      <c r="O280" s="19">
        <v>1</v>
      </c>
      <c r="P280" s="19">
        <v>7</v>
      </c>
      <c r="Q280" s="18" t="s">
        <v>66</v>
      </c>
      <c r="R280" s="32"/>
      <c r="S280" s="50"/>
    </row>
    <row r="281" spans="2:19" x14ac:dyDescent="0.25">
      <c r="B281" s="175"/>
      <c r="C281" s="169"/>
      <c r="D281" s="18" t="s">
        <v>3</v>
      </c>
      <c r="E281" s="19">
        <v>2</v>
      </c>
      <c r="F281" s="19">
        <v>8</v>
      </c>
      <c r="G281" s="18" t="s">
        <v>66</v>
      </c>
      <c r="H281" s="32"/>
      <c r="I281" s="50"/>
      <c r="L281" s="175"/>
      <c r="M281" s="169"/>
      <c r="N281" s="18" t="s">
        <v>3</v>
      </c>
      <c r="O281" s="19">
        <v>2</v>
      </c>
      <c r="P281" s="19">
        <v>8</v>
      </c>
      <c r="Q281" s="18" t="s">
        <v>66</v>
      </c>
      <c r="R281" s="32"/>
      <c r="S281" s="50"/>
    </row>
    <row r="282" spans="2:19" x14ac:dyDescent="0.25">
      <c r="B282" s="175"/>
      <c r="C282" s="169"/>
      <c r="D282" s="18" t="s">
        <v>80</v>
      </c>
      <c r="E282" s="20">
        <v>3</v>
      </c>
      <c r="F282" s="20">
        <v>9</v>
      </c>
      <c r="G282" s="18" t="s">
        <v>66</v>
      </c>
      <c r="H282" s="32"/>
      <c r="I282" s="50"/>
      <c r="L282" s="175"/>
      <c r="M282" s="169"/>
      <c r="N282" s="18" t="s">
        <v>80</v>
      </c>
      <c r="O282" s="20">
        <v>3</v>
      </c>
      <c r="P282" s="20">
        <v>9</v>
      </c>
      <c r="Q282" s="18" t="s">
        <v>66</v>
      </c>
      <c r="R282" s="32"/>
      <c r="S282" s="50"/>
    </row>
    <row r="283" spans="2:19" x14ac:dyDescent="0.25">
      <c r="B283" s="175"/>
      <c r="C283" s="169"/>
      <c r="D283" s="18" t="s">
        <v>81</v>
      </c>
      <c r="E283" s="20">
        <v>4</v>
      </c>
      <c r="F283" s="20">
        <v>10</v>
      </c>
      <c r="G283" s="18" t="s">
        <v>66</v>
      </c>
      <c r="H283" s="32"/>
      <c r="I283" s="50"/>
      <c r="L283" s="175"/>
      <c r="M283" s="169"/>
      <c r="N283" s="18" t="s">
        <v>81</v>
      </c>
      <c r="O283" s="20">
        <v>4</v>
      </c>
      <c r="P283" s="20">
        <v>10</v>
      </c>
      <c r="Q283" s="18" t="s">
        <v>66</v>
      </c>
      <c r="R283" s="32"/>
      <c r="S283" s="50"/>
    </row>
    <row r="284" spans="2:19" x14ac:dyDescent="0.25">
      <c r="B284" s="175"/>
      <c r="C284" s="169"/>
      <c r="D284" s="18" t="s">
        <v>82</v>
      </c>
      <c r="E284" s="20">
        <v>5</v>
      </c>
      <c r="F284" s="20">
        <v>11</v>
      </c>
      <c r="G284" s="18" t="s">
        <v>66</v>
      </c>
      <c r="H284" s="32"/>
      <c r="I284" s="50"/>
      <c r="L284" s="175"/>
      <c r="M284" s="169"/>
      <c r="N284" s="18" t="s">
        <v>82</v>
      </c>
      <c r="O284" s="20">
        <v>5</v>
      </c>
      <c r="P284" s="20">
        <v>11</v>
      </c>
      <c r="Q284" s="18" t="s">
        <v>66</v>
      </c>
      <c r="R284" s="32"/>
      <c r="S284" s="50"/>
    </row>
    <row r="285" spans="2:19" ht="15.75" thickBot="1" x14ac:dyDescent="0.3">
      <c r="B285" s="176"/>
      <c r="C285" s="170"/>
      <c r="D285" s="18" t="s">
        <v>83</v>
      </c>
      <c r="E285" s="20">
        <v>6</v>
      </c>
      <c r="F285" s="20">
        <v>12</v>
      </c>
      <c r="G285" s="18" t="s">
        <v>66</v>
      </c>
      <c r="H285" s="32"/>
      <c r="I285" s="50"/>
      <c r="L285" s="176"/>
      <c r="M285" s="170"/>
      <c r="N285" s="18" t="s">
        <v>83</v>
      </c>
      <c r="O285" s="20">
        <v>6</v>
      </c>
      <c r="P285" s="20">
        <v>12</v>
      </c>
      <c r="Q285" s="18" t="s">
        <v>66</v>
      </c>
      <c r="R285" s="32"/>
      <c r="S285" s="50"/>
    </row>
    <row r="286" spans="2:19" x14ac:dyDescent="0.25">
      <c r="B286" s="180" t="s">
        <v>3</v>
      </c>
      <c r="C286" s="177" t="s">
        <v>77</v>
      </c>
      <c r="D286" s="21" t="s">
        <v>2</v>
      </c>
      <c r="E286" s="22">
        <v>1</v>
      </c>
      <c r="F286" s="22">
        <v>13</v>
      </c>
      <c r="G286" s="21" t="s">
        <v>66</v>
      </c>
      <c r="H286" s="21"/>
      <c r="I286" s="51"/>
      <c r="L286" s="180" t="s">
        <v>3</v>
      </c>
      <c r="M286" s="177" t="s">
        <v>77</v>
      </c>
      <c r="N286" s="21" t="s">
        <v>2</v>
      </c>
      <c r="O286" s="22">
        <v>1</v>
      </c>
      <c r="P286" s="22">
        <v>13</v>
      </c>
      <c r="Q286" s="21" t="s">
        <v>66</v>
      </c>
      <c r="R286" s="21"/>
      <c r="S286" s="51"/>
    </row>
    <row r="287" spans="2:19" x14ac:dyDescent="0.25">
      <c r="B287" s="181"/>
      <c r="C287" s="178"/>
      <c r="D287" s="23" t="s">
        <v>3</v>
      </c>
      <c r="E287" s="24">
        <v>2</v>
      </c>
      <c r="F287" s="24">
        <v>14</v>
      </c>
      <c r="G287" s="23" t="s">
        <v>66</v>
      </c>
      <c r="H287" s="23"/>
      <c r="I287" s="47"/>
      <c r="L287" s="181"/>
      <c r="M287" s="178"/>
      <c r="N287" s="23" t="s">
        <v>3</v>
      </c>
      <c r="O287" s="24">
        <v>2</v>
      </c>
      <c r="P287" s="24">
        <v>14</v>
      </c>
      <c r="Q287" s="23" t="s">
        <v>66</v>
      </c>
      <c r="R287" s="23"/>
      <c r="S287" s="47"/>
    </row>
    <row r="288" spans="2:19" x14ac:dyDescent="0.25">
      <c r="B288" s="181"/>
      <c r="C288" s="178"/>
      <c r="D288" s="23" t="s">
        <v>80</v>
      </c>
      <c r="E288" s="24">
        <v>3</v>
      </c>
      <c r="F288" s="24">
        <v>15</v>
      </c>
      <c r="G288" s="23" t="s">
        <v>66</v>
      </c>
      <c r="H288" s="23"/>
      <c r="I288" s="47"/>
      <c r="L288" s="181"/>
      <c r="M288" s="178"/>
      <c r="N288" s="23" t="s">
        <v>80</v>
      </c>
      <c r="O288" s="24">
        <v>3</v>
      </c>
      <c r="P288" s="24">
        <v>15</v>
      </c>
      <c r="Q288" s="23" t="s">
        <v>66</v>
      </c>
      <c r="R288" s="23"/>
      <c r="S288" s="47"/>
    </row>
    <row r="289" spans="2:19" x14ac:dyDescent="0.25">
      <c r="B289" s="181"/>
      <c r="C289" s="178"/>
      <c r="D289" s="23" t="s">
        <v>81</v>
      </c>
      <c r="E289" s="24">
        <v>4</v>
      </c>
      <c r="F289" s="24">
        <v>16</v>
      </c>
      <c r="G289" s="23" t="s">
        <v>66</v>
      </c>
      <c r="H289" s="23"/>
      <c r="I289" s="47"/>
      <c r="L289" s="181"/>
      <c r="M289" s="178"/>
      <c r="N289" s="23" t="s">
        <v>81</v>
      </c>
      <c r="O289" s="24">
        <v>4</v>
      </c>
      <c r="P289" s="24">
        <v>16</v>
      </c>
      <c r="Q289" s="23" t="s">
        <v>66</v>
      </c>
      <c r="R289" s="23"/>
      <c r="S289" s="47"/>
    </row>
    <row r="290" spans="2:19" x14ac:dyDescent="0.25">
      <c r="B290" s="181"/>
      <c r="C290" s="178"/>
      <c r="D290" s="23" t="s">
        <v>82</v>
      </c>
      <c r="E290" s="24">
        <v>5</v>
      </c>
      <c r="F290" s="24">
        <v>17</v>
      </c>
      <c r="G290" s="23" t="s">
        <v>66</v>
      </c>
      <c r="H290" s="23"/>
      <c r="I290" s="47"/>
      <c r="L290" s="181"/>
      <c r="M290" s="178"/>
      <c r="N290" s="23" t="s">
        <v>82</v>
      </c>
      <c r="O290" s="24">
        <v>5</v>
      </c>
      <c r="P290" s="24">
        <v>17</v>
      </c>
      <c r="Q290" s="23" t="s">
        <v>66</v>
      </c>
      <c r="R290" s="23"/>
      <c r="S290" s="47"/>
    </row>
    <row r="291" spans="2:19" ht="15.75" thickBot="1" x14ac:dyDescent="0.3">
      <c r="B291" s="181"/>
      <c r="C291" s="179"/>
      <c r="D291" s="23" t="s">
        <v>83</v>
      </c>
      <c r="E291" s="24">
        <v>6</v>
      </c>
      <c r="F291" s="24">
        <v>18</v>
      </c>
      <c r="G291" s="23" t="s">
        <v>66</v>
      </c>
      <c r="H291" s="23"/>
      <c r="I291" s="47"/>
      <c r="L291" s="181"/>
      <c r="M291" s="179"/>
      <c r="N291" s="23" t="s">
        <v>83</v>
      </c>
      <c r="O291" s="24">
        <v>6</v>
      </c>
      <c r="P291" s="24">
        <v>18</v>
      </c>
      <c r="Q291" s="23" t="s">
        <v>66</v>
      </c>
      <c r="R291" s="23"/>
      <c r="S291" s="47"/>
    </row>
    <row r="292" spans="2:19" x14ac:dyDescent="0.25">
      <c r="B292" s="181"/>
      <c r="C292" s="177" t="s">
        <v>84</v>
      </c>
      <c r="D292" s="23" t="s">
        <v>2</v>
      </c>
      <c r="E292" s="24">
        <v>1</v>
      </c>
      <c r="F292" s="24">
        <v>19</v>
      </c>
      <c r="G292" s="23" t="s">
        <v>66</v>
      </c>
      <c r="H292" s="23"/>
      <c r="I292" s="47"/>
      <c r="L292" s="181"/>
      <c r="M292" s="177" t="s">
        <v>84</v>
      </c>
      <c r="N292" s="23" t="s">
        <v>2</v>
      </c>
      <c r="O292" s="24">
        <v>1</v>
      </c>
      <c r="P292" s="24">
        <v>19</v>
      </c>
      <c r="Q292" s="23" t="s">
        <v>66</v>
      </c>
      <c r="R292" s="23"/>
      <c r="S292" s="47"/>
    </row>
    <row r="293" spans="2:19" x14ac:dyDescent="0.25">
      <c r="B293" s="181"/>
      <c r="C293" s="178"/>
      <c r="D293" s="23" t="s">
        <v>3</v>
      </c>
      <c r="E293" s="24">
        <v>2</v>
      </c>
      <c r="F293" s="24">
        <v>20</v>
      </c>
      <c r="G293" s="23" t="s">
        <v>66</v>
      </c>
      <c r="H293" s="23"/>
      <c r="I293" s="47"/>
      <c r="L293" s="181"/>
      <c r="M293" s="178"/>
      <c r="N293" s="23" t="s">
        <v>3</v>
      </c>
      <c r="O293" s="24">
        <v>2</v>
      </c>
      <c r="P293" s="24">
        <v>20</v>
      </c>
      <c r="Q293" s="23" t="s">
        <v>66</v>
      </c>
      <c r="R293" s="23"/>
      <c r="S293" s="47"/>
    </row>
    <row r="294" spans="2:19" x14ac:dyDescent="0.25">
      <c r="B294" s="181"/>
      <c r="C294" s="178"/>
      <c r="D294" s="23" t="s">
        <v>80</v>
      </c>
      <c r="E294" s="26">
        <v>3</v>
      </c>
      <c r="F294" s="24">
        <v>21</v>
      </c>
      <c r="G294" s="23" t="s">
        <v>66</v>
      </c>
      <c r="H294" s="23"/>
      <c r="I294" s="47"/>
      <c r="L294" s="181"/>
      <c r="M294" s="178"/>
      <c r="N294" s="23" t="s">
        <v>80</v>
      </c>
      <c r="O294" s="26">
        <v>3</v>
      </c>
      <c r="P294" s="24">
        <v>21</v>
      </c>
      <c r="Q294" s="23" t="s">
        <v>66</v>
      </c>
      <c r="R294" s="23"/>
      <c r="S294" s="47"/>
    </row>
    <row r="295" spans="2:19" x14ac:dyDescent="0.25">
      <c r="B295" s="181"/>
      <c r="C295" s="178"/>
      <c r="D295" s="23" t="s">
        <v>81</v>
      </c>
      <c r="E295" s="24">
        <v>4</v>
      </c>
      <c r="F295" s="24">
        <v>22</v>
      </c>
      <c r="G295" s="23" t="s">
        <v>66</v>
      </c>
      <c r="H295" s="23"/>
      <c r="I295" s="47"/>
      <c r="L295" s="181"/>
      <c r="M295" s="178"/>
      <c r="N295" s="23" t="s">
        <v>81</v>
      </c>
      <c r="O295" s="24">
        <v>4</v>
      </c>
      <c r="P295" s="24">
        <v>22</v>
      </c>
      <c r="Q295" s="23" t="s">
        <v>66</v>
      </c>
      <c r="R295" s="23"/>
      <c r="S295" s="47"/>
    </row>
    <row r="296" spans="2:19" x14ac:dyDescent="0.25">
      <c r="B296" s="181"/>
      <c r="C296" s="178"/>
      <c r="D296" s="23" t="s">
        <v>82</v>
      </c>
      <c r="E296" s="24">
        <v>5</v>
      </c>
      <c r="F296" s="24">
        <v>23</v>
      </c>
      <c r="G296" s="23" t="s">
        <v>66</v>
      </c>
      <c r="H296" s="23"/>
      <c r="I296" s="47"/>
      <c r="L296" s="181"/>
      <c r="M296" s="178"/>
      <c r="N296" s="23" t="s">
        <v>82</v>
      </c>
      <c r="O296" s="24">
        <v>5</v>
      </c>
      <c r="P296" s="24">
        <v>23</v>
      </c>
      <c r="Q296" s="23" t="s">
        <v>66</v>
      </c>
      <c r="R296" s="23"/>
      <c r="S296" s="47"/>
    </row>
    <row r="297" spans="2:19" ht="15.75" thickBot="1" x14ac:dyDescent="0.3">
      <c r="B297" s="182"/>
      <c r="C297" s="179"/>
      <c r="D297" s="23" t="s">
        <v>83</v>
      </c>
      <c r="E297" s="24">
        <v>6</v>
      </c>
      <c r="F297" s="24">
        <v>24</v>
      </c>
      <c r="G297" s="23" t="s">
        <v>66</v>
      </c>
      <c r="H297" s="23"/>
      <c r="I297" s="47"/>
      <c r="L297" s="182"/>
      <c r="M297" s="179"/>
      <c r="N297" s="23" t="s">
        <v>83</v>
      </c>
      <c r="O297" s="24">
        <v>6</v>
      </c>
      <c r="P297" s="24">
        <v>24</v>
      </c>
      <c r="Q297" s="23" t="s">
        <v>66</v>
      </c>
      <c r="R297" s="23"/>
      <c r="S297" s="47"/>
    </row>
    <row r="298" spans="2:19" x14ac:dyDescent="0.25">
      <c r="B298" s="189" t="s">
        <v>80</v>
      </c>
      <c r="C298" s="192" t="s">
        <v>77</v>
      </c>
      <c r="D298" s="27" t="s">
        <v>2</v>
      </c>
      <c r="E298" s="28">
        <v>1</v>
      </c>
      <c r="F298" s="28">
        <v>25</v>
      </c>
      <c r="G298" s="27" t="s">
        <v>66</v>
      </c>
      <c r="H298" s="27"/>
      <c r="I298" s="48"/>
      <c r="L298" s="189" t="s">
        <v>80</v>
      </c>
      <c r="M298" s="192" t="s">
        <v>77</v>
      </c>
      <c r="N298" s="27" t="s">
        <v>2</v>
      </c>
      <c r="O298" s="28">
        <v>1</v>
      </c>
      <c r="P298" s="28">
        <v>25</v>
      </c>
      <c r="Q298" s="27" t="s">
        <v>66</v>
      </c>
      <c r="R298" s="27"/>
      <c r="S298" s="48"/>
    </row>
    <row r="299" spans="2:19" x14ac:dyDescent="0.25">
      <c r="B299" s="190"/>
      <c r="C299" s="193"/>
      <c r="D299" s="27" t="s">
        <v>3</v>
      </c>
      <c r="E299" s="28">
        <v>2</v>
      </c>
      <c r="F299" s="28">
        <v>26</v>
      </c>
      <c r="G299" s="27" t="s">
        <v>66</v>
      </c>
      <c r="H299" s="27"/>
      <c r="I299" s="48"/>
      <c r="L299" s="190"/>
      <c r="M299" s="193"/>
      <c r="N299" s="27" t="s">
        <v>3</v>
      </c>
      <c r="O299" s="28">
        <v>2</v>
      </c>
      <c r="P299" s="28">
        <v>26</v>
      </c>
      <c r="Q299" s="27" t="s">
        <v>66</v>
      </c>
      <c r="R299" s="27"/>
      <c r="S299" s="48"/>
    </row>
    <row r="300" spans="2:19" x14ac:dyDescent="0.25">
      <c r="B300" s="190"/>
      <c r="C300" s="193"/>
      <c r="D300" s="27" t="s">
        <v>80</v>
      </c>
      <c r="E300" s="28">
        <v>3</v>
      </c>
      <c r="F300" s="28">
        <v>27</v>
      </c>
      <c r="G300" s="27" t="s">
        <v>66</v>
      </c>
      <c r="H300" s="27"/>
      <c r="I300" s="48"/>
      <c r="L300" s="190"/>
      <c r="M300" s="193"/>
      <c r="N300" s="27" t="s">
        <v>80</v>
      </c>
      <c r="O300" s="28">
        <v>3</v>
      </c>
      <c r="P300" s="28">
        <v>27</v>
      </c>
      <c r="Q300" s="27" t="s">
        <v>66</v>
      </c>
      <c r="R300" s="27"/>
      <c r="S300" s="48"/>
    </row>
    <row r="301" spans="2:19" x14ac:dyDescent="0.25">
      <c r="B301" s="190"/>
      <c r="C301" s="193"/>
      <c r="D301" s="27" t="s">
        <v>81</v>
      </c>
      <c r="E301" s="28">
        <v>4</v>
      </c>
      <c r="F301" s="28">
        <v>28</v>
      </c>
      <c r="G301" s="27" t="s">
        <v>66</v>
      </c>
      <c r="H301" s="27"/>
      <c r="I301" s="48"/>
      <c r="L301" s="190"/>
      <c r="M301" s="193"/>
      <c r="N301" s="27" t="s">
        <v>81</v>
      </c>
      <c r="O301" s="28">
        <v>4</v>
      </c>
      <c r="P301" s="28">
        <v>28</v>
      </c>
      <c r="Q301" s="27" t="s">
        <v>66</v>
      </c>
      <c r="R301" s="27"/>
      <c r="S301" s="48"/>
    </row>
    <row r="302" spans="2:19" x14ac:dyDescent="0.25">
      <c r="B302" s="190"/>
      <c r="C302" s="193"/>
      <c r="D302" s="27" t="s">
        <v>82</v>
      </c>
      <c r="E302" s="28">
        <v>5</v>
      </c>
      <c r="F302" s="28">
        <v>29</v>
      </c>
      <c r="G302" s="27" t="s">
        <v>66</v>
      </c>
      <c r="H302" s="27"/>
      <c r="I302" s="48"/>
      <c r="L302" s="190"/>
      <c r="M302" s="193"/>
      <c r="N302" s="27" t="s">
        <v>82</v>
      </c>
      <c r="O302" s="28">
        <v>5</v>
      </c>
      <c r="P302" s="28">
        <v>29</v>
      </c>
      <c r="Q302" s="27" t="s">
        <v>66</v>
      </c>
      <c r="R302" s="27"/>
      <c r="S302" s="48"/>
    </row>
    <row r="303" spans="2:19" ht="15.75" thickBot="1" x14ac:dyDescent="0.3">
      <c r="B303" s="190"/>
      <c r="C303" s="194"/>
      <c r="D303" s="27" t="s">
        <v>83</v>
      </c>
      <c r="E303" s="28">
        <v>6</v>
      </c>
      <c r="F303" s="28">
        <v>30</v>
      </c>
      <c r="G303" s="27" t="s">
        <v>66</v>
      </c>
      <c r="H303" s="27"/>
      <c r="I303" s="48"/>
      <c r="L303" s="190"/>
      <c r="M303" s="194"/>
      <c r="N303" s="27" t="s">
        <v>83</v>
      </c>
      <c r="O303" s="28">
        <v>6</v>
      </c>
      <c r="P303" s="28">
        <v>30</v>
      </c>
      <c r="Q303" s="27" t="s">
        <v>66</v>
      </c>
      <c r="R303" s="27"/>
      <c r="S303" s="48"/>
    </row>
    <row r="304" spans="2:19" x14ac:dyDescent="0.25">
      <c r="B304" s="190"/>
      <c r="C304" s="192" t="s">
        <v>84</v>
      </c>
      <c r="D304" s="27" t="s">
        <v>2</v>
      </c>
      <c r="E304" s="28">
        <v>1</v>
      </c>
      <c r="F304" s="28">
        <v>31</v>
      </c>
      <c r="G304" s="27" t="s">
        <v>66</v>
      </c>
      <c r="H304" s="27"/>
      <c r="I304" s="48"/>
      <c r="L304" s="190"/>
      <c r="M304" s="192" t="s">
        <v>84</v>
      </c>
      <c r="N304" s="27" t="s">
        <v>2</v>
      </c>
      <c r="O304" s="28">
        <v>1</v>
      </c>
      <c r="P304" s="28">
        <v>31</v>
      </c>
      <c r="Q304" s="27" t="s">
        <v>66</v>
      </c>
      <c r="R304" s="27"/>
      <c r="S304" s="48"/>
    </row>
    <row r="305" spans="2:19" x14ac:dyDescent="0.25">
      <c r="B305" s="190"/>
      <c r="C305" s="193"/>
      <c r="D305" s="27" t="s">
        <v>3</v>
      </c>
      <c r="E305" s="28">
        <v>2</v>
      </c>
      <c r="F305" s="28">
        <v>32</v>
      </c>
      <c r="G305" s="27" t="s">
        <v>66</v>
      </c>
      <c r="H305" s="27"/>
      <c r="I305" s="48"/>
      <c r="L305" s="190"/>
      <c r="M305" s="193"/>
      <c r="N305" s="27" t="s">
        <v>3</v>
      </c>
      <c r="O305" s="28">
        <v>2</v>
      </c>
      <c r="P305" s="28">
        <v>32</v>
      </c>
      <c r="Q305" s="27" t="s">
        <v>66</v>
      </c>
      <c r="R305" s="27"/>
      <c r="S305" s="48"/>
    </row>
    <row r="306" spans="2:19" x14ac:dyDescent="0.25">
      <c r="B306" s="190"/>
      <c r="C306" s="193"/>
      <c r="D306" s="27" t="s">
        <v>80</v>
      </c>
      <c r="E306" s="28">
        <v>3</v>
      </c>
      <c r="F306" s="28">
        <v>33</v>
      </c>
      <c r="G306" s="27" t="s">
        <v>66</v>
      </c>
      <c r="H306" s="27"/>
      <c r="I306" s="48"/>
      <c r="L306" s="190"/>
      <c r="M306" s="193"/>
      <c r="N306" s="27" t="s">
        <v>80</v>
      </c>
      <c r="O306" s="28">
        <v>3</v>
      </c>
      <c r="P306" s="28">
        <v>33</v>
      </c>
      <c r="Q306" s="27" t="s">
        <v>66</v>
      </c>
      <c r="R306" s="27"/>
      <c r="S306" s="48"/>
    </row>
    <row r="307" spans="2:19" x14ac:dyDescent="0.25">
      <c r="B307" s="190"/>
      <c r="C307" s="193"/>
      <c r="D307" s="27" t="s">
        <v>81</v>
      </c>
      <c r="E307" s="28">
        <v>4</v>
      </c>
      <c r="F307" s="28">
        <v>34</v>
      </c>
      <c r="G307" s="27" t="s">
        <v>66</v>
      </c>
      <c r="H307" s="27"/>
      <c r="I307" s="48"/>
      <c r="L307" s="190"/>
      <c r="M307" s="193"/>
      <c r="N307" s="27" t="s">
        <v>81</v>
      </c>
      <c r="O307" s="28">
        <v>4</v>
      </c>
      <c r="P307" s="28">
        <v>34</v>
      </c>
      <c r="Q307" s="27" t="s">
        <v>66</v>
      </c>
      <c r="R307" s="27"/>
      <c r="S307" s="48"/>
    </row>
    <row r="308" spans="2:19" x14ac:dyDescent="0.25">
      <c r="B308" s="190"/>
      <c r="C308" s="193"/>
      <c r="D308" s="27" t="s">
        <v>82</v>
      </c>
      <c r="E308" s="28">
        <v>5</v>
      </c>
      <c r="F308" s="28">
        <v>35</v>
      </c>
      <c r="G308" s="27" t="s">
        <v>66</v>
      </c>
      <c r="H308" s="27"/>
      <c r="I308" s="48"/>
      <c r="L308" s="190"/>
      <c r="M308" s="193"/>
      <c r="N308" s="27" t="s">
        <v>82</v>
      </c>
      <c r="O308" s="28">
        <v>5</v>
      </c>
      <c r="P308" s="28">
        <v>35</v>
      </c>
      <c r="Q308" s="27" t="s">
        <v>66</v>
      </c>
      <c r="R308" s="27"/>
      <c r="S308" s="48"/>
    </row>
    <row r="309" spans="2:19" ht="15.75" thickBot="1" x14ac:dyDescent="0.3">
      <c r="B309" s="191"/>
      <c r="C309" s="194"/>
      <c r="D309" s="27" t="s">
        <v>83</v>
      </c>
      <c r="E309" s="28">
        <v>6</v>
      </c>
      <c r="F309" s="28">
        <v>36</v>
      </c>
      <c r="G309" s="27" t="s">
        <v>66</v>
      </c>
      <c r="H309" s="27"/>
      <c r="I309" s="48"/>
      <c r="L309" s="191"/>
      <c r="M309" s="194"/>
      <c r="N309" s="27" t="s">
        <v>83</v>
      </c>
      <c r="O309" s="28">
        <v>6</v>
      </c>
      <c r="P309" s="28">
        <v>36</v>
      </c>
      <c r="Q309" s="27" t="s">
        <v>66</v>
      </c>
      <c r="R309" s="27"/>
      <c r="S309" s="48"/>
    </row>
    <row r="310" spans="2:19" ht="15" customHeight="1" x14ac:dyDescent="0.25">
      <c r="B310" s="183" t="s">
        <v>81</v>
      </c>
      <c r="C310" s="186" t="s">
        <v>77</v>
      </c>
      <c r="D310" s="29" t="s">
        <v>2</v>
      </c>
      <c r="E310" s="30">
        <v>1</v>
      </c>
      <c r="F310" s="30">
        <v>37</v>
      </c>
      <c r="G310" s="29" t="s">
        <v>66</v>
      </c>
      <c r="H310" s="31"/>
      <c r="I310" s="60"/>
      <c r="L310" s="183" t="s">
        <v>81</v>
      </c>
      <c r="M310" s="186" t="s">
        <v>77</v>
      </c>
      <c r="N310" s="29" t="s">
        <v>2</v>
      </c>
      <c r="O310" s="30">
        <v>1</v>
      </c>
      <c r="P310" s="30">
        <v>37</v>
      </c>
      <c r="Q310" s="29" t="s">
        <v>66</v>
      </c>
      <c r="R310" s="31"/>
      <c r="S310" s="60"/>
    </row>
    <row r="311" spans="2:19" x14ac:dyDescent="0.25">
      <c r="B311" s="184"/>
      <c r="C311" s="187"/>
      <c r="D311" s="29" t="s">
        <v>3</v>
      </c>
      <c r="E311" s="30">
        <v>2</v>
      </c>
      <c r="F311" s="30">
        <v>38</v>
      </c>
      <c r="G311" s="29" t="s">
        <v>66</v>
      </c>
      <c r="H311" s="31"/>
      <c r="I311" s="60"/>
      <c r="L311" s="184"/>
      <c r="M311" s="187"/>
      <c r="N311" s="29" t="s">
        <v>3</v>
      </c>
      <c r="O311" s="30">
        <v>2</v>
      </c>
      <c r="P311" s="30">
        <v>38</v>
      </c>
      <c r="Q311" s="29" t="s">
        <v>66</v>
      </c>
      <c r="R311" s="31"/>
      <c r="S311" s="60"/>
    </row>
    <row r="312" spans="2:19" x14ac:dyDescent="0.25">
      <c r="B312" s="184"/>
      <c r="C312" s="187"/>
      <c r="D312" s="29" t="s">
        <v>80</v>
      </c>
      <c r="E312" s="30">
        <v>3</v>
      </c>
      <c r="F312" s="30">
        <v>39</v>
      </c>
      <c r="G312" s="29" t="s">
        <v>66</v>
      </c>
      <c r="H312" s="31"/>
      <c r="I312" s="60"/>
      <c r="L312" s="184"/>
      <c r="M312" s="187"/>
      <c r="N312" s="29" t="s">
        <v>80</v>
      </c>
      <c r="O312" s="30">
        <v>3</v>
      </c>
      <c r="P312" s="30">
        <v>39</v>
      </c>
      <c r="Q312" s="29" t="s">
        <v>66</v>
      </c>
      <c r="R312" s="31"/>
      <c r="S312" s="60"/>
    </row>
    <row r="313" spans="2:19" x14ac:dyDescent="0.25">
      <c r="B313" s="184"/>
      <c r="C313" s="187"/>
      <c r="D313" s="29" t="s">
        <v>81</v>
      </c>
      <c r="E313" s="30">
        <v>4</v>
      </c>
      <c r="F313" s="30">
        <v>40</v>
      </c>
      <c r="G313" s="29" t="s">
        <v>66</v>
      </c>
      <c r="H313" s="31"/>
      <c r="I313" s="60"/>
      <c r="L313" s="184"/>
      <c r="M313" s="187"/>
      <c r="N313" s="29" t="s">
        <v>81</v>
      </c>
      <c r="O313" s="30">
        <v>4</v>
      </c>
      <c r="P313" s="30">
        <v>40</v>
      </c>
      <c r="Q313" s="29" t="s">
        <v>66</v>
      </c>
      <c r="R313" s="31"/>
      <c r="S313" s="60"/>
    </row>
    <row r="314" spans="2:19" x14ac:dyDescent="0.25">
      <c r="B314" s="184"/>
      <c r="C314" s="187"/>
      <c r="D314" s="29" t="s">
        <v>82</v>
      </c>
      <c r="E314" s="30">
        <v>5</v>
      </c>
      <c r="F314" s="30">
        <v>41</v>
      </c>
      <c r="G314" s="29" t="s">
        <v>66</v>
      </c>
      <c r="H314" s="31"/>
      <c r="I314" s="60"/>
      <c r="L314" s="184"/>
      <c r="M314" s="187"/>
      <c r="N314" s="29" t="s">
        <v>82</v>
      </c>
      <c r="O314" s="30">
        <v>5</v>
      </c>
      <c r="P314" s="30">
        <v>41</v>
      </c>
      <c r="Q314" s="29" t="s">
        <v>66</v>
      </c>
      <c r="R314" s="31"/>
      <c r="S314" s="60"/>
    </row>
    <row r="315" spans="2:19" ht="15.75" thickBot="1" x14ac:dyDescent="0.3">
      <c r="B315" s="184"/>
      <c r="C315" s="188"/>
      <c r="D315" s="29" t="s">
        <v>83</v>
      </c>
      <c r="E315" s="30">
        <v>6</v>
      </c>
      <c r="F315" s="30">
        <v>42</v>
      </c>
      <c r="G315" s="29" t="s">
        <v>66</v>
      </c>
      <c r="H315" s="31"/>
      <c r="I315" s="60"/>
      <c r="L315" s="184"/>
      <c r="M315" s="188"/>
      <c r="N315" s="29" t="s">
        <v>83</v>
      </c>
      <c r="O315" s="30">
        <v>6</v>
      </c>
      <c r="P315" s="30">
        <v>42</v>
      </c>
      <c r="Q315" s="29" t="s">
        <v>66</v>
      </c>
      <c r="R315" s="31"/>
      <c r="S315" s="60"/>
    </row>
    <row r="316" spans="2:19" x14ac:dyDescent="0.25">
      <c r="B316" s="184"/>
      <c r="C316" s="186" t="s">
        <v>84</v>
      </c>
      <c r="D316" s="29" t="s">
        <v>2</v>
      </c>
      <c r="E316" s="30">
        <v>1</v>
      </c>
      <c r="F316" s="30">
        <v>43</v>
      </c>
      <c r="G316" s="29" t="s">
        <v>66</v>
      </c>
      <c r="H316" s="29"/>
      <c r="I316" s="49"/>
      <c r="L316" s="184"/>
      <c r="M316" s="186" t="s">
        <v>84</v>
      </c>
      <c r="N316" s="29" t="s">
        <v>2</v>
      </c>
      <c r="O316" s="30">
        <v>1</v>
      </c>
      <c r="P316" s="30">
        <v>43</v>
      </c>
      <c r="Q316" s="29" t="s">
        <v>66</v>
      </c>
      <c r="R316" s="29"/>
      <c r="S316" s="49"/>
    </row>
    <row r="317" spans="2:19" x14ac:dyDescent="0.25">
      <c r="B317" s="184"/>
      <c r="C317" s="187"/>
      <c r="D317" s="29" t="s">
        <v>3</v>
      </c>
      <c r="E317" s="30">
        <v>2</v>
      </c>
      <c r="F317" s="30">
        <v>44</v>
      </c>
      <c r="G317" s="29" t="s">
        <v>66</v>
      </c>
      <c r="H317" s="29"/>
      <c r="I317" s="49"/>
      <c r="L317" s="184"/>
      <c r="M317" s="187"/>
      <c r="N317" s="29" t="s">
        <v>3</v>
      </c>
      <c r="O317" s="30">
        <v>2</v>
      </c>
      <c r="P317" s="30">
        <v>44</v>
      </c>
      <c r="Q317" s="29" t="s">
        <v>66</v>
      </c>
      <c r="R317" s="29"/>
      <c r="S317" s="49"/>
    </row>
    <row r="318" spans="2:19" x14ac:dyDescent="0.25">
      <c r="B318" s="184"/>
      <c r="C318" s="187"/>
      <c r="D318" s="29" t="s">
        <v>80</v>
      </c>
      <c r="E318" s="30">
        <v>3</v>
      </c>
      <c r="F318" s="30">
        <v>45</v>
      </c>
      <c r="G318" s="29" t="s">
        <v>66</v>
      </c>
      <c r="H318" s="29"/>
      <c r="I318" s="49"/>
      <c r="L318" s="184"/>
      <c r="M318" s="187"/>
      <c r="N318" s="29" t="s">
        <v>80</v>
      </c>
      <c r="O318" s="30">
        <v>3</v>
      </c>
      <c r="P318" s="30">
        <v>45</v>
      </c>
      <c r="Q318" s="29" t="s">
        <v>66</v>
      </c>
      <c r="R318" s="29"/>
      <c r="S318" s="49"/>
    </row>
    <row r="319" spans="2:19" x14ac:dyDescent="0.25">
      <c r="B319" s="184"/>
      <c r="C319" s="187"/>
      <c r="D319" s="29" t="s">
        <v>81</v>
      </c>
      <c r="E319" s="30">
        <v>4</v>
      </c>
      <c r="F319" s="30">
        <v>46</v>
      </c>
      <c r="G319" s="29" t="s">
        <v>66</v>
      </c>
      <c r="H319" s="29"/>
      <c r="I319" s="49"/>
      <c r="L319" s="184"/>
      <c r="M319" s="187"/>
      <c r="N319" s="29" t="s">
        <v>81</v>
      </c>
      <c r="O319" s="30">
        <v>4</v>
      </c>
      <c r="P319" s="30">
        <v>46</v>
      </c>
      <c r="Q319" s="29" t="s">
        <v>66</v>
      </c>
      <c r="R319" s="29"/>
      <c r="S319" s="49"/>
    </row>
    <row r="320" spans="2:19" x14ac:dyDescent="0.25">
      <c r="B320" s="184"/>
      <c r="C320" s="187"/>
      <c r="D320" s="29" t="s">
        <v>82</v>
      </c>
      <c r="E320" s="30">
        <v>5</v>
      </c>
      <c r="F320" s="30">
        <v>47</v>
      </c>
      <c r="G320" s="29" t="s">
        <v>66</v>
      </c>
      <c r="H320" s="29"/>
      <c r="I320" s="49"/>
      <c r="L320" s="184"/>
      <c r="M320" s="187"/>
      <c r="N320" s="29" t="s">
        <v>82</v>
      </c>
      <c r="O320" s="30">
        <v>5</v>
      </c>
      <c r="P320" s="30">
        <v>47</v>
      </c>
      <c r="Q320" s="29" t="s">
        <v>66</v>
      </c>
      <c r="R320" s="29"/>
      <c r="S320" s="49"/>
    </row>
    <row r="321" spans="2:19" ht="15.75" thickBot="1" x14ac:dyDescent="0.3">
      <c r="B321" s="185"/>
      <c r="C321" s="188"/>
      <c r="D321" s="29" t="s">
        <v>83</v>
      </c>
      <c r="E321" s="30">
        <v>6</v>
      </c>
      <c r="F321" s="30">
        <v>48</v>
      </c>
      <c r="G321" s="29" t="s">
        <v>66</v>
      </c>
      <c r="H321" s="29"/>
      <c r="I321" s="49"/>
      <c r="L321" s="185"/>
      <c r="M321" s="188"/>
      <c r="N321" s="29" t="s">
        <v>83</v>
      </c>
      <c r="O321" s="30">
        <v>6</v>
      </c>
      <c r="P321" s="30">
        <v>48</v>
      </c>
      <c r="Q321" s="29" t="s">
        <v>66</v>
      </c>
      <c r="R321" s="29"/>
      <c r="S321" s="49"/>
    </row>
    <row r="322" spans="2:19" ht="15.75" thickBot="1" x14ac:dyDescent="0.3"/>
    <row r="323" spans="2:19" ht="15.75" thickBot="1" x14ac:dyDescent="0.3">
      <c r="B323" s="171" t="s">
        <v>311</v>
      </c>
      <c r="C323" s="172"/>
      <c r="D323" s="172"/>
      <c r="E323" s="172"/>
      <c r="F323" s="172"/>
      <c r="G323" s="172"/>
      <c r="H323" s="172"/>
      <c r="I323" s="173"/>
      <c r="L323" s="171" t="s">
        <v>312</v>
      </c>
      <c r="M323" s="172"/>
      <c r="N323" s="172"/>
      <c r="O323" s="172"/>
      <c r="P323" s="172"/>
      <c r="Q323" s="172"/>
      <c r="R323" s="172"/>
      <c r="S323" s="173"/>
    </row>
    <row r="325" spans="2:19" ht="26.25" thickBot="1" x14ac:dyDescent="0.3">
      <c r="B325" s="15" t="s">
        <v>70</v>
      </c>
      <c r="C325" s="16" t="s">
        <v>71</v>
      </c>
      <c r="D325" s="15" t="s">
        <v>72</v>
      </c>
      <c r="E325" s="17" t="s">
        <v>73</v>
      </c>
      <c r="F325" s="17" t="s">
        <v>74</v>
      </c>
      <c r="G325" s="15" t="s">
        <v>75</v>
      </c>
      <c r="H325" s="15" t="s">
        <v>55</v>
      </c>
      <c r="I325" s="15" t="s">
        <v>76</v>
      </c>
      <c r="L325" s="15" t="s">
        <v>70</v>
      </c>
      <c r="M325" s="16" t="s">
        <v>71</v>
      </c>
      <c r="N325" s="15" t="s">
        <v>72</v>
      </c>
      <c r="O325" s="17" t="s">
        <v>73</v>
      </c>
      <c r="P325" s="17" t="s">
        <v>74</v>
      </c>
      <c r="Q325" s="15" t="s">
        <v>75</v>
      </c>
      <c r="R325" s="15" t="s">
        <v>55</v>
      </c>
      <c r="S325" s="15" t="s">
        <v>76</v>
      </c>
    </row>
    <row r="326" spans="2:19" ht="15" customHeight="1" x14ac:dyDescent="0.25">
      <c r="B326" s="174" t="s">
        <v>2</v>
      </c>
      <c r="C326" s="168" t="s">
        <v>77</v>
      </c>
      <c r="D326" s="18" t="s">
        <v>2</v>
      </c>
      <c r="E326" s="19">
        <v>1</v>
      </c>
      <c r="F326" s="19">
        <v>1</v>
      </c>
      <c r="G326" s="18" t="s">
        <v>78</v>
      </c>
      <c r="H326" s="156" t="s">
        <v>300</v>
      </c>
      <c r="I326" s="165" t="s">
        <v>180</v>
      </c>
      <c r="L326" s="174" t="s">
        <v>2</v>
      </c>
      <c r="M326" s="168" t="s">
        <v>77</v>
      </c>
      <c r="N326" s="18" t="s">
        <v>2</v>
      </c>
      <c r="O326" s="19">
        <v>1</v>
      </c>
      <c r="P326" s="19">
        <v>1</v>
      </c>
      <c r="Q326" s="18" t="s">
        <v>78</v>
      </c>
      <c r="R326" s="156" t="s">
        <v>300</v>
      </c>
      <c r="S326" s="165" t="s">
        <v>182</v>
      </c>
    </row>
    <row r="327" spans="2:19" x14ac:dyDescent="0.25">
      <c r="B327" s="175"/>
      <c r="C327" s="169"/>
      <c r="D327" s="18" t="s">
        <v>3</v>
      </c>
      <c r="E327" s="19">
        <v>2</v>
      </c>
      <c r="F327" s="19">
        <v>2</v>
      </c>
      <c r="G327" s="18" t="s">
        <v>78</v>
      </c>
      <c r="H327" s="157"/>
      <c r="I327" s="166"/>
      <c r="L327" s="175"/>
      <c r="M327" s="169"/>
      <c r="N327" s="18" t="s">
        <v>3</v>
      </c>
      <c r="O327" s="19">
        <v>2</v>
      </c>
      <c r="P327" s="19">
        <v>2</v>
      </c>
      <c r="Q327" s="18" t="s">
        <v>78</v>
      </c>
      <c r="R327" s="157"/>
      <c r="S327" s="166"/>
    </row>
    <row r="328" spans="2:19" x14ac:dyDescent="0.25">
      <c r="B328" s="175"/>
      <c r="C328" s="169"/>
      <c r="D328" s="18" t="s">
        <v>80</v>
      </c>
      <c r="E328" s="20">
        <v>3</v>
      </c>
      <c r="F328" s="20">
        <v>3</v>
      </c>
      <c r="G328" s="18" t="s">
        <v>66</v>
      </c>
      <c r="H328" s="157"/>
      <c r="I328" s="166"/>
      <c r="L328" s="175"/>
      <c r="M328" s="169"/>
      <c r="N328" s="18" t="s">
        <v>80</v>
      </c>
      <c r="O328" s="20">
        <v>3</v>
      </c>
      <c r="P328" s="20">
        <v>3</v>
      </c>
      <c r="Q328" s="18" t="s">
        <v>66</v>
      </c>
      <c r="R328" s="157"/>
      <c r="S328" s="166"/>
    </row>
    <row r="329" spans="2:19" x14ac:dyDescent="0.25">
      <c r="B329" s="175"/>
      <c r="C329" s="169"/>
      <c r="D329" s="18" t="s">
        <v>81</v>
      </c>
      <c r="E329" s="20">
        <v>4</v>
      </c>
      <c r="F329" s="20">
        <v>4</v>
      </c>
      <c r="G329" s="18" t="s">
        <v>66</v>
      </c>
      <c r="H329" s="157"/>
      <c r="I329" s="166"/>
      <c r="L329" s="175"/>
      <c r="M329" s="169"/>
      <c r="N329" s="18" t="s">
        <v>81</v>
      </c>
      <c r="O329" s="20">
        <v>4</v>
      </c>
      <c r="P329" s="20">
        <v>4</v>
      </c>
      <c r="Q329" s="18" t="s">
        <v>66</v>
      </c>
      <c r="R329" s="157"/>
      <c r="S329" s="166"/>
    </row>
    <row r="330" spans="2:19" x14ac:dyDescent="0.25">
      <c r="B330" s="175"/>
      <c r="C330" s="169"/>
      <c r="D330" s="18" t="s">
        <v>82</v>
      </c>
      <c r="E330" s="20">
        <v>5</v>
      </c>
      <c r="F330" s="20">
        <v>5</v>
      </c>
      <c r="G330" s="18" t="s">
        <v>66</v>
      </c>
      <c r="H330" s="157"/>
      <c r="I330" s="166"/>
      <c r="L330" s="175"/>
      <c r="M330" s="169"/>
      <c r="N330" s="18" t="s">
        <v>82</v>
      </c>
      <c r="O330" s="20">
        <v>5</v>
      </c>
      <c r="P330" s="20">
        <v>5</v>
      </c>
      <c r="Q330" s="18" t="s">
        <v>66</v>
      </c>
      <c r="R330" s="157"/>
      <c r="S330" s="166"/>
    </row>
    <row r="331" spans="2:19" ht="15.75" thickBot="1" x14ac:dyDescent="0.3">
      <c r="B331" s="175"/>
      <c r="C331" s="170"/>
      <c r="D331" s="18" t="s">
        <v>83</v>
      </c>
      <c r="E331" s="20">
        <v>6</v>
      </c>
      <c r="F331" s="20">
        <v>6</v>
      </c>
      <c r="G331" s="18" t="s">
        <v>66</v>
      </c>
      <c r="H331" s="158"/>
      <c r="I331" s="167"/>
      <c r="L331" s="175"/>
      <c r="M331" s="170"/>
      <c r="N331" s="18" t="s">
        <v>83</v>
      </c>
      <c r="O331" s="20">
        <v>6</v>
      </c>
      <c r="P331" s="20">
        <v>6</v>
      </c>
      <c r="Q331" s="18" t="s">
        <v>66</v>
      </c>
      <c r="R331" s="158"/>
      <c r="S331" s="167"/>
    </row>
    <row r="332" spans="2:19" x14ac:dyDescent="0.25">
      <c r="B332" s="175"/>
      <c r="C332" s="168" t="s">
        <v>84</v>
      </c>
      <c r="D332" s="18" t="s">
        <v>2</v>
      </c>
      <c r="E332" s="19">
        <v>1</v>
      </c>
      <c r="F332" s="19">
        <v>7</v>
      </c>
      <c r="G332" s="18" t="s">
        <v>66</v>
      </c>
      <c r="H332" s="32"/>
      <c r="I332" s="50"/>
      <c r="L332" s="175"/>
      <c r="M332" s="168" t="s">
        <v>84</v>
      </c>
      <c r="N332" s="18" t="s">
        <v>2</v>
      </c>
      <c r="O332" s="19">
        <v>1</v>
      </c>
      <c r="P332" s="19">
        <v>7</v>
      </c>
      <c r="Q332" s="18" t="s">
        <v>66</v>
      </c>
      <c r="R332" s="32"/>
      <c r="S332" s="50"/>
    </row>
    <row r="333" spans="2:19" x14ac:dyDescent="0.25">
      <c r="B333" s="175"/>
      <c r="C333" s="169"/>
      <c r="D333" s="18" t="s">
        <v>3</v>
      </c>
      <c r="E333" s="19">
        <v>2</v>
      </c>
      <c r="F333" s="19">
        <v>8</v>
      </c>
      <c r="G333" s="18" t="s">
        <v>66</v>
      </c>
      <c r="H333" s="32"/>
      <c r="I333" s="50"/>
      <c r="L333" s="175"/>
      <c r="M333" s="169"/>
      <c r="N333" s="18" t="s">
        <v>3</v>
      </c>
      <c r="O333" s="19">
        <v>2</v>
      </c>
      <c r="P333" s="19">
        <v>8</v>
      </c>
      <c r="Q333" s="18" t="s">
        <v>66</v>
      </c>
      <c r="R333" s="32"/>
      <c r="S333" s="50"/>
    </row>
    <row r="334" spans="2:19" x14ac:dyDescent="0.25">
      <c r="B334" s="175"/>
      <c r="C334" s="169"/>
      <c r="D334" s="18" t="s">
        <v>80</v>
      </c>
      <c r="E334" s="20">
        <v>3</v>
      </c>
      <c r="F334" s="20">
        <v>9</v>
      </c>
      <c r="G334" s="18" t="s">
        <v>66</v>
      </c>
      <c r="H334" s="32"/>
      <c r="I334" s="50"/>
      <c r="L334" s="175"/>
      <c r="M334" s="169"/>
      <c r="N334" s="18" t="s">
        <v>80</v>
      </c>
      <c r="O334" s="20">
        <v>3</v>
      </c>
      <c r="P334" s="20">
        <v>9</v>
      </c>
      <c r="Q334" s="18" t="s">
        <v>66</v>
      </c>
      <c r="R334" s="32"/>
      <c r="S334" s="50"/>
    </row>
    <row r="335" spans="2:19" x14ac:dyDescent="0.25">
      <c r="B335" s="175"/>
      <c r="C335" s="169"/>
      <c r="D335" s="18" t="s">
        <v>81</v>
      </c>
      <c r="E335" s="20">
        <v>4</v>
      </c>
      <c r="F335" s="20">
        <v>10</v>
      </c>
      <c r="G335" s="18" t="s">
        <v>66</v>
      </c>
      <c r="H335" s="32"/>
      <c r="I335" s="50"/>
      <c r="L335" s="175"/>
      <c r="M335" s="169"/>
      <c r="N335" s="18" t="s">
        <v>81</v>
      </c>
      <c r="O335" s="20">
        <v>4</v>
      </c>
      <c r="P335" s="20">
        <v>10</v>
      </c>
      <c r="Q335" s="18" t="s">
        <v>66</v>
      </c>
      <c r="R335" s="32"/>
      <c r="S335" s="50"/>
    </row>
    <row r="336" spans="2:19" x14ac:dyDescent="0.25">
      <c r="B336" s="175"/>
      <c r="C336" s="169"/>
      <c r="D336" s="18" t="s">
        <v>82</v>
      </c>
      <c r="E336" s="20">
        <v>5</v>
      </c>
      <c r="F336" s="20">
        <v>11</v>
      </c>
      <c r="G336" s="18" t="s">
        <v>66</v>
      </c>
      <c r="H336" s="32"/>
      <c r="I336" s="50"/>
      <c r="L336" s="175"/>
      <c r="M336" s="169"/>
      <c r="N336" s="18" t="s">
        <v>82</v>
      </c>
      <c r="O336" s="20">
        <v>5</v>
      </c>
      <c r="P336" s="20">
        <v>11</v>
      </c>
      <c r="Q336" s="18" t="s">
        <v>66</v>
      </c>
      <c r="R336" s="32"/>
      <c r="S336" s="50"/>
    </row>
    <row r="337" spans="2:19" ht="15.75" thickBot="1" x14ac:dyDescent="0.3">
      <c r="B337" s="176"/>
      <c r="C337" s="170"/>
      <c r="D337" s="18" t="s">
        <v>83</v>
      </c>
      <c r="E337" s="20">
        <v>6</v>
      </c>
      <c r="F337" s="20">
        <v>12</v>
      </c>
      <c r="G337" s="18" t="s">
        <v>66</v>
      </c>
      <c r="H337" s="32"/>
      <c r="I337" s="50"/>
      <c r="L337" s="176"/>
      <c r="M337" s="170"/>
      <c r="N337" s="18" t="s">
        <v>83</v>
      </c>
      <c r="O337" s="20">
        <v>6</v>
      </c>
      <c r="P337" s="20">
        <v>12</v>
      </c>
      <c r="Q337" s="18" t="s">
        <v>66</v>
      </c>
      <c r="R337" s="32"/>
      <c r="S337" s="50"/>
    </row>
    <row r="338" spans="2:19" x14ac:dyDescent="0.25">
      <c r="B338" s="180" t="s">
        <v>3</v>
      </c>
      <c r="C338" s="177" t="s">
        <v>77</v>
      </c>
      <c r="D338" s="21" t="s">
        <v>2</v>
      </c>
      <c r="E338" s="22">
        <v>1</v>
      </c>
      <c r="F338" s="22">
        <v>13</v>
      </c>
      <c r="G338" s="21" t="s">
        <v>66</v>
      </c>
      <c r="H338" s="21"/>
      <c r="I338" s="51"/>
      <c r="L338" s="180" t="s">
        <v>3</v>
      </c>
      <c r="M338" s="177" t="s">
        <v>77</v>
      </c>
      <c r="N338" s="21" t="s">
        <v>2</v>
      </c>
      <c r="O338" s="22">
        <v>1</v>
      </c>
      <c r="P338" s="22">
        <v>13</v>
      </c>
      <c r="Q338" s="21" t="s">
        <v>66</v>
      </c>
      <c r="R338" s="21"/>
      <c r="S338" s="51"/>
    </row>
    <row r="339" spans="2:19" x14ac:dyDescent="0.25">
      <c r="B339" s="181"/>
      <c r="C339" s="178"/>
      <c r="D339" s="23" t="s">
        <v>3</v>
      </c>
      <c r="E339" s="24">
        <v>2</v>
      </c>
      <c r="F339" s="24">
        <v>14</v>
      </c>
      <c r="G339" s="23" t="s">
        <v>66</v>
      </c>
      <c r="H339" s="23"/>
      <c r="I339" s="47"/>
      <c r="L339" s="181"/>
      <c r="M339" s="178"/>
      <c r="N339" s="23" t="s">
        <v>3</v>
      </c>
      <c r="O339" s="24">
        <v>2</v>
      </c>
      <c r="P339" s="24">
        <v>14</v>
      </c>
      <c r="Q339" s="23" t="s">
        <v>66</v>
      </c>
      <c r="R339" s="23"/>
      <c r="S339" s="47"/>
    </row>
    <row r="340" spans="2:19" x14ac:dyDescent="0.25">
      <c r="B340" s="181"/>
      <c r="C340" s="178"/>
      <c r="D340" s="23" t="s">
        <v>80</v>
      </c>
      <c r="E340" s="24">
        <v>3</v>
      </c>
      <c r="F340" s="24">
        <v>15</v>
      </c>
      <c r="G340" s="23" t="s">
        <v>66</v>
      </c>
      <c r="H340" s="23"/>
      <c r="I340" s="47"/>
      <c r="L340" s="181"/>
      <c r="M340" s="178"/>
      <c r="N340" s="23" t="s">
        <v>80</v>
      </c>
      <c r="O340" s="24">
        <v>3</v>
      </c>
      <c r="P340" s="24">
        <v>15</v>
      </c>
      <c r="Q340" s="23" t="s">
        <v>66</v>
      </c>
      <c r="R340" s="23"/>
      <c r="S340" s="47"/>
    </row>
    <row r="341" spans="2:19" x14ac:dyDescent="0.25">
      <c r="B341" s="181"/>
      <c r="C341" s="178"/>
      <c r="D341" s="23" t="s">
        <v>81</v>
      </c>
      <c r="E341" s="24">
        <v>4</v>
      </c>
      <c r="F341" s="24">
        <v>16</v>
      </c>
      <c r="G341" s="23" t="s">
        <v>66</v>
      </c>
      <c r="H341" s="23"/>
      <c r="I341" s="47"/>
      <c r="L341" s="181"/>
      <c r="M341" s="178"/>
      <c r="N341" s="23" t="s">
        <v>81</v>
      </c>
      <c r="O341" s="24">
        <v>4</v>
      </c>
      <c r="P341" s="24">
        <v>16</v>
      </c>
      <c r="Q341" s="23" t="s">
        <v>66</v>
      </c>
      <c r="R341" s="23"/>
      <c r="S341" s="47"/>
    </row>
    <row r="342" spans="2:19" x14ac:dyDescent="0.25">
      <c r="B342" s="181"/>
      <c r="C342" s="178"/>
      <c r="D342" s="23" t="s">
        <v>82</v>
      </c>
      <c r="E342" s="24">
        <v>5</v>
      </c>
      <c r="F342" s="24">
        <v>17</v>
      </c>
      <c r="G342" s="23" t="s">
        <v>66</v>
      </c>
      <c r="H342" s="23"/>
      <c r="I342" s="47"/>
      <c r="L342" s="181"/>
      <c r="M342" s="178"/>
      <c r="N342" s="23" t="s">
        <v>82</v>
      </c>
      <c r="O342" s="24">
        <v>5</v>
      </c>
      <c r="P342" s="24">
        <v>17</v>
      </c>
      <c r="Q342" s="23" t="s">
        <v>66</v>
      </c>
      <c r="R342" s="23"/>
      <c r="S342" s="47"/>
    </row>
    <row r="343" spans="2:19" ht="15.75" thickBot="1" x14ac:dyDescent="0.3">
      <c r="B343" s="181"/>
      <c r="C343" s="179"/>
      <c r="D343" s="23" t="s">
        <v>83</v>
      </c>
      <c r="E343" s="24">
        <v>6</v>
      </c>
      <c r="F343" s="24">
        <v>18</v>
      </c>
      <c r="G343" s="23" t="s">
        <v>66</v>
      </c>
      <c r="H343" s="23"/>
      <c r="I343" s="47"/>
      <c r="L343" s="181"/>
      <c r="M343" s="179"/>
      <c r="N343" s="23" t="s">
        <v>83</v>
      </c>
      <c r="O343" s="24">
        <v>6</v>
      </c>
      <c r="P343" s="24">
        <v>18</v>
      </c>
      <c r="Q343" s="23" t="s">
        <v>66</v>
      </c>
      <c r="R343" s="23"/>
      <c r="S343" s="47"/>
    </row>
    <row r="344" spans="2:19" x14ac:dyDescent="0.25">
      <c r="B344" s="181"/>
      <c r="C344" s="177" t="s">
        <v>84</v>
      </c>
      <c r="D344" s="23" t="s">
        <v>2</v>
      </c>
      <c r="E344" s="24">
        <v>1</v>
      </c>
      <c r="F344" s="24">
        <v>19</v>
      </c>
      <c r="G344" s="23" t="s">
        <v>66</v>
      </c>
      <c r="H344" s="23"/>
      <c r="I344" s="47"/>
      <c r="L344" s="181"/>
      <c r="M344" s="177" t="s">
        <v>84</v>
      </c>
      <c r="N344" s="23" t="s">
        <v>2</v>
      </c>
      <c r="O344" s="24">
        <v>1</v>
      </c>
      <c r="P344" s="24">
        <v>19</v>
      </c>
      <c r="Q344" s="23" t="s">
        <v>66</v>
      </c>
      <c r="R344" s="23"/>
      <c r="S344" s="47"/>
    </row>
    <row r="345" spans="2:19" x14ac:dyDescent="0.25">
      <c r="B345" s="181"/>
      <c r="C345" s="178"/>
      <c r="D345" s="23" t="s">
        <v>3</v>
      </c>
      <c r="E345" s="24">
        <v>2</v>
      </c>
      <c r="F345" s="24">
        <v>20</v>
      </c>
      <c r="G345" s="23" t="s">
        <v>66</v>
      </c>
      <c r="H345" s="23"/>
      <c r="I345" s="47"/>
      <c r="L345" s="181"/>
      <c r="M345" s="178"/>
      <c r="N345" s="23" t="s">
        <v>3</v>
      </c>
      <c r="O345" s="24">
        <v>2</v>
      </c>
      <c r="P345" s="24">
        <v>20</v>
      </c>
      <c r="Q345" s="23" t="s">
        <v>66</v>
      </c>
      <c r="R345" s="23"/>
      <c r="S345" s="47"/>
    </row>
    <row r="346" spans="2:19" x14ac:dyDescent="0.25">
      <c r="B346" s="181"/>
      <c r="C346" s="178"/>
      <c r="D346" s="23" t="s">
        <v>80</v>
      </c>
      <c r="E346" s="26">
        <v>3</v>
      </c>
      <c r="F346" s="24">
        <v>21</v>
      </c>
      <c r="G346" s="23" t="s">
        <v>66</v>
      </c>
      <c r="H346" s="23"/>
      <c r="I346" s="47"/>
      <c r="L346" s="181"/>
      <c r="M346" s="178"/>
      <c r="N346" s="23" t="s">
        <v>80</v>
      </c>
      <c r="O346" s="26">
        <v>3</v>
      </c>
      <c r="P346" s="24">
        <v>21</v>
      </c>
      <c r="Q346" s="23" t="s">
        <v>66</v>
      </c>
      <c r="R346" s="23"/>
      <c r="S346" s="47"/>
    </row>
    <row r="347" spans="2:19" x14ac:dyDescent="0.25">
      <c r="B347" s="181"/>
      <c r="C347" s="178"/>
      <c r="D347" s="23" t="s">
        <v>81</v>
      </c>
      <c r="E347" s="24">
        <v>4</v>
      </c>
      <c r="F347" s="24">
        <v>22</v>
      </c>
      <c r="G347" s="23" t="s">
        <v>66</v>
      </c>
      <c r="H347" s="23"/>
      <c r="I347" s="47"/>
      <c r="L347" s="181"/>
      <c r="M347" s="178"/>
      <c r="N347" s="23" t="s">
        <v>81</v>
      </c>
      <c r="O347" s="24">
        <v>4</v>
      </c>
      <c r="P347" s="24">
        <v>22</v>
      </c>
      <c r="Q347" s="23" t="s">
        <v>66</v>
      </c>
      <c r="R347" s="23"/>
      <c r="S347" s="47"/>
    </row>
    <row r="348" spans="2:19" x14ac:dyDescent="0.25">
      <c r="B348" s="181"/>
      <c r="C348" s="178"/>
      <c r="D348" s="23" t="s">
        <v>82</v>
      </c>
      <c r="E348" s="24">
        <v>5</v>
      </c>
      <c r="F348" s="24">
        <v>23</v>
      </c>
      <c r="G348" s="23" t="s">
        <v>66</v>
      </c>
      <c r="H348" s="23"/>
      <c r="I348" s="47"/>
      <c r="L348" s="181"/>
      <c r="M348" s="178"/>
      <c r="N348" s="23" t="s">
        <v>82</v>
      </c>
      <c r="O348" s="24">
        <v>5</v>
      </c>
      <c r="P348" s="24">
        <v>23</v>
      </c>
      <c r="Q348" s="23" t="s">
        <v>66</v>
      </c>
      <c r="R348" s="23"/>
      <c r="S348" s="47"/>
    </row>
    <row r="349" spans="2:19" ht="15.75" thickBot="1" x14ac:dyDescent="0.3">
      <c r="B349" s="182"/>
      <c r="C349" s="179"/>
      <c r="D349" s="23" t="s">
        <v>83</v>
      </c>
      <c r="E349" s="24">
        <v>6</v>
      </c>
      <c r="F349" s="24">
        <v>24</v>
      </c>
      <c r="G349" s="23" t="s">
        <v>66</v>
      </c>
      <c r="H349" s="23"/>
      <c r="I349" s="47"/>
      <c r="L349" s="182"/>
      <c r="M349" s="179"/>
      <c r="N349" s="23" t="s">
        <v>83</v>
      </c>
      <c r="O349" s="24">
        <v>6</v>
      </c>
      <c r="P349" s="24">
        <v>24</v>
      </c>
      <c r="Q349" s="23" t="s">
        <v>66</v>
      </c>
      <c r="R349" s="23"/>
      <c r="S349" s="47"/>
    </row>
    <row r="350" spans="2:19" x14ac:dyDescent="0.25">
      <c r="B350" s="189" t="s">
        <v>80</v>
      </c>
      <c r="C350" s="192" t="s">
        <v>77</v>
      </c>
      <c r="D350" s="27" t="s">
        <v>2</v>
      </c>
      <c r="E350" s="28">
        <v>1</v>
      </c>
      <c r="F350" s="28">
        <v>25</v>
      </c>
      <c r="G350" s="27" t="s">
        <v>66</v>
      </c>
      <c r="H350" s="27"/>
      <c r="I350" s="48"/>
      <c r="L350" s="189" t="s">
        <v>80</v>
      </c>
      <c r="M350" s="192" t="s">
        <v>77</v>
      </c>
      <c r="N350" s="27" t="s">
        <v>2</v>
      </c>
      <c r="O350" s="28">
        <v>1</v>
      </c>
      <c r="P350" s="28">
        <v>25</v>
      </c>
      <c r="Q350" s="27" t="s">
        <v>66</v>
      </c>
      <c r="R350" s="27"/>
      <c r="S350" s="48"/>
    </row>
    <row r="351" spans="2:19" x14ac:dyDescent="0.25">
      <c r="B351" s="190"/>
      <c r="C351" s="193"/>
      <c r="D351" s="27" t="s">
        <v>3</v>
      </c>
      <c r="E351" s="28">
        <v>2</v>
      </c>
      <c r="F351" s="28">
        <v>26</v>
      </c>
      <c r="G351" s="27" t="s">
        <v>66</v>
      </c>
      <c r="H351" s="27"/>
      <c r="I351" s="48"/>
      <c r="L351" s="190"/>
      <c r="M351" s="193"/>
      <c r="N351" s="27" t="s">
        <v>3</v>
      </c>
      <c r="O351" s="28">
        <v>2</v>
      </c>
      <c r="P351" s="28">
        <v>26</v>
      </c>
      <c r="Q351" s="27" t="s">
        <v>66</v>
      </c>
      <c r="R351" s="27"/>
      <c r="S351" s="48"/>
    </row>
    <row r="352" spans="2:19" x14ac:dyDescent="0.25">
      <c r="B352" s="190"/>
      <c r="C352" s="193"/>
      <c r="D352" s="27" t="s">
        <v>80</v>
      </c>
      <c r="E352" s="28">
        <v>3</v>
      </c>
      <c r="F352" s="28">
        <v>27</v>
      </c>
      <c r="G352" s="27" t="s">
        <v>66</v>
      </c>
      <c r="H352" s="27"/>
      <c r="I352" s="48"/>
      <c r="L352" s="190"/>
      <c r="M352" s="193"/>
      <c r="N352" s="27" t="s">
        <v>80</v>
      </c>
      <c r="O352" s="28">
        <v>3</v>
      </c>
      <c r="P352" s="28">
        <v>27</v>
      </c>
      <c r="Q352" s="27" t="s">
        <v>66</v>
      </c>
      <c r="R352" s="27"/>
      <c r="S352" s="48"/>
    </row>
    <row r="353" spans="2:19" x14ac:dyDescent="0.25">
      <c r="B353" s="190"/>
      <c r="C353" s="193"/>
      <c r="D353" s="27" t="s">
        <v>81</v>
      </c>
      <c r="E353" s="28">
        <v>4</v>
      </c>
      <c r="F353" s="28">
        <v>28</v>
      </c>
      <c r="G353" s="27" t="s">
        <v>66</v>
      </c>
      <c r="H353" s="27"/>
      <c r="I353" s="48"/>
      <c r="L353" s="190"/>
      <c r="M353" s="193"/>
      <c r="N353" s="27" t="s">
        <v>81</v>
      </c>
      <c r="O353" s="28">
        <v>4</v>
      </c>
      <c r="P353" s="28">
        <v>28</v>
      </c>
      <c r="Q353" s="27" t="s">
        <v>66</v>
      </c>
      <c r="R353" s="27"/>
      <c r="S353" s="48"/>
    </row>
    <row r="354" spans="2:19" x14ac:dyDescent="0.25">
      <c r="B354" s="190"/>
      <c r="C354" s="193"/>
      <c r="D354" s="27" t="s">
        <v>82</v>
      </c>
      <c r="E354" s="28">
        <v>5</v>
      </c>
      <c r="F354" s="28">
        <v>29</v>
      </c>
      <c r="G354" s="27" t="s">
        <v>66</v>
      </c>
      <c r="H354" s="27"/>
      <c r="I354" s="48"/>
      <c r="L354" s="190"/>
      <c r="M354" s="193"/>
      <c r="N354" s="27" t="s">
        <v>82</v>
      </c>
      <c r="O354" s="28">
        <v>5</v>
      </c>
      <c r="P354" s="28">
        <v>29</v>
      </c>
      <c r="Q354" s="27" t="s">
        <v>66</v>
      </c>
      <c r="R354" s="27"/>
      <c r="S354" s="48"/>
    </row>
    <row r="355" spans="2:19" ht="15.75" thickBot="1" x14ac:dyDescent="0.3">
      <c r="B355" s="190"/>
      <c r="C355" s="194"/>
      <c r="D355" s="27" t="s">
        <v>83</v>
      </c>
      <c r="E355" s="28">
        <v>6</v>
      </c>
      <c r="F355" s="28">
        <v>30</v>
      </c>
      <c r="G355" s="27" t="s">
        <v>66</v>
      </c>
      <c r="H355" s="27"/>
      <c r="I355" s="48"/>
      <c r="L355" s="190"/>
      <c r="M355" s="194"/>
      <c r="N355" s="27" t="s">
        <v>83</v>
      </c>
      <c r="O355" s="28">
        <v>6</v>
      </c>
      <c r="P355" s="28">
        <v>30</v>
      </c>
      <c r="Q355" s="27" t="s">
        <v>66</v>
      </c>
      <c r="R355" s="27"/>
      <c r="S355" s="48"/>
    </row>
    <row r="356" spans="2:19" x14ac:dyDescent="0.25">
      <c r="B356" s="190"/>
      <c r="C356" s="192" t="s">
        <v>84</v>
      </c>
      <c r="D356" s="27" t="s">
        <v>2</v>
      </c>
      <c r="E356" s="28">
        <v>1</v>
      </c>
      <c r="F356" s="28">
        <v>31</v>
      </c>
      <c r="G356" s="27" t="s">
        <v>66</v>
      </c>
      <c r="H356" s="27"/>
      <c r="I356" s="48"/>
      <c r="L356" s="190"/>
      <c r="M356" s="192" t="s">
        <v>84</v>
      </c>
      <c r="N356" s="27" t="s">
        <v>2</v>
      </c>
      <c r="O356" s="28">
        <v>1</v>
      </c>
      <c r="P356" s="28">
        <v>31</v>
      </c>
      <c r="Q356" s="27" t="s">
        <v>66</v>
      </c>
      <c r="R356" s="27"/>
      <c r="S356" s="48"/>
    </row>
    <row r="357" spans="2:19" x14ac:dyDescent="0.25">
      <c r="B357" s="190"/>
      <c r="C357" s="193"/>
      <c r="D357" s="27" t="s">
        <v>3</v>
      </c>
      <c r="E357" s="28">
        <v>2</v>
      </c>
      <c r="F357" s="28">
        <v>32</v>
      </c>
      <c r="G357" s="27" t="s">
        <v>66</v>
      </c>
      <c r="H357" s="27"/>
      <c r="I357" s="48"/>
      <c r="L357" s="190"/>
      <c r="M357" s="193"/>
      <c r="N357" s="27" t="s">
        <v>3</v>
      </c>
      <c r="O357" s="28">
        <v>2</v>
      </c>
      <c r="P357" s="28">
        <v>32</v>
      </c>
      <c r="Q357" s="27" t="s">
        <v>66</v>
      </c>
      <c r="R357" s="27"/>
      <c r="S357" s="48"/>
    </row>
    <row r="358" spans="2:19" x14ac:dyDescent="0.25">
      <c r="B358" s="190"/>
      <c r="C358" s="193"/>
      <c r="D358" s="27" t="s">
        <v>80</v>
      </c>
      <c r="E358" s="28">
        <v>3</v>
      </c>
      <c r="F358" s="28">
        <v>33</v>
      </c>
      <c r="G358" s="27" t="s">
        <v>66</v>
      </c>
      <c r="H358" s="27"/>
      <c r="I358" s="48"/>
      <c r="L358" s="190"/>
      <c r="M358" s="193"/>
      <c r="N358" s="27" t="s">
        <v>80</v>
      </c>
      <c r="O358" s="28">
        <v>3</v>
      </c>
      <c r="P358" s="28">
        <v>33</v>
      </c>
      <c r="Q358" s="27" t="s">
        <v>66</v>
      </c>
      <c r="R358" s="27"/>
      <c r="S358" s="48"/>
    </row>
    <row r="359" spans="2:19" x14ac:dyDescent="0.25">
      <c r="B359" s="190"/>
      <c r="C359" s="193"/>
      <c r="D359" s="27" t="s">
        <v>81</v>
      </c>
      <c r="E359" s="28">
        <v>4</v>
      </c>
      <c r="F359" s="28">
        <v>34</v>
      </c>
      <c r="G359" s="27" t="s">
        <v>66</v>
      </c>
      <c r="H359" s="27"/>
      <c r="I359" s="48"/>
      <c r="L359" s="190"/>
      <c r="M359" s="193"/>
      <c r="N359" s="27" t="s">
        <v>81</v>
      </c>
      <c r="O359" s="28">
        <v>4</v>
      </c>
      <c r="P359" s="28">
        <v>34</v>
      </c>
      <c r="Q359" s="27" t="s">
        <v>66</v>
      </c>
      <c r="R359" s="27"/>
      <c r="S359" s="48"/>
    </row>
    <row r="360" spans="2:19" x14ac:dyDescent="0.25">
      <c r="B360" s="190"/>
      <c r="C360" s="193"/>
      <c r="D360" s="27" t="s">
        <v>82</v>
      </c>
      <c r="E360" s="28">
        <v>5</v>
      </c>
      <c r="F360" s="28">
        <v>35</v>
      </c>
      <c r="G360" s="27" t="s">
        <v>66</v>
      </c>
      <c r="H360" s="27"/>
      <c r="I360" s="48"/>
      <c r="L360" s="190"/>
      <c r="M360" s="193"/>
      <c r="N360" s="27" t="s">
        <v>82</v>
      </c>
      <c r="O360" s="28">
        <v>5</v>
      </c>
      <c r="P360" s="28">
        <v>35</v>
      </c>
      <c r="Q360" s="27" t="s">
        <v>66</v>
      </c>
      <c r="R360" s="27"/>
      <c r="S360" s="48"/>
    </row>
    <row r="361" spans="2:19" ht="15.75" thickBot="1" x14ac:dyDescent="0.3">
      <c r="B361" s="191"/>
      <c r="C361" s="194"/>
      <c r="D361" s="27" t="s">
        <v>83</v>
      </c>
      <c r="E361" s="28">
        <v>6</v>
      </c>
      <c r="F361" s="28">
        <v>36</v>
      </c>
      <c r="G361" s="27" t="s">
        <v>66</v>
      </c>
      <c r="H361" s="27"/>
      <c r="I361" s="48"/>
      <c r="L361" s="191"/>
      <c r="M361" s="194"/>
      <c r="N361" s="27" t="s">
        <v>83</v>
      </c>
      <c r="O361" s="28">
        <v>6</v>
      </c>
      <c r="P361" s="28">
        <v>36</v>
      </c>
      <c r="Q361" s="27" t="s">
        <v>66</v>
      </c>
      <c r="R361" s="27"/>
      <c r="S361" s="48"/>
    </row>
    <row r="362" spans="2:19" x14ac:dyDescent="0.25">
      <c r="B362" s="183" t="s">
        <v>81</v>
      </c>
      <c r="C362" s="186" t="s">
        <v>77</v>
      </c>
      <c r="D362" s="29" t="s">
        <v>2</v>
      </c>
      <c r="E362" s="30">
        <v>1</v>
      </c>
      <c r="F362" s="30">
        <v>37</v>
      </c>
      <c r="G362" s="29" t="s">
        <v>66</v>
      </c>
      <c r="H362" s="29"/>
      <c r="I362" s="49"/>
      <c r="L362" s="183" t="s">
        <v>81</v>
      </c>
      <c r="M362" s="186" t="s">
        <v>77</v>
      </c>
      <c r="N362" s="29" t="s">
        <v>2</v>
      </c>
      <c r="O362" s="30">
        <v>1</v>
      </c>
      <c r="P362" s="30">
        <v>37</v>
      </c>
      <c r="Q362" s="29" t="s">
        <v>66</v>
      </c>
      <c r="R362" s="29"/>
      <c r="S362" s="49"/>
    </row>
    <row r="363" spans="2:19" x14ac:dyDescent="0.25">
      <c r="B363" s="184"/>
      <c r="C363" s="187"/>
      <c r="D363" s="29" t="s">
        <v>3</v>
      </c>
      <c r="E363" s="30">
        <v>2</v>
      </c>
      <c r="F363" s="30">
        <v>38</v>
      </c>
      <c r="G363" s="29" t="s">
        <v>66</v>
      </c>
      <c r="H363" s="29"/>
      <c r="I363" s="49"/>
      <c r="L363" s="184"/>
      <c r="M363" s="187"/>
      <c r="N363" s="29" t="s">
        <v>3</v>
      </c>
      <c r="O363" s="30">
        <v>2</v>
      </c>
      <c r="P363" s="30">
        <v>38</v>
      </c>
      <c r="Q363" s="29" t="s">
        <v>66</v>
      </c>
      <c r="R363" s="29"/>
      <c r="S363" s="49"/>
    </row>
    <row r="364" spans="2:19" x14ac:dyDescent="0.25">
      <c r="B364" s="184"/>
      <c r="C364" s="187"/>
      <c r="D364" s="29" t="s">
        <v>80</v>
      </c>
      <c r="E364" s="30">
        <v>3</v>
      </c>
      <c r="F364" s="30">
        <v>39</v>
      </c>
      <c r="G364" s="29" t="s">
        <v>66</v>
      </c>
      <c r="H364" s="29"/>
      <c r="I364" s="49"/>
      <c r="L364" s="184"/>
      <c r="M364" s="187"/>
      <c r="N364" s="29" t="s">
        <v>80</v>
      </c>
      <c r="O364" s="30">
        <v>3</v>
      </c>
      <c r="P364" s="30">
        <v>39</v>
      </c>
      <c r="Q364" s="29" t="s">
        <v>66</v>
      </c>
      <c r="R364" s="29"/>
      <c r="S364" s="49"/>
    </row>
    <row r="365" spans="2:19" x14ac:dyDescent="0.25">
      <c r="B365" s="184"/>
      <c r="C365" s="187"/>
      <c r="D365" s="29" t="s">
        <v>81</v>
      </c>
      <c r="E365" s="30">
        <v>4</v>
      </c>
      <c r="F365" s="30">
        <v>40</v>
      </c>
      <c r="G365" s="29" t="s">
        <v>66</v>
      </c>
      <c r="H365" s="29"/>
      <c r="I365" s="49"/>
      <c r="L365" s="184"/>
      <c r="M365" s="187"/>
      <c r="N365" s="29" t="s">
        <v>81</v>
      </c>
      <c r="O365" s="30">
        <v>4</v>
      </c>
      <c r="P365" s="30">
        <v>40</v>
      </c>
      <c r="Q365" s="29" t="s">
        <v>66</v>
      </c>
      <c r="R365" s="29"/>
      <c r="S365" s="49"/>
    </row>
    <row r="366" spans="2:19" x14ac:dyDescent="0.25">
      <c r="B366" s="184"/>
      <c r="C366" s="187"/>
      <c r="D366" s="29" t="s">
        <v>82</v>
      </c>
      <c r="E366" s="30">
        <v>5</v>
      </c>
      <c r="F366" s="30">
        <v>41</v>
      </c>
      <c r="G366" s="29" t="s">
        <v>66</v>
      </c>
      <c r="H366" s="29"/>
      <c r="I366" s="49"/>
      <c r="L366" s="184"/>
      <c r="M366" s="187"/>
      <c r="N366" s="29" t="s">
        <v>82</v>
      </c>
      <c r="O366" s="30">
        <v>5</v>
      </c>
      <c r="P366" s="30">
        <v>41</v>
      </c>
      <c r="Q366" s="29" t="s">
        <v>66</v>
      </c>
      <c r="R366" s="29"/>
      <c r="S366" s="49"/>
    </row>
    <row r="367" spans="2:19" ht="15.75" thickBot="1" x14ac:dyDescent="0.3">
      <c r="B367" s="184"/>
      <c r="C367" s="188"/>
      <c r="D367" s="29" t="s">
        <v>83</v>
      </c>
      <c r="E367" s="30">
        <v>6</v>
      </c>
      <c r="F367" s="30">
        <v>42</v>
      </c>
      <c r="G367" s="29" t="s">
        <v>66</v>
      </c>
      <c r="H367" s="29"/>
      <c r="I367" s="49"/>
      <c r="L367" s="184"/>
      <c r="M367" s="188"/>
      <c r="N367" s="29" t="s">
        <v>83</v>
      </c>
      <c r="O367" s="30">
        <v>6</v>
      </c>
      <c r="P367" s="30">
        <v>42</v>
      </c>
      <c r="Q367" s="29" t="s">
        <v>66</v>
      </c>
      <c r="R367" s="29"/>
      <c r="S367" s="49"/>
    </row>
    <row r="368" spans="2:19" x14ac:dyDescent="0.25">
      <c r="B368" s="184"/>
      <c r="C368" s="186" t="s">
        <v>84</v>
      </c>
      <c r="D368" s="29" t="s">
        <v>2</v>
      </c>
      <c r="E368" s="30">
        <v>1</v>
      </c>
      <c r="F368" s="30">
        <v>43</v>
      </c>
      <c r="G368" s="29" t="s">
        <v>66</v>
      </c>
      <c r="H368" s="29"/>
      <c r="I368" s="49"/>
      <c r="L368" s="184"/>
      <c r="M368" s="186" t="s">
        <v>84</v>
      </c>
      <c r="N368" s="29" t="s">
        <v>2</v>
      </c>
      <c r="O368" s="30">
        <v>1</v>
      </c>
      <c r="P368" s="30">
        <v>43</v>
      </c>
      <c r="Q368" s="29" t="s">
        <v>66</v>
      </c>
      <c r="R368" s="29"/>
      <c r="S368" s="49"/>
    </row>
    <row r="369" spans="2:19" x14ac:dyDescent="0.25">
      <c r="B369" s="184"/>
      <c r="C369" s="187"/>
      <c r="D369" s="29" t="s">
        <v>3</v>
      </c>
      <c r="E369" s="30">
        <v>2</v>
      </c>
      <c r="F369" s="30">
        <v>44</v>
      </c>
      <c r="G369" s="29" t="s">
        <v>66</v>
      </c>
      <c r="H369" s="29"/>
      <c r="I369" s="49"/>
      <c r="L369" s="184"/>
      <c r="M369" s="187"/>
      <c r="N369" s="29" t="s">
        <v>3</v>
      </c>
      <c r="O369" s="30">
        <v>2</v>
      </c>
      <c r="P369" s="30">
        <v>44</v>
      </c>
      <c r="Q369" s="29" t="s">
        <v>66</v>
      </c>
      <c r="R369" s="29"/>
      <c r="S369" s="49"/>
    </row>
    <row r="370" spans="2:19" x14ac:dyDescent="0.25">
      <c r="B370" s="184"/>
      <c r="C370" s="187"/>
      <c r="D370" s="29" t="s">
        <v>80</v>
      </c>
      <c r="E370" s="30">
        <v>3</v>
      </c>
      <c r="F370" s="30">
        <v>45</v>
      </c>
      <c r="G370" s="29" t="s">
        <v>66</v>
      </c>
      <c r="H370" s="29"/>
      <c r="I370" s="49"/>
      <c r="L370" s="184"/>
      <c r="M370" s="187"/>
      <c r="N370" s="29" t="s">
        <v>80</v>
      </c>
      <c r="O370" s="30">
        <v>3</v>
      </c>
      <c r="P370" s="30">
        <v>45</v>
      </c>
      <c r="Q370" s="29" t="s">
        <v>66</v>
      </c>
      <c r="R370" s="29"/>
      <c r="S370" s="49"/>
    </row>
    <row r="371" spans="2:19" x14ac:dyDescent="0.25">
      <c r="B371" s="184"/>
      <c r="C371" s="187"/>
      <c r="D371" s="29" t="s">
        <v>81</v>
      </c>
      <c r="E371" s="30">
        <v>4</v>
      </c>
      <c r="F371" s="30">
        <v>46</v>
      </c>
      <c r="G371" s="29" t="s">
        <v>66</v>
      </c>
      <c r="H371" s="29"/>
      <c r="I371" s="49"/>
      <c r="L371" s="184"/>
      <c r="M371" s="187"/>
      <c r="N371" s="29" t="s">
        <v>81</v>
      </c>
      <c r="O371" s="30">
        <v>4</v>
      </c>
      <c r="P371" s="30">
        <v>46</v>
      </c>
      <c r="Q371" s="29" t="s">
        <v>66</v>
      </c>
      <c r="R371" s="29"/>
      <c r="S371" s="49"/>
    </row>
    <row r="372" spans="2:19" x14ac:dyDescent="0.25">
      <c r="B372" s="184"/>
      <c r="C372" s="187"/>
      <c r="D372" s="29" t="s">
        <v>82</v>
      </c>
      <c r="E372" s="30">
        <v>5</v>
      </c>
      <c r="F372" s="30">
        <v>47</v>
      </c>
      <c r="G372" s="29" t="s">
        <v>66</v>
      </c>
      <c r="H372" s="29"/>
      <c r="I372" s="49"/>
      <c r="L372" s="184"/>
      <c r="M372" s="187"/>
      <c r="N372" s="29" t="s">
        <v>82</v>
      </c>
      <c r="O372" s="30">
        <v>5</v>
      </c>
      <c r="P372" s="30">
        <v>47</v>
      </c>
      <c r="Q372" s="29" t="s">
        <v>66</v>
      </c>
      <c r="R372" s="29"/>
      <c r="S372" s="49"/>
    </row>
    <row r="373" spans="2:19" ht="15.75" thickBot="1" x14ac:dyDescent="0.3">
      <c r="B373" s="185"/>
      <c r="C373" s="188"/>
      <c r="D373" s="29" t="s">
        <v>83</v>
      </c>
      <c r="E373" s="30">
        <v>6</v>
      </c>
      <c r="F373" s="30">
        <v>48</v>
      </c>
      <c r="G373" s="29" t="s">
        <v>66</v>
      </c>
      <c r="H373" s="29"/>
      <c r="I373" s="49"/>
      <c r="L373" s="185"/>
      <c r="M373" s="188"/>
      <c r="N373" s="29" t="s">
        <v>83</v>
      </c>
      <c r="O373" s="30">
        <v>6</v>
      </c>
      <c r="P373" s="30">
        <v>48</v>
      </c>
      <c r="Q373" s="29" t="s">
        <v>66</v>
      </c>
      <c r="R373" s="29"/>
      <c r="S373" s="49"/>
    </row>
    <row r="374" spans="2:19" ht="15.75" thickBot="1" x14ac:dyDescent="0.3"/>
    <row r="375" spans="2:19" ht="15.75" thickBot="1" x14ac:dyDescent="0.3">
      <c r="B375" s="171" t="s">
        <v>313</v>
      </c>
      <c r="C375" s="172"/>
      <c r="D375" s="172"/>
      <c r="E375" s="172"/>
      <c r="F375" s="172"/>
      <c r="G375" s="172"/>
      <c r="H375" s="172"/>
      <c r="I375" s="173"/>
      <c r="L375" s="171" t="s">
        <v>314</v>
      </c>
      <c r="M375" s="172"/>
      <c r="N375" s="172"/>
      <c r="O375" s="172"/>
      <c r="P375" s="172"/>
      <c r="Q375" s="172"/>
      <c r="R375" s="172"/>
      <c r="S375" s="173"/>
    </row>
    <row r="376" spans="2:19" ht="13.5" customHeight="1" x14ac:dyDescent="0.25"/>
    <row r="377" spans="2:19" ht="26.25" thickBot="1" x14ac:dyDescent="0.3">
      <c r="B377" s="15" t="s">
        <v>70</v>
      </c>
      <c r="C377" s="16" t="s">
        <v>71</v>
      </c>
      <c r="D377" s="15" t="s">
        <v>72</v>
      </c>
      <c r="E377" s="17" t="s">
        <v>73</v>
      </c>
      <c r="F377" s="17" t="s">
        <v>74</v>
      </c>
      <c r="G377" s="15" t="s">
        <v>75</v>
      </c>
      <c r="H377" s="15" t="s">
        <v>55</v>
      </c>
      <c r="I377" s="15" t="s">
        <v>76</v>
      </c>
      <c r="L377" s="15" t="s">
        <v>70</v>
      </c>
      <c r="M377" s="16" t="s">
        <v>71</v>
      </c>
      <c r="N377" s="15" t="s">
        <v>72</v>
      </c>
      <c r="O377" s="17" t="s">
        <v>73</v>
      </c>
      <c r="P377" s="17" t="s">
        <v>74</v>
      </c>
      <c r="Q377" s="15" t="s">
        <v>75</v>
      </c>
      <c r="R377" s="15" t="s">
        <v>55</v>
      </c>
      <c r="S377" s="15" t="s">
        <v>76</v>
      </c>
    </row>
    <row r="378" spans="2:19" x14ac:dyDescent="0.25">
      <c r="B378" s="174" t="s">
        <v>2</v>
      </c>
      <c r="C378" s="168" t="s">
        <v>77</v>
      </c>
      <c r="D378" s="18" t="s">
        <v>2</v>
      </c>
      <c r="E378" s="19">
        <v>1</v>
      </c>
      <c r="F378" s="19">
        <v>1</v>
      </c>
      <c r="G378" s="18" t="s">
        <v>78</v>
      </c>
      <c r="H378" s="156" t="s">
        <v>300</v>
      </c>
      <c r="I378" s="165" t="s">
        <v>181</v>
      </c>
      <c r="L378" s="174" t="s">
        <v>2</v>
      </c>
      <c r="M378" s="168" t="s">
        <v>77</v>
      </c>
      <c r="N378" s="18" t="s">
        <v>2</v>
      </c>
      <c r="O378" s="19">
        <v>1</v>
      </c>
      <c r="P378" s="19">
        <v>1</v>
      </c>
      <c r="Q378" s="18" t="s">
        <v>78</v>
      </c>
      <c r="R378" s="156" t="s">
        <v>300</v>
      </c>
      <c r="S378" s="165" t="s">
        <v>183</v>
      </c>
    </row>
    <row r="379" spans="2:19" x14ac:dyDescent="0.25">
      <c r="B379" s="175"/>
      <c r="C379" s="169"/>
      <c r="D379" s="18" t="s">
        <v>3</v>
      </c>
      <c r="E379" s="19">
        <v>2</v>
      </c>
      <c r="F379" s="19">
        <v>2</v>
      </c>
      <c r="G379" s="18" t="s">
        <v>78</v>
      </c>
      <c r="H379" s="157"/>
      <c r="I379" s="166"/>
      <c r="L379" s="175"/>
      <c r="M379" s="169"/>
      <c r="N379" s="18" t="s">
        <v>3</v>
      </c>
      <c r="O379" s="19">
        <v>2</v>
      </c>
      <c r="P379" s="19">
        <v>2</v>
      </c>
      <c r="Q379" s="18" t="s">
        <v>78</v>
      </c>
      <c r="R379" s="157"/>
      <c r="S379" s="166"/>
    </row>
    <row r="380" spans="2:19" x14ac:dyDescent="0.25">
      <c r="B380" s="175"/>
      <c r="C380" s="169"/>
      <c r="D380" s="18" t="s">
        <v>80</v>
      </c>
      <c r="E380" s="20">
        <v>3</v>
      </c>
      <c r="F380" s="20">
        <v>3</v>
      </c>
      <c r="G380" s="18" t="s">
        <v>66</v>
      </c>
      <c r="H380" s="157"/>
      <c r="I380" s="166"/>
      <c r="L380" s="175"/>
      <c r="M380" s="169"/>
      <c r="N380" s="18" t="s">
        <v>80</v>
      </c>
      <c r="O380" s="20">
        <v>3</v>
      </c>
      <c r="P380" s="20">
        <v>3</v>
      </c>
      <c r="Q380" s="18" t="s">
        <v>66</v>
      </c>
      <c r="R380" s="157"/>
      <c r="S380" s="166"/>
    </row>
    <row r="381" spans="2:19" x14ac:dyDescent="0.25">
      <c r="B381" s="175"/>
      <c r="C381" s="169"/>
      <c r="D381" s="18" t="s">
        <v>81</v>
      </c>
      <c r="E381" s="20">
        <v>4</v>
      </c>
      <c r="F381" s="20">
        <v>4</v>
      </c>
      <c r="G381" s="18" t="s">
        <v>66</v>
      </c>
      <c r="H381" s="157"/>
      <c r="I381" s="166"/>
      <c r="L381" s="175"/>
      <c r="M381" s="169"/>
      <c r="N381" s="18" t="s">
        <v>81</v>
      </c>
      <c r="O381" s="20">
        <v>4</v>
      </c>
      <c r="P381" s="20">
        <v>4</v>
      </c>
      <c r="Q381" s="18" t="s">
        <v>66</v>
      </c>
      <c r="R381" s="157"/>
      <c r="S381" s="166"/>
    </row>
    <row r="382" spans="2:19" x14ac:dyDescent="0.25">
      <c r="B382" s="175"/>
      <c r="C382" s="169"/>
      <c r="D382" s="18" t="s">
        <v>82</v>
      </c>
      <c r="E382" s="20">
        <v>5</v>
      </c>
      <c r="F382" s="20">
        <v>5</v>
      </c>
      <c r="G382" s="18" t="s">
        <v>66</v>
      </c>
      <c r="H382" s="157"/>
      <c r="I382" s="166"/>
      <c r="L382" s="175"/>
      <c r="M382" s="169"/>
      <c r="N382" s="18" t="s">
        <v>82</v>
      </c>
      <c r="O382" s="20">
        <v>5</v>
      </c>
      <c r="P382" s="20">
        <v>5</v>
      </c>
      <c r="Q382" s="18" t="s">
        <v>66</v>
      </c>
      <c r="R382" s="157"/>
      <c r="S382" s="166"/>
    </row>
    <row r="383" spans="2:19" ht="15.75" thickBot="1" x14ac:dyDescent="0.3">
      <c r="B383" s="175"/>
      <c r="C383" s="170"/>
      <c r="D383" s="18" t="s">
        <v>83</v>
      </c>
      <c r="E383" s="20">
        <v>6</v>
      </c>
      <c r="F383" s="20">
        <v>6</v>
      </c>
      <c r="G383" s="18" t="s">
        <v>66</v>
      </c>
      <c r="H383" s="158"/>
      <c r="I383" s="167"/>
      <c r="L383" s="175"/>
      <c r="M383" s="170"/>
      <c r="N383" s="18" t="s">
        <v>83</v>
      </c>
      <c r="O383" s="20">
        <v>6</v>
      </c>
      <c r="P383" s="20">
        <v>6</v>
      </c>
      <c r="Q383" s="18" t="s">
        <v>66</v>
      </c>
      <c r="R383" s="158"/>
      <c r="S383" s="167"/>
    </row>
    <row r="384" spans="2:19" x14ac:dyDescent="0.25">
      <c r="B384" s="175"/>
      <c r="C384" s="168" t="s">
        <v>84</v>
      </c>
      <c r="D384" s="18" t="s">
        <v>2</v>
      </c>
      <c r="E384" s="19">
        <v>1</v>
      </c>
      <c r="F384" s="19">
        <v>7</v>
      </c>
      <c r="G384" s="18" t="s">
        <v>66</v>
      </c>
      <c r="H384" s="32"/>
      <c r="I384" s="50"/>
      <c r="L384" s="175"/>
      <c r="M384" s="168" t="s">
        <v>84</v>
      </c>
      <c r="N384" s="18" t="s">
        <v>2</v>
      </c>
      <c r="O384" s="19">
        <v>1</v>
      </c>
      <c r="P384" s="19">
        <v>7</v>
      </c>
      <c r="Q384" s="18" t="s">
        <v>66</v>
      </c>
      <c r="R384" s="32"/>
      <c r="S384" s="50"/>
    </row>
    <row r="385" spans="2:19" x14ac:dyDescent="0.25">
      <c r="B385" s="175"/>
      <c r="C385" s="169"/>
      <c r="D385" s="18" t="s">
        <v>3</v>
      </c>
      <c r="E385" s="19">
        <v>2</v>
      </c>
      <c r="F385" s="19">
        <v>8</v>
      </c>
      <c r="G385" s="18" t="s">
        <v>66</v>
      </c>
      <c r="H385" s="32"/>
      <c r="I385" s="50"/>
      <c r="L385" s="175"/>
      <c r="M385" s="169"/>
      <c r="N385" s="18" t="s">
        <v>3</v>
      </c>
      <c r="O385" s="19">
        <v>2</v>
      </c>
      <c r="P385" s="19">
        <v>8</v>
      </c>
      <c r="Q385" s="18" t="s">
        <v>66</v>
      </c>
      <c r="R385" s="32"/>
      <c r="S385" s="50"/>
    </row>
    <row r="386" spans="2:19" x14ac:dyDescent="0.25">
      <c r="B386" s="175"/>
      <c r="C386" s="169"/>
      <c r="D386" s="18" t="s">
        <v>80</v>
      </c>
      <c r="E386" s="20">
        <v>3</v>
      </c>
      <c r="F386" s="20">
        <v>9</v>
      </c>
      <c r="G386" s="18" t="s">
        <v>66</v>
      </c>
      <c r="H386" s="32"/>
      <c r="I386" s="50"/>
      <c r="L386" s="175"/>
      <c r="M386" s="169"/>
      <c r="N386" s="18" t="s">
        <v>80</v>
      </c>
      <c r="O386" s="20">
        <v>3</v>
      </c>
      <c r="P386" s="20">
        <v>9</v>
      </c>
      <c r="Q386" s="18" t="s">
        <v>66</v>
      </c>
      <c r="R386" s="32"/>
      <c r="S386" s="50"/>
    </row>
    <row r="387" spans="2:19" x14ac:dyDescent="0.25">
      <c r="B387" s="175"/>
      <c r="C387" s="169"/>
      <c r="D387" s="18" t="s">
        <v>81</v>
      </c>
      <c r="E387" s="20">
        <v>4</v>
      </c>
      <c r="F387" s="20">
        <v>10</v>
      </c>
      <c r="G387" s="18" t="s">
        <v>66</v>
      </c>
      <c r="H387" s="32"/>
      <c r="I387" s="50"/>
      <c r="L387" s="175"/>
      <c r="M387" s="169"/>
      <c r="N387" s="18" t="s">
        <v>81</v>
      </c>
      <c r="O387" s="20">
        <v>4</v>
      </c>
      <c r="P387" s="20">
        <v>10</v>
      </c>
      <c r="Q387" s="18" t="s">
        <v>66</v>
      </c>
      <c r="R387" s="32"/>
      <c r="S387" s="50"/>
    </row>
    <row r="388" spans="2:19" x14ac:dyDescent="0.25">
      <c r="B388" s="175"/>
      <c r="C388" s="169"/>
      <c r="D388" s="18" t="s">
        <v>82</v>
      </c>
      <c r="E388" s="20">
        <v>5</v>
      </c>
      <c r="F388" s="20">
        <v>11</v>
      </c>
      <c r="G388" s="18" t="s">
        <v>66</v>
      </c>
      <c r="H388" s="32"/>
      <c r="I388" s="50"/>
      <c r="L388" s="175"/>
      <c r="M388" s="169"/>
      <c r="N388" s="18" t="s">
        <v>82</v>
      </c>
      <c r="O388" s="20">
        <v>5</v>
      </c>
      <c r="P388" s="20">
        <v>11</v>
      </c>
      <c r="Q388" s="18" t="s">
        <v>66</v>
      </c>
      <c r="R388" s="32"/>
      <c r="S388" s="50"/>
    </row>
    <row r="389" spans="2:19" ht="15.75" thickBot="1" x14ac:dyDescent="0.3">
      <c r="B389" s="176"/>
      <c r="C389" s="170"/>
      <c r="D389" s="18" t="s">
        <v>83</v>
      </c>
      <c r="E389" s="20">
        <v>6</v>
      </c>
      <c r="F389" s="20">
        <v>12</v>
      </c>
      <c r="G389" s="18" t="s">
        <v>66</v>
      </c>
      <c r="H389" s="32"/>
      <c r="I389" s="50"/>
      <c r="L389" s="176"/>
      <c r="M389" s="170"/>
      <c r="N389" s="18" t="s">
        <v>83</v>
      </c>
      <c r="O389" s="20">
        <v>6</v>
      </c>
      <c r="P389" s="20">
        <v>12</v>
      </c>
      <c r="Q389" s="18" t="s">
        <v>66</v>
      </c>
      <c r="R389" s="32"/>
      <c r="S389" s="50"/>
    </row>
    <row r="390" spans="2:19" x14ac:dyDescent="0.25">
      <c r="B390" s="180" t="s">
        <v>3</v>
      </c>
      <c r="C390" s="177" t="s">
        <v>77</v>
      </c>
      <c r="D390" s="21" t="s">
        <v>2</v>
      </c>
      <c r="E390" s="22">
        <v>1</v>
      </c>
      <c r="F390" s="22">
        <v>13</v>
      </c>
      <c r="G390" s="21" t="s">
        <v>66</v>
      </c>
      <c r="H390" s="21"/>
      <c r="I390" s="51"/>
      <c r="L390" s="180" t="s">
        <v>3</v>
      </c>
      <c r="M390" s="177" t="s">
        <v>77</v>
      </c>
      <c r="N390" s="21" t="s">
        <v>2</v>
      </c>
      <c r="O390" s="22">
        <v>1</v>
      </c>
      <c r="P390" s="22">
        <v>13</v>
      </c>
      <c r="Q390" s="21" t="s">
        <v>66</v>
      </c>
      <c r="R390" s="21"/>
      <c r="S390" s="51"/>
    </row>
    <row r="391" spans="2:19" x14ac:dyDescent="0.25">
      <c r="B391" s="181"/>
      <c r="C391" s="178"/>
      <c r="D391" s="23" t="s">
        <v>3</v>
      </c>
      <c r="E391" s="24">
        <v>2</v>
      </c>
      <c r="F391" s="24">
        <v>14</v>
      </c>
      <c r="G391" s="23" t="s">
        <v>66</v>
      </c>
      <c r="H391" s="23"/>
      <c r="I391" s="47"/>
      <c r="L391" s="181"/>
      <c r="M391" s="178"/>
      <c r="N391" s="23" t="s">
        <v>3</v>
      </c>
      <c r="O391" s="24">
        <v>2</v>
      </c>
      <c r="P391" s="24">
        <v>14</v>
      </c>
      <c r="Q391" s="23" t="s">
        <v>66</v>
      </c>
      <c r="R391" s="23"/>
      <c r="S391" s="47"/>
    </row>
    <row r="392" spans="2:19" x14ac:dyDescent="0.25">
      <c r="B392" s="181"/>
      <c r="C392" s="178"/>
      <c r="D392" s="23" t="s">
        <v>80</v>
      </c>
      <c r="E392" s="24">
        <v>3</v>
      </c>
      <c r="F392" s="24">
        <v>15</v>
      </c>
      <c r="G392" s="23" t="s">
        <v>66</v>
      </c>
      <c r="H392" s="23"/>
      <c r="I392" s="47"/>
      <c r="L392" s="181"/>
      <c r="M392" s="178"/>
      <c r="N392" s="23" t="s">
        <v>80</v>
      </c>
      <c r="O392" s="24">
        <v>3</v>
      </c>
      <c r="P392" s="24">
        <v>15</v>
      </c>
      <c r="Q392" s="23" t="s">
        <v>66</v>
      </c>
      <c r="R392" s="23"/>
      <c r="S392" s="47"/>
    </row>
    <row r="393" spans="2:19" x14ac:dyDescent="0.25">
      <c r="B393" s="181"/>
      <c r="C393" s="178"/>
      <c r="D393" s="23" t="s">
        <v>81</v>
      </c>
      <c r="E393" s="24">
        <v>4</v>
      </c>
      <c r="F393" s="24">
        <v>16</v>
      </c>
      <c r="G393" s="23" t="s">
        <v>66</v>
      </c>
      <c r="H393" s="23"/>
      <c r="I393" s="47"/>
      <c r="L393" s="181"/>
      <c r="M393" s="178"/>
      <c r="N393" s="23" t="s">
        <v>81</v>
      </c>
      <c r="O393" s="24">
        <v>4</v>
      </c>
      <c r="P393" s="24">
        <v>16</v>
      </c>
      <c r="Q393" s="23" t="s">
        <v>66</v>
      </c>
      <c r="R393" s="23"/>
      <c r="S393" s="47"/>
    </row>
    <row r="394" spans="2:19" x14ac:dyDescent="0.25">
      <c r="B394" s="181"/>
      <c r="C394" s="178"/>
      <c r="D394" s="23" t="s">
        <v>82</v>
      </c>
      <c r="E394" s="24">
        <v>5</v>
      </c>
      <c r="F394" s="24">
        <v>17</v>
      </c>
      <c r="G394" s="23" t="s">
        <v>66</v>
      </c>
      <c r="H394" s="23"/>
      <c r="I394" s="47"/>
      <c r="L394" s="181"/>
      <c r="M394" s="178"/>
      <c r="N394" s="23" t="s">
        <v>82</v>
      </c>
      <c r="O394" s="24">
        <v>5</v>
      </c>
      <c r="P394" s="24">
        <v>17</v>
      </c>
      <c r="Q394" s="23" t="s">
        <v>66</v>
      </c>
      <c r="R394" s="23"/>
      <c r="S394" s="47"/>
    </row>
    <row r="395" spans="2:19" ht="15.75" thickBot="1" x14ac:dyDescent="0.3">
      <c r="B395" s="181"/>
      <c r="C395" s="179"/>
      <c r="D395" s="23" t="s">
        <v>83</v>
      </c>
      <c r="E395" s="24">
        <v>6</v>
      </c>
      <c r="F395" s="24">
        <v>18</v>
      </c>
      <c r="G395" s="23" t="s">
        <v>66</v>
      </c>
      <c r="H395" s="23"/>
      <c r="I395" s="47"/>
      <c r="L395" s="181"/>
      <c r="M395" s="179"/>
      <c r="N395" s="23" t="s">
        <v>83</v>
      </c>
      <c r="O395" s="24">
        <v>6</v>
      </c>
      <c r="P395" s="24">
        <v>18</v>
      </c>
      <c r="Q395" s="23" t="s">
        <v>66</v>
      </c>
      <c r="R395" s="23"/>
      <c r="S395" s="47"/>
    </row>
    <row r="396" spans="2:19" x14ac:dyDescent="0.25">
      <c r="B396" s="181"/>
      <c r="C396" s="177" t="s">
        <v>84</v>
      </c>
      <c r="D396" s="23" t="s">
        <v>2</v>
      </c>
      <c r="E396" s="24">
        <v>1</v>
      </c>
      <c r="F396" s="24">
        <v>19</v>
      </c>
      <c r="G396" s="23" t="s">
        <v>66</v>
      </c>
      <c r="H396" s="23"/>
      <c r="I396" s="47"/>
      <c r="L396" s="181"/>
      <c r="M396" s="177" t="s">
        <v>84</v>
      </c>
      <c r="N396" s="23" t="s">
        <v>2</v>
      </c>
      <c r="O396" s="24">
        <v>1</v>
      </c>
      <c r="P396" s="24">
        <v>19</v>
      </c>
      <c r="Q396" s="23" t="s">
        <v>66</v>
      </c>
      <c r="R396" s="23"/>
      <c r="S396" s="47"/>
    </row>
    <row r="397" spans="2:19" x14ac:dyDescent="0.25">
      <c r="B397" s="181"/>
      <c r="C397" s="178"/>
      <c r="D397" s="23" t="s">
        <v>3</v>
      </c>
      <c r="E397" s="24">
        <v>2</v>
      </c>
      <c r="F397" s="24">
        <v>20</v>
      </c>
      <c r="G397" s="23" t="s">
        <v>66</v>
      </c>
      <c r="H397" s="23"/>
      <c r="I397" s="47"/>
      <c r="L397" s="181"/>
      <c r="M397" s="178"/>
      <c r="N397" s="23" t="s">
        <v>3</v>
      </c>
      <c r="O397" s="24">
        <v>2</v>
      </c>
      <c r="P397" s="24">
        <v>20</v>
      </c>
      <c r="Q397" s="23" t="s">
        <v>66</v>
      </c>
      <c r="R397" s="23"/>
      <c r="S397" s="47"/>
    </row>
    <row r="398" spans="2:19" x14ac:dyDescent="0.25">
      <c r="B398" s="181"/>
      <c r="C398" s="178"/>
      <c r="D398" s="23" t="s">
        <v>80</v>
      </c>
      <c r="E398" s="26">
        <v>3</v>
      </c>
      <c r="F398" s="24">
        <v>21</v>
      </c>
      <c r="G398" s="23" t="s">
        <v>66</v>
      </c>
      <c r="H398" s="23"/>
      <c r="I398" s="47"/>
      <c r="L398" s="181"/>
      <c r="M398" s="178"/>
      <c r="N398" s="23" t="s">
        <v>80</v>
      </c>
      <c r="O398" s="26">
        <v>3</v>
      </c>
      <c r="P398" s="24">
        <v>21</v>
      </c>
      <c r="Q398" s="23" t="s">
        <v>66</v>
      </c>
      <c r="R398" s="23"/>
      <c r="S398" s="47"/>
    </row>
    <row r="399" spans="2:19" x14ac:dyDescent="0.25">
      <c r="B399" s="181"/>
      <c r="C399" s="178"/>
      <c r="D399" s="23" t="s">
        <v>81</v>
      </c>
      <c r="E399" s="24">
        <v>4</v>
      </c>
      <c r="F399" s="24">
        <v>22</v>
      </c>
      <c r="G399" s="23" t="s">
        <v>66</v>
      </c>
      <c r="H399" s="23"/>
      <c r="I399" s="47"/>
      <c r="L399" s="181"/>
      <c r="M399" s="178"/>
      <c r="N399" s="23" t="s">
        <v>81</v>
      </c>
      <c r="O399" s="24">
        <v>4</v>
      </c>
      <c r="P399" s="24">
        <v>22</v>
      </c>
      <c r="Q399" s="23" t="s">
        <v>66</v>
      </c>
      <c r="R399" s="23"/>
      <c r="S399" s="47"/>
    </row>
    <row r="400" spans="2:19" x14ac:dyDescent="0.25">
      <c r="B400" s="181"/>
      <c r="C400" s="178"/>
      <c r="D400" s="23" t="s">
        <v>82</v>
      </c>
      <c r="E400" s="24">
        <v>5</v>
      </c>
      <c r="F400" s="24">
        <v>23</v>
      </c>
      <c r="G400" s="23" t="s">
        <v>66</v>
      </c>
      <c r="H400" s="23"/>
      <c r="I400" s="47"/>
      <c r="L400" s="181"/>
      <c r="M400" s="178"/>
      <c r="N400" s="23" t="s">
        <v>82</v>
      </c>
      <c r="O400" s="24">
        <v>5</v>
      </c>
      <c r="P400" s="24">
        <v>23</v>
      </c>
      <c r="Q400" s="23" t="s">
        <v>66</v>
      </c>
      <c r="R400" s="23"/>
      <c r="S400" s="47"/>
    </row>
    <row r="401" spans="2:19" ht="15.75" thickBot="1" x14ac:dyDescent="0.3">
      <c r="B401" s="182"/>
      <c r="C401" s="179"/>
      <c r="D401" s="23" t="s">
        <v>83</v>
      </c>
      <c r="E401" s="24">
        <v>6</v>
      </c>
      <c r="F401" s="24">
        <v>24</v>
      </c>
      <c r="G401" s="23" t="s">
        <v>66</v>
      </c>
      <c r="H401" s="23"/>
      <c r="I401" s="47"/>
      <c r="L401" s="182"/>
      <c r="M401" s="179"/>
      <c r="N401" s="23" t="s">
        <v>83</v>
      </c>
      <c r="O401" s="24">
        <v>6</v>
      </c>
      <c r="P401" s="24">
        <v>24</v>
      </c>
      <c r="Q401" s="23" t="s">
        <v>66</v>
      </c>
      <c r="R401" s="23"/>
      <c r="S401" s="47"/>
    </row>
    <row r="402" spans="2:19" x14ac:dyDescent="0.25">
      <c r="B402" s="189" t="s">
        <v>80</v>
      </c>
      <c r="C402" s="192" t="s">
        <v>77</v>
      </c>
      <c r="D402" s="27" t="s">
        <v>2</v>
      </c>
      <c r="E402" s="28">
        <v>1</v>
      </c>
      <c r="F402" s="28">
        <v>25</v>
      </c>
      <c r="G402" s="27" t="s">
        <v>66</v>
      </c>
      <c r="H402" s="27"/>
      <c r="I402" s="48"/>
      <c r="L402" s="189" t="s">
        <v>80</v>
      </c>
      <c r="M402" s="192" t="s">
        <v>77</v>
      </c>
      <c r="N402" s="27" t="s">
        <v>2</v>
      </c>
      <c r="O402" s="28">
        <v>1</v>
      </c>
      <c r="P402" s="28">
        <v>25</v>
      </c>
      <c r="Q402" s="27" t="s">
        <v>66</v>
      </c>
      <c r="R402" s="27"/>
      <c r="S402" s="48"/>
    </row>
    <row r="403" spans="2:19" x14ac:dyDescent="0.25">
      <c r="B403" s="190"/>
      <c r="C403" s="193"/>
      <c r="D403" s="27" t="s">
        <v>3</v>
      </c>
      <c r="E403" s="28">
        <v>2</v>
      </c>
      <c r="F403" s="28">
        <v>26</v>
      </c>
      <c r="G403" s="27" t="s">
        <v>66</v>
      </c>
      <c r="H403" s="27"/>
      <c r="I403" s="48"/>
      <c r="L403" s="190"/>
      <c r="M403" s="193"/>
      <c r="N403" s="27" t="s">
        <v>3</v>
      </c>
      <c r="O403" s="28">
        <v>2</v>
      </c>
      <c r="P403" s="28">
        <v>26</v>
      </c>
      <c r="Q403" s="27" t="s">
        <v>66</v>
      </c>
      <c r="R403" s="27"/>
      <c r="S403" s="48"/>
    </row>
    <row r="404" spans="2:19" x14ac:dyDescent="0.25">
      <c r="B404" s="190"/>
      <c r="C404" s="193"/>
      <c r="D404" s="27" t="s">
        <v>80</v>
      </c>
      <c r="E404" s="28">
        <v>3</v>
      </c>
      <c r="F404" s="28">
        <v>27</v>
      </c>
      <c r="G404" s="27" t="s">
        <v>66</v>
      </c>
      <c r="H404" s="27"/>
      <c r="I404" s="48"/>
      <c r="L404" s="190"/>
      <c r="M404" s="193"/>
      <c r="N404" s="27" t="s">
        <v>80</v>
      </c>
      <c r="O404" s="28">
        <v>3</v>
      </c>
      <c r="P404" s="28">
        <v>27</v>
      </c>
      <c r="Q404" s="27" t="s">
        <v>66</v>
      </c>
      <c r="R404" s="27"/>
      <c r="S404" s="48"/>
    </row>
    <row r="405" spans="2:19" x14ac:dyDescent="0.25">
      <c r="B405" s="190"/>
      <c r="C405" s="193"/>
      <c r="D405" s="27" t="s">
        <v>81</v>
      </c>
      <c r="E405" s="28">
        <v>4</v>
      </c>
      <c r="F405" s="28">
        <v>28</v>
      </c>
      <c r="G405" s="27" t="s">
        <v>66</v>
      </c>
      <c r="H405" s="27"/>
      <c r="I405" s="48"/>
      <c r="L405" s="190"/>
      <c r="M405" s="193"/>
      <c r="N405" s="27" t="s">
        <v>81</v>
      </c>
      <c r="O405" s="28">
        <v>4</v>
      </c>
      <c r="P405" s="28">
        <v>28</v>
      </c>
      <c r="Q405" s="27" t="s">
        <v>66</v>
      </c>
      <c r="R405" s="27"/>
      <c r="S405" s="48"/>
    </row>
    <row r="406" spans="2:19" x14ac:dyDescent="0.25">
      <c r="B406" s="190"/>
      <c r="C406" s="193"/>
      <c r="D406" s="27" t="s">
        <v>82</v>
      </c>
      <c r="E406" s="28">
        <v>5</v>
      </c>
      <c r="F406" s="28">
        <v>29</v>
      </c>
      <c r="G406" s="27" t="s">
        <v>66</v>
      </c>
      <c r="H406" s="27"/>
      <c r="I406" s="48"/>
      <c r="L406" s="190"/>
      <c r="M406" s="193"/>
      <c r="N406" s="27" t="s">
        <v>82</v>
      </c>
      <c r="O406" s="28">
        <v>5</v>
      </c>
      <c r="P406" s="28">
        <v>29</v>
      </c>
      <c r="Q406" s="27" t="s">
        <v>66</v>
      </c>
      <c r="R406" s="27"/>
      <c r="S406" s="48"/>
    </row>
    <row r="407" spans="2:19" ht="15.75" thickBot="1" x14ac:dyDescent="0.3">
      <c r="B407" s="190"/>
      <c r="C407" s="194"/>
      <c r="D407" s="27" t="s">
        <v>83</v>
      </c>
      <c r="E407" s="28">
        <v>6</v>
      </c>
      <c r="F407" s="28">
        <v>30</v>
      </c>
      <c r="G407" s="27" t="s">
        <v>66</v>
      </c>
      <c r="H407" s="27"/>
      <c r="I407" s="48"/>
      <c r="L407" s="190"/>
      <c r="M407" s="194"/>
      <c r="N407" s="27" t="s">
        <v>83</v>
      </c>
      <c r="O407" s="28">
        <v>6</v>
      </c>
      <c r="P407" s="28">
        <v>30</v>
      </c>
      <c r="Q407" s="27" t="s">
        <v>66</v>
      </c>
      <c r="R407" s="27"/>
      <c r="S407" s="48"/>
    </row>
    <row r="408" spans="2:19" x14ac:dyDescent="0.25">
      <c r="B408" s="190"/>
      <c r="C408" s="192" t="s">
        <v>84</v>
      </c>
      <c r="D408" s="27" t="s">
        <v>2</v>
      </c>
      <c r="E408" s="28">
        <v>1</v>
      </c>
      <c r="F408" s="28">
        <v>31</v>
      </c>
      <c r="G408" s="27" t="s">
        <v>66</v>
      </c>
      <c r="H408" s="27"/>
      <c r="I408" s="48"/>
      <c r="L408" s="190"/>
      <c r="M408" s="192" t="s">
        <v>84</v>
      </c>
      <c r="N408" s="27" t="s">
        <v>2</v>
      </c>
      <c r="O408" s="28">
        <v>1</v>
      </c>
      <c r="P408" s="28">
        <v>31</v>
      </c>
      <c r="Q408" s="27" t="s">
        <v>66</v>
      </c>
      <c r="R408" s="27"/>
      <c r="S408" s="48"/>
    </row>
    <row r="409" spans="2:19" x14ac:dyDescent="0.25">
      <c r="B409" s="190"/>
      <c r="C409" s="193"/>
      <c r="D409" s="27" t="s">
        <v>3</v>
      </c>
      <c r="E409" s="28">
        <v>2</v>
      </c>
      <c r="F409" s="28">
        <v>32</v>
      </c>
      <c r="G409" s="27" t="s">
        <v>66</v>
      </c>
      <c r="H409" s="27"/>
      <c r="I409" s="48"/>
      <c r="L409" s="190"/>
      <c r="M409" s="193"/>
      <c r="N409" s="27" t="s">
        <v>3</v>
      </c>
      <c r="O409" s="28">
        <v>2</v>
      </c>
      <c r="P409" s="28">
        <v>32</v>
      </c>
      <c r="Q409" s="27" t="s">
        <v>66</v>
      </c>
      <c r="R409" s="27"/>
      <c r="S409" s="48"/>
    </row>
    <row r="410" spans="2:19" x14ac:dyDescent="0.25">
      <c r="B410" s="190"/>
      <c r="C410" s="193"/>
      <c r="D410" s="27" t="s">
        <v>80</v>
      </c>
      <c r="E410" s="28">
        <v>3</v>
      </c>
      <c r="F410" s="28">
        <v>33</v>
      </c>
      <c r="G410" s="27" t="s">
        <v>66</v>
      </c>
      <c r="H410" s="27"/>
      <c r="I410" s="48"/>
      <c r="L410" s="190"/>
      <c r="M410" s="193"/>
      <c r="N410" s="27" t="s">
        <v>80</v>
      </c>
      <c r="O410" s="28">
        <v>3</v>
      </c>
      <c r="P410" s="28">
        <v>33</v>
      </c>
      <c r="Q410" s="27" t="s">
        <v>66</v>
      </c>
      <c r="R410" s="27"/>
      <c r="S410" s="48"/>
    </row>
    <row r="411" spans="2:19" x14ac:dyDescent="0.25">
      <c r="B411" s="190"/>
      <c r="C411" s="193"/>
      <c r="D411" s="27" t="s">
        <v>81</v>
      </c>
      <c r="E411" s="28">
        <v>4</v>
      </c>
      <c r="F411" s="28">
        <v>34</v>
      </c>
      <c r="G411" s="27" t="s">
        <v>66</v>
      </c>
      <c r="H411" s="27"/>
      <c r="I411" s="48"/>
      <c r="L411" s="190"/>
      <c r="M411" s="193"/>
      <c r="N411" s="27" t="s">
        <v>81</v>
      </c>
      <c r="O411" s="28">
        <v>4</v>
      </c>
      <c r="P411" s="28">
        <v>34</v>
      </c>
      <c r="Q411" s="27" t="s">
        <v>66</v>
      </c>
      <c r="R411" s="27"/>
      <c r="S411" s="48"/>
    </row>
    <row r="412" spans="2:19" x14ac:dyDescent="0.25">
      <c r="B412" s="190"/>
      <c r="C412" s="193"/>
      <c r="D412" s="27" t="s">
        <v>82</v>
      </c>
      <c r="E412" s="28">
        <v>5</v>
      </c>
      <c r="F412" s="28">
        <v>35</v>
      </c>
      <c r="G412" s="27" t="s">
        <v>66</v>
      </c>
      <c r="H412" s="27"/>
      <c r="I412" s="48"/>
      <c r="L412" s="190"/>
      <c r="M412" s="193"/>
      <c r="N412" s="27" t="s">
        <v>82</v>
      </c>
      <c r="O412" s="28">
        <v>5</v>
      </c>
      <c r="P412" s="28">
        <v>35</v>
      </c>
      <c r="Q412" s="27" t="s">
        <v>66</v>
      </c>
      <c r="R412" s="27"/>
      <c r="S412" s="48"/>
    </row>
    <row r="413" spans="2:19" ht="15.75" thickBot="1" x14ac:dyDescent="0.3">
      <c r="B413" s="191"/>
      <c r="C413" s="194"/>
      <c r="D413" s="27" t="s">
        <v>83</v>
      </c>
      <c r="E413" s="28">
        <v>6</v>
      </c>
      <c r="F413" s="28">
        <v>36</v>
      </c>
      <c r="G413" s="27" t="s">
        <v>66</v>
      </c>
      <c r="H413" s="27"/>
      <c r="I413" s="48"/>
      <c r="L413" s="191"/>
      <c r="M413" s="194"/>
      <c r="N413" s="27" t="s">
        <v>83</v>
      </c>
      <c r="O413" s="28">
        <v>6</v>
      </c>
      <c r="P413" s="28">
        <v>36</v>
      </c>
      <c r="Q413" s="27" t="s">
        <v>66</v>
      </c>
      <c r="R413" s="27"/>
      <c r="S413" s="48"/>
    </row>
    <row r="414" spans="2:19" x14ac:dyDescent="0.25">
      <c r="B414" s="183" t="s">
        <v>81</v>
      </c>
      <c r="C414" s="186" t="s">
        <v>77</v>
      </c>
      <c r="D414" s="29" t="s">
        <v>2</v>
      </c>
      <c r="E414" s="30">
        <v>1</v>
      </c>
      <c r="F414" s="30">
        <v>37</v>
      </c>
      <c r="G414" s="29" t="s">
        <v>66</v>
      </c>
      <c r="H414" s="29"/>
      <c r="I414" s="49"/>
      <c r="L414" s="183" t="s">
        <v>81</v>
      </c>
      <c r="M414" s="186" t="s">
        <v>77</v>
      </c>
      <c r="N414" s="29" t="s">
        <v>2</v>
      </c>
      <c r="O414" s="30">
        <v>1</v>
      </c>
      <c r="P414" s="30">
        <v>37</v>
      </c>
      <c r="Q414" s="29" t="s">
        <v>66</v>
      </c>
      <c r="R414" s="29"/>
      <c r="S414" s="49"/>
    </row>
    <row r="415" spans="2:19" x14ac:dyDescent="0.25">
      <c r="B415" s="184"/>
      <c r="C415" s="187"/>
      <c r="D415" s="29" t="s">
        <v>3</v>
      </c>
      <c r="E415" s="30">
        <v>2</v>
      </c>
      <c r="F415" s="30">
        <v>38</v>
      </c>
      <c r="G415" s="29" t="s">
        <v>66</v>
      </c>
      <c r="H415" s="29"/>
      <c r="I415" s="49"/>
      <c r="L415" s="184"/>
      <c r="M415" s="187"/>
      <c r="N415" s="29" t="s">
        <v>3</v>
      </c>
      <c r="O415" s="30">
        <v>2</v>
      </c>
      <c r="P415" s="30">
        <v>38</v>
      </c>
      <c r="Q415" s="29" t="s">
        <v>66</v>
      </c>
      <c r="R415" s="29"/>
      <c r="S415" s="49"/>
    </row>
    <row r="416" spans="2:19" x14ac:dyDescent="0.25">
      <c r="B416" s="184"/>
      <c r="C416" s="187"/>
      <c r="D416" s="29" t="s">
        <v>80</v>
      </c>
      <c r="E416" s="30">
        <v>3</v>
      </c>
      <c r="F416" s="30">
        <v>39</v>
      </c>
      <c r="G416" s="29" t="s">
        <v>66</v>
      </c>
      <c r="H416" s="29"/>
      <c r="I416" s="49"/>
      <c r="L416" s="184"/>
      <c r="M416" s="187"/>
      <c r="N416" s="29" t="s">
        <v>80</v>
      </c>
      <c r="O416" s="30">
        <v>3</v>
      </c>
      <c r="P416" s="30">
        <v>39</v>
      </c>
      <c r="Q416" s="29" t="s">
        <v>66</v>
      </c>
      <c r="R416" s="29"/>
      <c r="S416" s="49"/>
    </row>
    <row r="417" spans="2:19" x14ac:dyDescent="0.25">
      <c r="B417" s="184"/>
      <c r="C417" s="187"/>
      <c r="D417" s="29" t="s">
        <v>81</v>
      </c>
      <c r="E417" s="30">
        <v>4</v>
      </c>
      <c r="F417" s="30">
        <v>40</v>
      </c>
      <c r="G417" s="29" t="s">
        <v>66</v>
      </c>
      <c r="H417" s="29"/>
      <c r="I417" s="49"/>
      <c r="L417" s="184"/>
      <c r="M417" s="187"/>
      <c r="N417" s="29" t="s">
        <v>81</v>
      </c>
      <c r="O417" s="30">
        <v>4</v>
      </c>
      <c r="P417" s="30">
        <v>40</v>
      </c>
      <c r="Q417" s="29" t="s">
        <v>66</v>
      </c>
      <c r="R417" s="29"/>
      <c r="S417" s="49"/>
    </row>
    <row r="418" spans="2:19" x14ac:dyDescent="0.25">
      <c r="B418" s="184"/>
      <c r="C418" s="187"/>
      <c r="D418" s="29" t="s">
        <v>82</v>
      </c>
      <c r="E418" s="30">
        <v>5</v>
      </c>
      <c r="F418" s="30">
        <v>41</v>
      </c>
      <c r="G418" s="29" t="s">
        <v>66</v>
      </c>
      <c r="H418" s="29"/>
      <c r="I418" s="49"/>
      <c r="L418" s="184"/>
      <c r="M418" s="187"/>
      <c r="N418" s="29" t="s">
        <v>82</v>
      </c>
      <c r="O418" s="30">
        <v>5</v>
      </c>
      <c r="P418" s="30">
        <v>41</v>
      </c>
      <c r="Q418" s="29" t="s">
        <v>66</v>
      </c>
      <c r="R418" s="29"/>
      <c r="S418" s="49"/>
    </row>
    <row r="419" spans="2:19" ht="15.75" thickBot="1" x14ac:dyDescent="0.3">
      <c r="B419" s="184"/>
      <c r="C419" s="188"/>
      <c r="D419" s="29" t="s">
        <v>83</v>
      </c>
      <c r="E419" s="30">
        <v>6</v>
      </c>
      <c r="F419" s="30">
        <v>42</v>
      </c>
      <c r="G419" s="29" t="s">
        <v>66</v>
      </c>
      <c r="H419" s="29"/>
      <c r="I419" s="49"/>
      <c r="L419" s="184"/>
      <c r="M419" s="188"/>
      <c r="N419" s="29" t="s">
        <v>83</v>
      </c>
      <c r="O419" s="30">
        <v>6</v>
      </c>
      <c r="P419" s="30">
        <v>42</v>
      </c>
      <c r="Q419" s="29" t="s">
        <v>66</v>
      </c>
      <c r="R419" s="29"/>
      <c r="S419" s="49"/>
    </row>
    <row r="420" spans="2:19" x14ac:dyDescent="0.25">
      <c r="B420" s="184"/>
      <c r="C420" s="186" t="s">
        <v>84</v>
      </c>
      <c r="D420" s="29" t="s">
        <v>2</v>
      </c>
      <c r="E420" s="30">
        <v>1</v>
      </c>
      <c r="F420" s="30">
        <v>43</v>
      </c>
      <c r="G420" s="29" t="s">
        <v>66</v>
      </c>
      <c r="H420" s="29"/>
      <c r="I420" s="49"/>
      <c r="L420" s="184"/>
      <c r="M420" s="186" t="s">
        <v>84</v>
      </c>
      <c r="N420" s="29" t="s">
        <v>2</v>
      </c>
      <c r="O420" s="30">
        <v>1</v>
      </c>
      <c r="P420" s="30">
        <v>43</v>
      </c>
      <c r="Q420" s="29" t="s">
        <v>66</v>
      </c>
      <c r="R420" s="29"/>
      <c r="S420" s="49"/>
    </row>
    <row r="421" spans="2:19" x14ac:dyDescent="0.25">
      <c r="B421" s="184"/>
      <c r="C421" s="187"/>
      <c r="D421" s="29" t="s">
        <v>3</v>
      </c>
      <c r="E421" s="30">
        <v>2</v>
      </c>
      <c r="F421" s="30">
        <v>44</v>
      </c>
      <c r="G421" s="29" t="s">
        <v>66</v>
      </c>
      <c r="H421" s="29"/>
      <c r="I421" s="49"/>
      <c r="L421" s="184"/>
      <c r="M421" s="187"/>
      <c r="N421" s="29" t="s">
        <v>3</v>
      </c>
      <c r="O421" s="30">
        <v>2</v>
      </c>
      <c r="P421" s="30">
        <v>44</v>
      </c>
      <c r="Q421" s="29" t="s">
        <v>66</v>
      </c>
      <c r="R421" s="29"/>
      <c r="S421" s="49"/>
    </row>
    <row r="422" spans="2:19" x14ac:dyDescent="0.25">
      <c r="B422" s="184"/>
      <c r="C422" s="187"/>
      <c r="D422" s="29" t="s">
        <v>80</v>
      </c>
      <c r="E422" s="30">
        <v>3</v>
      </c>
      <c r="F422" s="30">
        <v>45</v>
      </c>
      <c r="G422" s="29" t="s">
        <v>66</v>
      </c>
      <c r="H422" s="29"/>
      <c r="I422" s="49"/>
      <c r="L422" s="184"/>
      <c r="M422" s="187"/>
      <c r="N422" s="29" t="s">
        <v>80</v>
      </c>
      <c r="O422" s="30">
        <v>3</v>
      </c>
      <c r="P422" s="30">
        <v>45</v>
      </c>
      <c r="Q422" s="29" t="s">
        <v>66</v>
      </c>
      <c r="R422" s="29"/>
      <c r="S422" s="49"/>
    </row>
    <row r="423" spans="2:19" x14ac:dyDescent="0.25">
      <c r="B423" s="184"/>
      <c r="C423" s="187"/>
      <c r="D423" s="29" t="s">
        <v>81</v>
      </c>
      <c r="E423" s="30">
        <v>4</v>
      </c>
      <c r="F423" s="30">
        <v>46</v>
      </c>
      <c r="G423" s="29" t="s">
        <v>66</v>
      </c>
      <c r="H423" s="29"/>
      <c r="I423" s="49"/>
      <c r="L423" s="184"/>
      <c r="M423" s="187"/>
      <c r="N423" s="29" t="s">
        <v>81</v>
      </c>
      <c r="O423" s="30">
        <v>4</v>
      </c>
      <c r="P423" s="30">
        <v>46</v>
      </c>
      <c r="Q423" s="29" t="s">
        <v>66</v>
      </c>
      <c r="R423" s="29"/>
      <c r="S423" s="49"/>
    </row>
    <row r="424" spans="2:19" x14ac:dyDescent="0.25">
      <c r="B424" s="184"/>
      <c r="C424" s="187"/>
      <c r="D424" s="29" t="s">
        <v>82</v>
      </c>
      <c r="E424" s="30">
        <v>5</v>
      </c>
      <c r="F424" s="30">
        <v>47</v>
      </c>
      <c r="G424" s="29" t="s">
        <v>66</v>
      </c>
      <c r="H424" s="29"/>
      <c r="I424" s="49"/>
      <c r="L424" s="184"/>
      <c r="M424" s="187"/>
      <c r="N424" s="29" t="s">
        <v>82</v>
      </c>
      <c r="O424" s="30">
        <v>5</v>
      </c>
      <c r="P424" s="30">
        <v>47</v>
      </c>
      <c r="Q424" s="29" t="s">
        <v>66</v>
      </c>
      <c r="R424" s="29"/>
      <c r="S424" s="49"/>
    </row>
    <row r="425" spans="2:19" ht="15.75" thickBot="1" x14ac:dyDescent="0.3">
      <c r="B425" s="185"/>
      <c r="C425" s="188"/>
      <c r="D425" s="29" t="s">
        <v>83</v>
      </c>
      <c r="E425" s="30">
        <v>6</v>
      </c>
      <c r="F425" s="30">
        <v>48</v>
      </c>
      <c r="G425" s="29" t="s">
        <v>66</v>
      </c>
      <c r="H425" s="29"/>
      <c r="I425" s="49"/>
      <c r="L425" s="185"/>
      <c r="M425" s="188"/>
      <c r="N425" s="29" t="s">
        <v>83</v>
      </c>
      <c r="O425" s="30">
        <v>6</v>
      </c>
      <c r="P425" s="30">
        <v>48</v>
      </c>
      <c r="Q425" s="29" t="s">
        <v>66</v>
      </c>
      <c r="R425" s="29"/>
      <c r="S425" s="49"/>
    </row>
    <row r="431" spans="2:19" ht="15.75" thickBot="1" x14ac:dyDescent="0.3"/>
    <row r="432" spans="2:19" ht="15.75" thickBot="1" x14ac:dyDescent="0.3">
      <c r="B432" s="171" t="s">
        <v>315</v>
      </c>
      <c r="C432" s="172"/>
      <c r="D432" s="172"/>
      <c r="E432" s="172"/>
      <c r="F432" s="172"/>
      <c r="G432" s="172"/>
      <c r="H432" s="172"/>
      <c r="I432" s="173"/>
      <c r="L432" s="171" t="s">
        <v>316</v>
      </c>
      <c r="M432" s="172"/>
      <c r="N432" s="172"/>
      <c r="O432" s="172"/>
      <c r="P432" s="172"/>
      <c r="Q432" s="172"/>
      <c r="R432" s="172"/>
      <c r="S432" s="173"/>
    </row>
    <row r="434" spans="2:19" ht="26.25" thickBot="1" x14ac:dyDescent="0.3">
      <c r="B434" s="15" t="s">
        <v>70</v>
      </c>
      <c r="C434" s="16" t="s">
        <v>71</v>
      </c>
      <c r="D434" s="15" t="s">
        <v>72</v>
      </c>
      <c r="E434" s="17" t="s">
        <v>73</v>
      </c>
      <c r="F434" s="17" t="s">
        <v>74</v>
      </c>
      <c r="G434" s="15" t="s">
        <v>75</v>
      </c>
      <c r="H434" s="15" t="s">
        <v>55</v>
      </c>
      <c r="I434" s="15" t="s">
        <v>76</v>
      </c>
      <c r="L434" s="15" t="s">
        <v>70</v>
      </c>
      <c r="M434" s="16" t="s">
        <v>71</v>
      </c>
      <c r="N434" s="15" t="s">
        <v>72</v>
      </c>
      <c r="O434" s="17" t="s">
        <v>73</v>
      </c>
      <c r="P434" s="17" t="s">
        <v>74</v>
      </c>
      <c r="Q434" s="15" t="s">
        <v>75</v>
      </c>
      <c r="R434" s="15" t="s">
        <v>55</v>
      </c>
      <c r="S434" s="15" t="s">
        <v>76</v>
      </c>
    </row>
    <row r="435" spans="2:19" x14ac:dyDescent="0.25">
      <c r="B435" s="174" t="s">
        <v>2</v>
      </c>
      <c r="C435" s="168" t="s">
        <v>77</v>
      </c>
      <c r="D435" s="18" t="s">
        <v>2</v>
      </c>
      <c r="E435" s="19">
        <v>1</v>
      </c>
      <c r="F435" s="19">
        <v>1</v>
      </c>
      <c r="G435" s="18" t="s">
        <v>78</v>
      </c>
      <c r="H435" s="156" t="s">
        <v>300</v>
      </c>
      <c r="I435" s="165" t="s">
        <v>182</v>
      </c>
      <c r="L435" s="174" t="s">
        <v>2</v>
      </c>
      <c r="M435" s="168" t="s">
        <v>77</v>
      </c>
      <c r="N435" s="18" t="s">
        <v>2</v>
      </c>
      <c r="O435" s="19">
        <v>1</v>
      </c>
      <c r="P435" s="19">
        <v>1</v>
      </c>
      <c r="Q435" s="18" t="s">
        <v>78</v>
      </c>
      <c r="R435" s="156" t="s">
        <v>300</v>
      </c>
      <c r="S435" s="165" t="s">
        <v>156</v>
      </c>
    </row>
    <row r="436" spans="2:19" x14ac:dyDescent="0.25">
      <c r="B436" s="175"/>
      <c r="C436" s="169"/>
      <c r="D436" s="18" t="s">
        <v>3</v>
      </c>
      <c r="E436" s="19">
        <v>2</v>
      </c>
      <c r="F436" s="19">
        <v>2</v>
      </c>
      <c r="G436" s="18" t="s">
        <v>78</v>
      </c>
      <c r="H436" s="157"/>
      <c r="I436" s="166"/>
      <c r="L436" s="175"/>
      <c r="M436" s="169"/>
      <c r="N436" s="18" t="s">
        <v>3</v>
      </c>
      <c r="O436" s="19">
        <v>2</v>
      </c>
      <c r="P436" s="19">
        <v>2</v>
      </c>
      <c r="Q436" s="18" t="s">
        <v>78</v>
      </c>
      <c r="R436" s="157"/>
      <c r="S436" s="166"/>
    </row>
    <row r="437" spans="2:19" x14ac:dyDescent="0.25">
      <c r="B437" s="175"/>
      <c r="C437" s="169"/>
      <c r="D437" s="18" t="s">
        <v>80</v>
      </c>
      <c r="E437" s="20">
        <v>3</v>
      </c>
      <c r="F437" s="20">
        <v>3</v>
      </c>
      <c r="G437" s="18" t="s">
        <v>66</v>
      </c>
      <c r="H437" s="157"/>
      <c r="I437" s="166"/>
      <c r="L437" s="175"/>
      <c r="M437" s="169"/>
      <c r="N437" s="18" t="s">
        <v>80</v>
      </c>
      <c r="O437" s="20">
        <v>3</v>
      </c>
      <c r="P437" s="20">
        <v>3</v>
      </c>
      <c r="Q437" s="18" t="s">
        <v>66</v>
      </c>
      <c r="R437" s="157"/>
      <c r="S437" s="166"/>
    </row>
    <row r="438" spans="2:19" x14ac:dyDescent="0.25">
      <c r="B438" s="175"/>
      <c r="C438" s="169"/>
      <c r="D438" s="18" t="s">
        <v>81</v>
      </c>
      <c r="E438" s="20">
        <v>4</v>
      </c>
      <c r="F438" s="20">
        <v>4</v>
      </c>
      <c r="G438" s="18" t="s">
        <v>66</v>
      </c>
      <c r="H438" s="157"/>
      <c r="I438" s="166"/>
      <c r="L438" s="175"/>
      <c r="M438" s="169"/>
      <c r="N438" s="18" t="s">
        <v>81</v>
      </c>
      <c r="O438" s="20">
        <v>4</v>
      </c>
      <c r="P438" s="20">
        <v>4</v>
      </c>
      <c r="Q438" s="18" t="s">
        <v>66</v>
      </c>
      <c r="R438" s="157"/>
      <c r="S438" s="166"/>
    </row>
    <row r="439" spans="2:19" x14ac:dyDescent="0.25">
      <c r="B439" s="175"/>
      <c r="C439" s="169"/>
      <c r="D439" s="18" t="s">
        <v>82</v>
      </c>
      <c r="E439" s="20">
        <v>5</v>
      </c>
      <c r="F439" s="20">
        <v>5</v>
      </c>
      <c r="G439" s="18" t="s">
        <v>66</v>
      </c>
      <c r="H439" s="157"/>
      <c r="I439" s="166"/>
      <c r="L439" s="175"/>
      <c r="M439" s="169"/>
      <c r="N439" s="18" t="s">
        <v>82</v>
      </c>
      <c r="O439" s="20">
        <v>5</v>
      </c>
      <c r="P439" s="20">
        <v>5</v>
      </c>
      <c r="Q439" s="18" t="s">
        <v>66</v>
      </c>
      <c r="R439" s="157"/>
      <c r="S439" s="166"/>
    </row>
    <row r="440" spans="2:19" ht="15.75" thickBot="1" x14ac:dyDescent="0.3">
      <c r="B440" s="175"/>
      <c r="C440" s="170"/>
      <c r="D440" s="18" t="s">
        <v>83</v>
      </c>
      <c r="E440" s="20">
        <v>6</v>
      </c>
      <c r="F440" s="20">
        <v>6</v>
      </c>
      <c r="G440" s="18" t="s">
        <v>66</v>
      </c>
      <c r="H440" s="158"/>
      <c r="I440" s="167"/>
      <c r="L440" s="175"/>
      <c r="M440" s="170"/>
      <c r="N440" s="18" t="s">
        <v>83</v>
      </c>
      <c r="O440" s="20">
        <v>6</v>
      </c>
      <c r="P440" s="20">
        <v>6</v>
      </c>
      <c r="Q440" s="18" t="s">
        <v>66</v>
      </c>
      <c r="R440" s="158"/>
      <c r="S440" s="167"/>
    </row>
    <row r="441" spans="2:19" x14ac:dyDescent="0.25">
      <c r="B441" s="175"/>
      <c r="C441" s="168" t="s">
        <v>84</v>
      </c>
      <c r="D441" s="18" t="s">
        <v>2</v>
      </c>
      <c r="E441" s="19">
        <v>1</v>
      </c>
      <c r="F441" s="19">
        <v>7</v>
      </c>
      <c r="G441" s="18" t="s">
        <v>66</v>
      </c>
      <c r="H441" s="32"/>
      <c r="I441" s="50"/>
      <c r="L441" s="175"/>
      <c r="M441" s="168" t="s">
        <v>84</v>
      </c>
      <c r="N441" s="18" t="s">
        <v>2</v>
      </c>
      <c r="O441" s="19">
        <v>1</v>
      </c>
      <c r="P441" s="19">
        <v>7</v>
      </c>
      <c r="Q441" s="18" t="s">
        <v>66</v>
      </c>
      <c r="R441" s="32"/>
      <c r="S441" s="50"/>
    </row>
    <row r="442" spans="2:19" x14ac:dyDescent="0.25">
      <c r="B442" s="175"/>
      <c r="C442" s="169"/>
      <c r="D442" s="18" t="s">
        <v>3</v>
      </c>
      <c r="E442" s="19">
        <v>2</v>
      </c>
      <c r="F442" s="19">
        <v>8</v>
      </c>
      <c r="G442" s="18" t="s">
        <v>66</v>
      </c>
      <c r="H442" s="32"/>
      <c r="I442" s="50"/>
      <c r="L442" s="175"/>
      <c r="M442" s="169"/>
      <c r="N442" s="18" t="s">
        <v>3</v>
      </c>
      <c r="O442" s="19">
        <v>2</v>
      </c>
      <c r="P442" s="19">
        <v>8</v>
      </c>
      <c r="Q442" s="18" t="s">
        <v>66</v>
      </c>
      <c r="R442" s="32"/>
      <c r="S442" s="50"/>
    </row>
    <row r="443" spans="2:19" x14ac:dyDescent="0.25">
      <c r="B443" s="175"/>
      <c r="C443" s="169"/>
      <c r="D443" s="18" t="s">
        <v>80</v>
      </c>
      <c r="E443" s="20">
        <v>3</v>
      </c>
      <c r="F443" s="20">
        <v>9</v>
      </c>
      <c r="G443" s="18" t="s">
        <v>66</v>
      </c>
      <c r="H443" s="32"/>
      <c r="I443" s="50"/>
      <c r="L443" s="175"/>
      <c r="M443" s="169"/>
      <c r="N443" s="18" t="s">
        <v>80</v>
      </c>
      <c r="O443" s="20">
        <v>3</v>
      </c>
      <c r="P443" s="20">
        <v>9</v>
      </c>
      <c r="Q443" s="18" t="s">
        <v>66</v>
      </c>
      <c r="R443" s="32"/>
      <c r="S443" s="50"/>
    </row>
    <row r="444" spans="2:19" x14ac:dyDescent="0.25">
      <c r="B444" s="175"/>
      <c r="C444" s="169"/>
      <c r="D444" s="18" t="s">
        <v>81</v>
      </c>
      <c r="E444" s="20">
        <v>4</v>
      </c>
      <c r="F444" s="20">
        <v>10</v>
      </c>
      <c r="G444" s="18" t="s">
        <v>66</v>
      </c>
      <c r="H444" s="32"/>
      <c r="I444" s="50"/>
      <c r="L444" s="175"/>
      <c r="M444" s="169"/>
      <c r="N444" s="18" t="s">
        <v>81</v>
      </c>
      <c r="O444" s="20">
        <v>4</v>
      </c>
      <c r="P444" s="20">
        <v>10</v>
      </c>
      <c r="Q444" s="18" t="s">
        <v>66</v>
      </c>
      <c r="R444" s="32"/>
      <c r="S444" s="50"/>
    </row>
    <row r="445" spans="2:19" x14ac:dyDescent="0.25">
      <c r="B445" s="175"/>
      <c r="C445" s="169"/>
      <c r="D445" s="18" t="s">
        <v>82</v>
      </c>
      <c r="E445" s="20">
        <v>5</v>
      </c>
      <c r="F445" s="20">
        <v>11</v>
      </c>
      <c r="G445" s="18" t="s">
        <v>66</v>
      </c>
      <c r="H445" s="32"/>
      <c r="I445" s="50"/>
      <c r="L445" s="175"/>
      <c r="M445" s="169"/>
      <c r="N445" s="18" t="s">
        <v>82</v>
      </c>
      <c r="O445" s="20">
        <v>5</v>
      </c>
      <c r="P445" s="20">
        <v>11</v>
      </c>
      <c r="Q445" s="18" t="s">
        <v>66</v>
      </c>
      <c r="R445" s="32"/>
      <c r="S445" s="50"/>
    </row>
    <row r="446" spans="2:19" ht="15.75" thickBot="1" x14ac:dyDescent="0.3">
      <c r="B446" s="176"/>
      <c r="C446" s="170"/>
      <c r="D446" s="18" t="s">
        <v>83</v>
      </c>
      <c r="E446" s="20">
        <v>6</v>
      </c>
      <c r="F446" s="20">
        <v>12</v>
      </c>
      <c r="G446" s="18" t="s">
        <v>66</v>
      </c>
      <c r="H446" s="32"/>
      <c r="I446" s="50"/>
      <c r="L446" s="176"/>
      <c r="M446" s="170"/>
      <c r="N446" s="18" t="s">
        <v>83</v>
      </c>
      <c r="O446" s="20">
        <v>6</v>
      </c>
      <c r="P446" s="20">
        <v>12</v>
      </c>
      <c r="Q446" s="18" t="s">
        <v>66</v>
      </c>
      <c r="R446" s="32"/>
      <c r="S446" s="50"/>
    </row>
    <row r="447" spans="2:19" x14ac:dyDescent="0.25">
      <c r="B447" s="180" t="s">
        <v>3</v>
      </c>
      <c r="C447" s="177" t="s">
        <v>77</v>
      </c>
      <c r="D447" s="21" t="s">
        <v>2</v>
      </c>
      <c r="E447" s="22">
        <v>1</v>
      </c>
      <c r="F447" s="22">
        <v>13</v>
      </c>
      <c r="G447" s="21" t="s">
        <v>66</v>
      </c>
      <c r="H447" s="21"/>
      <c r="I447" s="51"/>
      <c r="L447" s="180" t="s">
        <v>3</v>
      </c>
      <c r="M447" s="177" t="s">
        <v>77</v>
      </c>
      <c r="N447" s="21" t="s">
        <v>2</v>
      </c>
      <c r="O447" s="22">
        <v>1</v>
      </c>
      <c r="P447" s="22">
        <v>13</v>
      </c>
      <c r="Q447" s="21" t="s">
        <v>66</v>
      </c>
      <c r="R447" s="21"/>
      <c r="S447" s="51"/>
    </row>
    <row r="448" spans="2:19" x14ac:dyDescent="0.25">
      <c r="B448" s="181"/>
      <c r="C448" s="178"/>
      <c r="D448" s="23" t="s">
        <v>3</v>
      </c>
      <c r="E448" s="24">
        <v>2</v>
      </c>
      <c r="F448" s="24">
        <v>14</v>
      </c>
      <c r="G448" s="23" t="s">
        <v>66</v>
      </c>
      <c r="H448" s="23"/>
      <c r="I448" s="47"/>
      <c r="L448" s="181"/>
      <c r="M448" s="178"/>
      <c r="N448" s="23" t="s">
        <v>3</v>
      </c>
      <c r="O448" s="24">
        <v>2</v>
      </c>
      <c r="P448" s="24">
        <v>14</v>
      </c>
      <c r="Q448" s="23" t="s">
        <v>66</v>
      </c>
      <c r="R448" s="23"/>
      <c r="S448" s="47"/>
    </row>
    <row r="449" spans="2:19" x14ac:dyDescent="0.25">
      <c r="B449" s="181"/>
      <c r="C449" s="178"/>
      <c r="D449" s="23" t="s">
        <v>80</v>
      </c>
      <c r="E449" s="24">
        <v>3</v>
      </c>
      <c r="F449" s="24">
        <v>15</v>
      </c>
      <c r="G449" s="23" t="s">
        <v>66</v>
      </c>
      <c r="H449" s="23"/>
      <c r="I449" s="47"/>
      <c r="L449" s="181"/>
      <c r="M449" s="178"/>
      <c r="N449" s="23" t="s">
        <v>80</v>
      </c>
      <c r="O449" s="24">
        <v>3</v>
      </c>
      <c r="P449" s="24">
        <v>15</v>
      </c>
      <c r="Q449" s="23" t="s">
        <v>66</v>
      </c>
      <c r="R449" s="23"/>
      <c r="S449" s="47"/>
    </row>
    <row r="450" spans="2:19" x14ac:dyDescent="0.25">
      <c r="B450" s="181"/>
      <c r="C450" s="178"/>
      <c r="D450" s="23" t="s">
        <v>81</v>
      </c>
      <c r="E450" s="24">
        <v>4</v>
      </c>
      <c r="F450" s="24">
        <v>16</v>
      </c>
      <c r="G450" s="23" t="s">
        <v>66</v>
      </c>
      <c r="H450" s="23"/>
      <c r="I450" s="47"/>
      <c r="L450" s="181"/>
      <c r="M450" s="178"/>
      <c r="N450" s="23" t="s">
        <v>81</v>
      </c>
      <c r="O450" s="24">
        <v>4</v>
      </c>
      <c r="P450" s="24">
        <v>16</v>
      </c>
      <c r="Q450" s="23" t="s">
        <v>66</v>
      </c>
      <c r="R450" s="23"/>
      <c r="S450" s="47"/>
    </row>
    <row r="451" spans="2:19" x14ac:dyDescent="0.25">
      <c r="B451" s="181"/>
      <c r="C451" s="178"/>
      <c r="D451" s="23" t="s">
        <v>82</v>
      </c>
      <c r="E451" s="24">
        <v>5</v>
      </c>
      <c r="F451" s="24">
        <v>17</v>
      </c>
      <c r="G451" s="23" t="s">
        <v>66</v>
      </c>
      <c r="H451" s="23"/>
      <c r="I451" s="47"/>
      <c r="L451" s="181"/>
      <c r="M451" s="178"/>
      <c r="N451" s="23" t="s">
        <v>82</v>
      </c>
      <c r="O451" s="24">
        <v>5</v>
      </c>
      <c r="P451" s="24">
        <v>17</v>
      </c>
      <c r="Q451" s="23" t="s">
        <v>66</v>
      </c>
      <c r="R451" s="23"/>
      <c r="S451" s="47"/>
    </row>
    <row r="452" spans="2:19" ht="15.75" thickBot="1" x14ac:dyDescent="0.3">
      <c r="B452" s="181"/>
      <c r="C452" s="179"/>
      <c r="D452" s="23" t="s">
        <v>83</v>
      </c>
      <c r="E452" s="24">
        <v>6</v>
      </c>
      <c r="F452" s="24">
        <v>18</v>
      </c>
      <c r="G452" s="23" t="s">
        <v>66</v>
      </c>
      <c r="H452" s="23"/>
      <c r="I452" s="47"/>
      <c r="L452" s="181"/>
      <c r="M452" s="179"/>
      <c r="N452" s="23" t="s">
        <v>83</v>
      </c>
      <c r="O452" s="24">
        <v>6</v>
      </c>
      <c r="P452" s="24">
        <v>18</v>
      </c>
      <c r="Q452" s="23" t="s">
        <v>66</v>
      </c>
      <c r="R452" s="23"/>
      <c r="S452" s="47"/>
    </row>
    <row r="453" spans="2:19" x14ac:dyDescent="0.25">
      <c r="B453" s="181"/>
      <c r="C453" s="177" t="s">
        <v>84</v>
      </c>
      <c r="D453" s="23" t="s">
        <v>2</v>
      </c>
      <c r="E453" s="24">
        <v>1</v>
      </c>
      <c r="F453" s="24">
        <v>19</v>
      </c>
      <c r="G453" s="23" t="s">
        <v>66</v>
      </c>
      <c r="H453" s="23"/>
      <c r="I453" s="47"/>
      <c r="L453" s="181"/>
      <c r="M453" s="177" t="s">
        <v>84</v>
      </c>
      <c r="N453" s="23" t="s">
        <v>2</v>
      </c>
      <c r="O453" s="24">
        <v>1</v>
      </c>
      <c r="P453" s="24">
        <v>19</v>
      </c>
      <c r="Q453" s="23" t="s">
        <v>66</v>
      </c>
      <c r="R453" s="23"/>
      <c r="S453" s="47"/>
    </row>
    <row r="454" spans="2:19" x14ac:dyDescent="0.25">
      <c r="B454" s="181"/>
      <c r="C454" s="178"/>
      <c r="D454" s="23" t="s">
        <v>3</v>
      </c>
      <c r="E454" s="24">
        <v>2</v>
      </c>
      <c r="F454" s="24">
        <v>20</v>
      </c>
      <c r="G454" s="23" t="s">
        <v>66</v>
      </c>
      <c r="H454" s="23"/>
      <c r="I454" s="47"/>
      <c r="L454" s="181"/>
      <c r="M454" s="178"/>
      <c r="N454" s="23" t="s">
        <v>3</v>
      </c>
      <c r="O454" s="24">
        <v>2</v>
      </c>
      <c r="P454" s="24">
        <v>20</v>
      </c>
      <c r="Q454" s="23" t="s">
        <v>66</v>
      </c>
      <c r="R454" s="23"/>
      <c r="S454" s="47"/>
    </row>
    <row r="455" spans="2:19" x14ac:dyDescent="0.25">
      <c r="B455" s="181"/>
      <c r="C455" s="178"/>
      <c r="D455" s="23" t="s">
        <v>80</v>
      </c>
      <c r="E455" s="26">
        <v>3</v>
      </c>
      <c r="F455" s="24">
        <v>21</v>
      </c>
      <c r="G455" s="23" t="s">
        <v>66</v>
      </c>
      <c r="H455" s="23"/>
      <c r="I455" s="47"/>
      <c r="L455" s="181"/>
      <c r="M455" s="178"/>
      <c r="N455" s="23" t="s">
        <v>80</v>
      </c>
      <c r="O455" s="26">
        <v>3</v>
      </c>
      <c r="P455" s="24">
        <v>21</v>
      </c>
      <c r="Q455" s="23" t="s">
        <v>66</v>
      </c>
      <c r="R455" s="23"/>
      <c r="S455" s="47"/>
    </row>
    <row r="456" spans="2:19" x14ac:dyDescent="0.25">
      <c r="B456" s="181"/>
      <c r="C456" s="178"/>
      <c r="D456" s="23" t="s">
        <v>81</v>
      </c>
      <c r="E456" s="24">
        <v>4</v>
      </c>
      <c r="F456" s="24">
        <v>22</v>
      </c>
      <c r="G456" s="23" t="s">
        <v>66</v>
      </c>
      <c r="H456" s="23"/>
      <c r="I456" s="47"/>
      <c r="L456" s="181"/>
      <c r="M456" s="178"/>
      <c r="N456" s="23" t="s">
        <v>81</v>
      </c>
      <c r="O456" s="24">
        <v>4</v>
      </c>
      <c r="P456" s="24">
        <v>22</v>
      </c>
      <c r="Q456" s="23" t="s">
        <v>66</v>
      </c>
      <c r="R456" s="23"/>
      <c r="S456" s="47"/>
    </row>
    <row r="457" spans="2:19" x14ac:dyDescent="0.25">
      <c r="B457" s="181"/>
      <c r="C457" s="178"/>
      <c r="D457" s="23" t="s">
        <v>82</v>
      </c>
      <c r="E457" s="24">
        <v>5</v>
      </c>
      <c r="F457" s="24">
        <v>23</v>
      </c>
      <c r="G457" s="23" t="s">
        <v>66</v>
      </c>
      <c r="H457" s="23"/>
      <c r="I457" s="47"/>
      <c r="L457" s="181"/>
      <c r="M457" s="178"/>
      <c r="N457" s="23" t="s">
        <v>82</v>
      </c>
      <c r="O457" s="24">
        <v>5</v>
      </c>
      <c r="P457" s="24">
        <v>23</v>
      </c>
      <c r="Q457" s="23" t="s">
        <v>66</v>
      </c>
      <c r="R457" s="23"/>
      <c r="S457" s="47"/>
    </row>
    <row r="458" spans="2:19" ht="15.75" thickBot="1" x14ac:dyDescent="0.3">
      <c r="B458" s="182"/>
      <c r="C458" s="179"/>
      <c r="D458" s="23" t="s">
        <v>83</v>
      </c>
      <c r="E458" s="24">
        <v>6</v>
      </c>
      <c r="F458" s="24">
        <v>24</v>
      </c>
      <c r="G458" s="23" t="s">
        <v>66</v>
      </c>
      <c r="H458" s="23"/>
      <c r="I458" s="47"/>
      <c r="L458" s="182"/>
      <c r="M458" s="179"/>
      <c r="N458" s="23" t="s">
        <v>83</v>
      </c>
      <c r="O458" s="24">
        <v>6</v>
      </c>
      <c r="P458" s="24">
        <v>24</v>
      </c>
      <c r="Q458" s="23" t="s">
        <v>66</v>
      </c>
      <c r="R458" s="23"/>
      <c r="S458" s="47"/>
    </row>
    <row r="459" spans="2:19" x14ac:dyDescent="0.25">
      <c r="B459" s="189" t="s">
        <v>80</v>
      </c>
      <c r="C459" s="192" t="s">
        <v>77</v>
      </c>
      <c r="D459" s="27" t="s">
        <v>2</v>
      </c>
      <c r="E459" s="28">
        <v>1</v>
      </c>
      <c r="F459" s="28">
        <v>25</v>
      </c>
      <c r="G459" s="27" t="s">
        <v>66</v>
      </c>
      <c r="H459" s="27"/>
      <c r="I459" s="48"/>
      <c r="L459" s="189" t="s">
        <v>80</v>
      </c>
      <c r="M459" s="192" t="s">
        <v>77</v>
      </c>
      <c r="N459" s="27" t="s">
        <v>2</v>
      </c>
      <c r="O459" s="28">
        <v>1</v>
      </c>
      <c r="P459" s="28">
        <v>25</v>
      </c>
      <c r="Q459" s="27" t="s">
        <v>66</v>
      </c>
      <c r="R459" s="27"/>
      <c r="S459" s="48"/>
    </row>
    <row r="460" spans="2:19" x14ac:dyDescent="0.25">
      <c r="B460" s="190"/>
      <c r="C460" s="193"/>
      <c r="D460" s="27" t="s">
        <v>3</v>
      </c>
      <c r="E460" s="28">
        <v>2</v>
      </c>
      <c r="F460" s="28">
        <v>26</v>
      </c>
      <c r="G460" s="27" t="s">
        <v>66</v>
      </c>
      <c r="H460" s="27"/>
      <c r="I460" s="48"/>
      <c r="L460" s="190"/>
      <c r="M460" s="193"/>
      <c r="N460" s="27" t="s">
        <v>3</v>
      </c>
      <c r="O460" s="28">
        <v>2</v>
      </c>
      <c r="P460" s="28">
        <v>26</v>
      </c>
      <c r="Q460" s="27" t="s">
        <v>66</v>
      </c>
      <c r="R460" s="27"/>
      <c r="S460" s="48"/>
    </row>
    <row r="461" spans="2:19" x14ac:dyDescent="0.25">
      <c r="B461" s="190"/>
      <c r="C461" s="193"/>
      <c r="D461" s="27" t="s">
        <v>80</v>
      </c>
      <c r="E461" s="28">
        <v>3</v>
      </c>
      <c r="F461" s="28">
        <v>27</v>
      </c>
      <c r="G461" s="27" t="s">
        <v>66</v>
      </c>
      <c r="H461" s="27"/>
      <c r="I461" s="48"/>
      <c r="L461" s="190"/>
      <c r="M461" s="193"/>
      <c r="N461" s="27" t="s">
        <v>80</v>
      </c>
      <c r="O461" s="28">
        <v>3</v>
      </c>
      <c r="P461" s="28">
        <v>27</v>
      </c>
      <c r="Q461" s="27" t="s">
        <v>66</v>
      </c>
      <c r="R461" s="27"/>
      <c r="S461" s="48"/>
    </row>
    <row r="462" spans="2:19" x14ac:dyDescent="0.25">
      <c r="B462" s="190"/>
      <c r="C462" s="193"/>
      <c r="D462" s="27" t="s">
        <v>81</v>
      </c>
      <c r="E462" s="28">
        <v>4</v>
      </c>
      <c r="F462" s="28">
        <v>28</v>
      </c>
      <c r="G462" s="27" t="s">
        <v>66</v>
      </c>
      <c r="H462" s="27"/>
      <c r="I462" s="48"/>
      <c r="L462" s="190"/>
      <c r="M462" s="193"/>
      <c r="N462" s="27" t="s">
        <v>81</v>
      </c>
      <c r="O462" s="28">
        <v>4</v>
      </c>
      <c r="P462" s="28">
        <v>28</v>
      </c>
      <c r="Q462" s="27" t="s">
        <v>66</v>
      </c>
      <c r="R462" s="27"/>
      <c r="S462" s="48"/>
    </row>
    <row r="463" spans="2:19" x14ac:dyDescent="0.25">
      <c r="B463" s="190"/>
      <c r="C463" s="193"/>
      <c r="D463" s="27" t="s">
        <v>82</v>
      </c>
      <c r="E463" s="28">
        <v>5</v>
      </c>
      <c r="F463" s="28">
        <v>29</v>
      </c>
      <c r="G463" s="27" t="s">
        <v>66</v>
      </c>
      <c r="H463" s="27"/>
      <c r="I463" s="48"/>
      <c r="L463" s="190"/>
      <c r="M463" s="193"/>
      <c r="N463" s="27" t="s">
        <v>82</v>
      </c>
      <c r="O463" s="28">
        <v>5</v>
      </c>
      <c r="P463" s="28">
        <v>29</v>
      </c>
      <c r="Q463" s="27" t="s">
        <v>66</v>
      </c>
      <c r="R463" s="27"/>
      <c r="S463" s="48"/>
    </row>
    <row r="464" spans="2:19" ht="15.75" thickBot="1" x14ac:dyDescent="0.3">
      <c r="B464" s="190"/>
      <c r="C464" s="194"/>
      <c r="D464" s="27" t="s">
        <v>83</v>
      </c>
      <c r="E464" s="28">
        <v>6</v>
      </c>
      <c r="F464" s="28">
        <v>30</v>
      </c>
      <c r="G464" s="27" t="s">
        <v>66</v>
      </c>
      <c r="H464" s="27"/>
      <c r="I464" s="48"/>
      <c r="L464" s="190"/>
      <c r="M464" s="194"/>
      <c r="N464" s="27" t="s">
        <v>83</v>
      </c>
      <c r="O464" s="28">
        <v>6</v>
      </c>
      <c r="P464" s="28">
        <v>30</v>
      </c>
      <c r="Q464" s="27" t="s">
        <v>66</v>
      </c>
      <c r="R464" s="27"/>
      <c r="S464" s="48"/>
    </row>
    <row r="465" spans="2:19" x14ac:dyDescent="0.25">
      <c r="B465" s="190"/>
      <c r="C465" s="192" t="s">
        <v>84</v>
      </c>
      <c r="D465" s="27" t="s">
        <v>2</v>
      </c>
      <c r="E465" s="28">
        <v>1</v>
      </c>
      <c r="F465" s="28">
        <v>31</v>
      </c>
      <c r="G465" s="27" t="s">
        <v>66</v>
      </c>
      <c r="H465" s="27"/>
      <c r="I465" s="48"/>
      <c r="L465" s="190"/>
      <c r="M465" s="192" t="s">
        <v>84</v>
      </c>
      <c r="N465" s="27" t="s">
        <v>2</v>
      </c>
      <c r="O465" s="28">
        <v>1</v>
      </c>
      <c r="P465" s="28">
        <v>31</v>
      </c>
      <c r="Q465" s="27" t="s">
        <v>66</v>
      </c>
      <c r="R465" s="27"/>
      <c r="S465" s="48"/>
    </row>
    <row r="466" spans="2:19" x14ac:dyDescent="0.25">
      <c r="B466" s="190"/>
      <c r="C466" s="193"/>
      <c r="D466" s="27" t="s">
        <v>3</v>
      </c>
      <c r="E466" s="28">
        <v>2</v>
      </c>
      <c r="F466" s="28">
        <v>32</v>
      </c>
      <c r="G466" s="27" t="s">
        <v>66</v>
      </c>
      <c r="H466" s="27"/>
      <c r="I466" s="48"/>
      <c r="L466" s="190"/>
      <c r="M466" s="193"/>
      <c r="N466" s="27" t="s">
        <v>3</v>
      </c>
      <c r="O466" s="28">
        <v>2</v>
      </c>
      <c r="P466" s="28">
        <v>32</v>
      </c>
      <c r="Q466" s="27" t="s">
        <v>66</v>
      </c>
      <c r="R466" s="27"/>
      <c r="S466" s="48"/>
    </row>
    <row r="467" spans="2:19" x14ac:dyDescent="0.25">
      <c r="B467" s="190"/>
      <c r="C467" s="193"/>
      <c r="D467" s="27" t="s">
        <v>80</v>
      </c>
      <c r="E467" s="28">
        <v>3</v>
      </c>
      <c r="F467" s="28">
        <v>33</v>
      </c>
      <c r="G467" s="27" t="s">
        <v>66</v>
      </c>
      <c r="H467" s="27"/>
      <c r="I467" s="48"/>
      <c r="L467" s="190"/>
      <c r="M467" s="193"/>
      <c r="N467" s="27" t="s">
        <v>80</v>
      </c>
      <c r="O467" s="28">
        <v>3</v>
      </c>
      <c r="P467" s="28">
        <v>33</v>
      </c>
      <c r="Q467" s="27" t="s">
        <v>66</v>
      </c>
      <c r="R467" s="27"/>
      <c r="S467" s="48"/>
    </row>
    <row r="468" spans="2:19" x14ac:dyDescent="0.25">
      <c r="B468" s="190"/>
      <c r="C468" s="193"/>
      <c r="D468" s="27" t="s">
        <v>81</v>
      </c>
      <c r="E468" s="28">
        <v>4</v>
      </c>
      <c r="F468" s="28">
        <v>34</v>
      </c>
      <c r="G468" s="27" t="s">
        <v>66</v>
      </c>
      <c r="H468" s="27"/>
      <c r="I468" s="48"/>
      <c r="L468" s="190"/>
      <c r="M468" s="193"/>
      <c r="N468" s="27" t="s">
        <v>81</v>
      </c>
      <c r="O468" s="28">
        <v>4</v>
      </c>
      <c r="P468" s="28">
        <v>34</v>
      </c>
      <c r="Q468" s="27" t="s">
        <v>66</v>
      </c>
      <c r="R468" s="27"/>
      <c r="S468" s="48"/>
    </row>
    <row r="469" spans="2:19" x14ac:dyDescent="0.25">
      <c r="B469" s="190"/>
      <c r="C469" s="193"/>
      <c r="D469" s="27" t="s">
        <v>82</v>
      </c>
      <c r="E469" s="28">
        <v>5</v>
      </c>
      <c r="F469" s="28">
        <v>35</v>
      </c>
      <c r="G469" s="27" t="s">
        <v>66</v>
      </c>
      <c r="H469" s="27"/>
      <c r="I469" s="48"/>
      <c r="L469" s="190"/>
      <c r="M469" s="193"/>
      <c r="N469" s="27" t="s">
        <v>82</v>
      </c>
      <c r="O469" s="28">
        <v>5</v>
      </c>
      <c r="P469" s="28">
        <v>35</v>
      </c>
      <c r="Q469" s="27" t="s">
        <v>66</v>
      </c>
      <c r="R469" s="27"/>
      <c r="S469" s="48"/>
    </row>
    <row r="470" spans="2:19" ht="15.75" thickBot="1" x14ac:dyDescent="0.3">
      <c r="B470" s="191"/>
      <c r="C470" s="194"/>
      <c r="D470" s="27" t="s">
        <v>83</v>
      </c>
      <c r="E470" s="28">
        <v>6</v>
      </c>
      <c r="F470" s="28">
        <v>36</v>
      </c>
      <c r="G470" s="27" t="s">
        <v>66</v>
      </c>
      <c r="H470" s="27"/>
      <c r="I470" s="48"/>
      <c r="L470" s="191"/>
      <c r="M470" s="194"/>
      <c r="N470" s="27" t="s">
        <v>83</v>
      </c>
      <c r="O470" s="28">
        <v>6</v>
      </c>
      <c r="P470" s="28">
        <v>36</v>
      </c>
      <c r="Q470" s="27" t="s">
        <v>66</v>
      </c>
      <c r="R470" s="27"/>
      <c r="S470" s="48"/>
    </row>
    <row r="471" spans="2:19" x14ac:dyDescent="0.25">
      <c r="B471" s="183" t="s">
        <v>81</v>
      </c>
      <c r="C471" s="186" t="s">
        <v>77</v>
      </c>
      <c r="D471" s="29" t="s">
        <v>2</v>
      </c>
      <c r="E471" s="30">
        <v>1</v>
      </c>
      <c r="F471" s="30">
        <v>37</v>
      </c>
      <c r="G471" s="29" t="s">
        <v>66</v>
      </c>
      <c r="H471" s="29"/>
      <c r="I471" s="49"/>
      <c r="L471" s="183" t="s">
        <v>81</v>
      </c>
      <c r="M471" s="186" t="s">
        <v>77</v>
      </c>
      <c r="N471" s="29" t="s">
        <v>2</v>
      </c>
      <c r="O471" s="30">
        <v>1</v>
      </c>
      <c r="P471" s="30">
        <v>37</v>
      </c>
      <c r="Q471" s="29" t="s">
        <v>66</v>
      </c>
      <c r="R471" s="29"/>
      <c r="S471" s="49"/>
    </row>
    <row r="472" spans="2:19" x14ac:dyDescent="0.25">
      <c r="B472" s="184"/>
      <c r="C472" s="187"/>
      <c r="D472" s="29" t="s">
        <v>3</v>
      </c>
      <c r="E472" s="30">
        <v>2</v>
      </c>
      <c r="F472" s="30">
        <v>38</v>
      </c>
      <c r="G472" s="29" t="s">
        <v>66</v>
      </c>
      <c r="H472" s="29"/>
      <c r="I472" s="49"/>
      <c r="L472" s="184"/>
      <c r="M472" s="187"/>
      <c r="N472" s="29" t="s">
        <v>3</v>
      </c>
      <c r="O472" s="30">
        <v>2</v>
      </c>
      <c r="P472" s="30">
        <v>38</v>
      </c>
      <c r="Q472" s="29" t="s">
        <v>66</v>
      </c>
      <c r="R472" s="29"/>
      <c r="S472" s="49"/>
    </row>
    <row r="473" spans="2:19" x14ac:dyDescent="0.25">
      <c r="B473" s="184"/>
      <c r="C473" s="187"/>
      <c r="D473" s="29" t="s">
        <v>80</v>
      </c>
      <c r="E473" s="30">
        <v>3</v>
      </c>
      <c r="F473" s="30">
        <v>39</v>
      </c>
      <c r="G473" s="29" t="s">
        <v>66</v>
      </c>
      <c r="H473" s="29"/>
      <c r="I473" s="49"/>
      <c r="L473" s="184"/>
      <c r="M473" s="187"/>
      <c r="N473" s="29" t="s">
        <v>80</v>
      </c>
      <c r="O473" s="30">
        <v>3</v>
      </c>
      <c r="P473" s="30">
        <v>39</v>
      </c>
      <c r="Q473" s="29" t="s">
        <v>66</v>
      </c>
      <c r="R473" s="29"/>
      <c r="S473" s="49"/>
    </row>
    <row r="474" spans="2:19" x14ac:dyDescent="0.25">
      <c r="B474" s="184"/>
      <c r="C474" s="187"/>
      <c r="D474" s="29" t="s">
        <v>81</v>
      </c>
      <c r="E474" s="30">
        <v>4</v>
      </c>
      <c r="F474" s="30">
        <v>40</v>
      </c>
      <c r="G474" s="29" t="s">
        <v>66</v>
      </c>
      <c r="H474" s="29"/>
      <c r="I474" s="49"/>
      <c r="L474" s="184"/>
      <c r="M474" s="187"/>
      <c r="N474" s="29" t="s">
        <v>81</v>
      </c>
      <c r="O474" s="30">
        <v>4</v>
      </c>
      <c r="P474" s="30">
        <v>40</v>
      </c>
      <c r="Q474" s="29" t="s">
        <v>66</v>
      </c>
      <c r="R474" s="29"/>
      <c r="S474" s="49"/>
    </row>
    <row r="475" spans="2:19" x14ac:dyDescent="0.25">
      <c r="B475" s="184"/>
      <c r="C475" s="187"/>
      <c r="D475" s="29" t="s">
        <v>82</v>
      </c>
      <c r="E475" s="30">
        <v>5</v>
      </c>
      <c r="F475" s="30">
        <v>41</v>
      </c>
      <c r="G475" s="29" t="s">
        <v>66</v>
      </c>
      <c r="H475" s="29"/>
      <c r="I475" s="49"/>
      <c r="L475" s="184"/>
      <c r="M475" s="187"/>
      <c r="N475" s="29" t="s">
        <v>82</v>
      </c>
      <c r="O475" s="30">
        <v>5</v>
      </c>
      <c r="P475" s="30">
        <v>41</v>
      </c>
      <c r="Q475" s="29" t="s">
        <v>66</v>
      </c>
      <c r="R475" s="29"/>
      <c r="S475" s="49"/>
    </row>
    <row r="476" spans="2:19" ht="15.75" thickBot="1" x14ac:dyDescent="0.3">
      <c r="B476" s="184"/>
      <c r="C476" s="188"/>
      <c r="D476" s="29" t="s">
        <v>83</v>
      </c>
      <c r="E476" s="30">
        <v>6</v>
      </c>
      <c r="F476" s="30">
        <v>42</v>
      </c>
      <c r="G476" s="29" t="s">
        <v>66</v>
      </c>
      <c r="H476" s="29"/>
      <c r="I476" s="49"/>
      <c r="L476" s="184"/>
      <c r="M476" s="188"/>
      <c r="N476" s="29" t="s">
        <v>83</v>
      </c>
      <c r="O476" s="30">
        <v>6</v>
      </c>
      <c r="P476" s="30">
        <v>42</v>
      </c>
      <c r="Q476" s="29" t="s">
        <v>66</v>
      </c>
      <c r="R476" s="29"/>
      <c r="S476" s="49"/>
    </row>
    <row r="477" spans="2:19" x14ac:dyDescent="0.25">
      <c r="B477" s="184"/>
      <c r="C477" s="186" t="s">
        <v>84</v>
      </c>
      <c r="D477" s="29" t="s">
        <v>2</v>
      </c>
      <c r="E477" s="30">
        <v>1</v>
      </c>
      <c r="F477" s="30">
        <v>43</v>
      </c>
      <c r="G477" s="29" t="s">
        <v>66</v>
      </c>
      <c r="H477" s="29"/>
      <c r="I477" s="49"/>
      <c r="L477" s="184"/>
      <c r="M477" s="186" t="s">
        <v>84</v>
      </c>
      <c r="N477" s="29" t="s">
        <v>2</v>
      </c>
      <c r="O477" s="30">
        <v>1</v>
      </c>
      <c r="P477" s="30">
        <v>43</v>
      </c>
      <c r="Q477" s="29" t="s">
        <v>66</v>
      </c>
      <c r="R477" s="29"/>
      <c r="S477" s="49"/>
    </row>
    <row r="478" spans="2:19" x14ac:dyDescent="0.25">
      <c r="B478" s="184"/>
      <c r="C478" s="187"/>
      <c r="D478" s="29" t="s">
        <v>3</v>
      </c>
      <c r="E478" s="30">
        <v>2</v>
      </c>
      <c r="F478" s="30">
        <v>44</v>
      </c>
      <c r="G478" s="29" t="s">
        <v>66</v>
      </c>
      <c r="H478" s="29"/>
      <c r="I478" s="49"/>
      <c r="L478" s="184"/>
      <c r="M478" s="187"/>
      <c r="N478" s="29" t="s">
        <v>3</v>
      </c>
      <c r="O478" s="30">
        <v>2</v>
      </c>
      <c r="P478" s="30">
        <v>44</v>
      </c>
      <c r="Q478" s="29" t="s">
        <v>66</v>
      </c>
      <c r="R478" s="29"/>
      <c r="S478" s="49"/>
    </row>
    <row r="479" spans="2:19" x14ac:dyDescent="0.25">
      <c r="B479" s="184"/>
      <c r="C479" s="187"/>
      <c r="D479" s="29" t="s">
        <v>80</v>
      </c>
      <c r="E479" s="30">
        <v>3</v>
      </c>
      <c r="F479" s="30">
        <v>45</v>
      </c>
      <c r="G479" s="29" t="s">
        <v>66</v>
      </c>
      <c r="H479" s="29"/>
      <c r="I479" s="49"/>
      <c r="L479" s="184"/>
      <c r="M479" s="187"/>
      <c r="N479" s="29" t="s">
        <v>80</v>
      </c>
      <c r="O479" s="30">
        <v>3</v>
      </c>
      <c r="P479" s="30">
        <v>45</v>
      </c>
      <c r="Q479" s="29" t="s">
        <v>66</v>
      </c>
      <c r="R479" s="29"/>
      <c r="S479" s="49"/>
    </row>
    <row r="480" spans="2:19" x14ac:dyDescent="0.25">
      <c r="B480" s="184"/>
      <c r="C480" s="187"/>
      <c r="D480" s="29" t="s">
        <v>81</v>
      </c>
      <c r="E480" s="30">
        <v>4</v>
      </c>
      <c r="F480" s="30">
        <v>46</v>
      </c>
      <c r="G480" s="29" t="s">
        <v>66</v>
      </c>
      <c r="H480" s="29"/>
      <c r="I480" s="49"/>
      <c r="L480" s="184"/>
      <c r="M480" s="187"/>
      <c r="N480" s="29" t="s">
        <v>81</v>
      </c>
      <c r="O480" s="30">
        <v>4</v>
      </c>
      <c r="P480" s="30">
        <v>46</v>
      </c>
      <c r="Q480" s="29" t="s">
        <v>66</v>
      </c>
      <c r="R480" s="29"/>
      <c r="S480" s="49"/>
    </row>
    <row r="481" spans="2:19" x14ac:dyDescent="0.25">
      <c r="B481" s="184"/>
      <c r="C481" s="187"/>
      <c r="D481" s="29" t="s">
        <v>82</v>
      </c>
      <c r="E481" s="30">
        <v>5</v>
      </c>
      <c r="F481" s="30">
        <v>47</v>
      </c>
      <c r="G481" s="29" t="s">
        <v>66</v>
      </c>
      <c r="H481" s="29"/>
      <c r="I481" s="49"/>
      <c r="L481" s="184"/>
      <c r="M481" s="187"/>
      <c r="N481" s="29" t="s">
        <v>82</v>
      </c>
      <c r="O481" s="30">
        <v>5</v>
      </c>
      <c r="P481" s="30">
        <v>47</v>
      </c>
      <c r="Q481" s="29" t="s">
        <v>66</v>
      </c>
      <c r="R481" s="29"/>
      <c r="S481" s="49"/>
    </row>
    <row r="482" spans="2:19" ht="15.75" thickBot="1" x14ac:dyDescent="0.3">
      <c r="B482" s="185"/>
      <c r="C482" s="188"/>
      <c r="D482" s="29" t="s">
        <v>83</v>
      </c>
      <c r="E482" s="30">
        <v>6</v>
      </c>
      <c r="F482" s="30">
        <v>48</v>
      </c>
      <c r="G482" s="29" t="s">
        <v>66</v>
      </c>
      <c r="H482" s="29"/>
      <c r="I482" s="49"/>
      <c r="L482" s="185"/>
      <c r="M482" s="188"/>
      <c r="N482" s="29" t="s">
        <v>83</v>
      </c>
      <c r="O482" s="30">
        <v>6</v>
      </c>
      <c r="P482" s="30">
        <v>48</v>
      </c>
      <c r="Q482" s="29" t="s">
        <v>66</v>
      </c>
      <c r="R482" s="29"/>
      <c r="S482" s="49"/>
    </row>
    <row r="483" spans="2:19" ht="15.75" thickBot="1" x14ac:dyDescent="0.3"/>
    <row r="484" spans="2:19" ht="15.75" thickBot="1" x14ac:dyDescent="0.3">
      <c r="B484" s="171" t="s">
        <v>317</v>
      </c>
      <c r="C484" s="172"/>
      <c r="D484" s="172"/>
      <c r="E484" s="172"/>
      <c r="F484" s="172"/>
      <c r="G484" s="172"/>
      <c r="H484" s="172"/>
      <c r="I484" s="173"/>
      <c r="L484" s="171" t="s">
        <v>318</v>
      </c>
      <c r="M484" s="172"/>
      <c r="N484" s="172"/>
      <c r="O484" s="172"/>
      <c r="P484" s="172"/>
      <c r="Q484" s="172"/>
      <c r="R484" s="172"/>
      <c r="S484" s="173"/>
    </row>
    <row r="486" spans="2:19" ht="26.25" thickBot="1" x14ac:dyDescent="0.3">
      <c r="B486" s="15" t="s">
        <v>70</v>
      </c>
      <c r="C486" s="16" t="s">
        <v>71</v>
      </c>
      <c r="D486" s="15" t="s">
        <v>72</v>
      </c>
      <c r="E486" s="17" t="s">
        <v>73</v>
      </c>
      <c r="F486" s="17" t="s">
        <v>74</v>
      </c>
      <c r="G486" s="15" t="s">
        <v>75</v>
      </c>
      <c r="H486" s="15" t="s">
        <v>55</v>
      </c>
      <c r="I486" s="15" t="s">
        <v>76</v>
      </c>
      <c r="L486" s="15" t="s">
        <v>70</v>
      </c>
      <c r="M486" s="16" t="s">
        <v>71</v>
      </c>
      <c r="N486" s="15" t="s">
        <v>72</v>
      </c>
      <c r="O486" s="17" t="s">
        <v>73</v>
      </c>
      <c r="P486" s="17" t="s">
        <v>74</v>
      </c>
      <c r="Q486" s="15" t="s">
        <v>75</v>
      </c>
      <c r="R486" s="15" t="s">
        <v>55</v>
      </c>
      <c r="S486" s="15" t="s">
        <v>76</v>
      </c>
    </row>
    <row r="487" spans="2:19" x14ac:dyDescent="0.25">
      <c r="B487" s="174" t="s">
        <v>2</v>
      </c>
      <c r="C487" s="168" t="s">
        <v>77</v>
      </c>
      <c r="D487" s="18" t="s">
        <v>2</v>
      </c>
      <c r="E487" s="19">
        <v>1</v>
      </c>
      <c r="F487" s="19">
        <v>1</v>
      </c>
      <c r="G487" s="18" t="s">
        <v>66</v>
      </c>
      <c r="H487" s="32"/>
      <c r="I487" s="50"/>
      <c r="L487" s="174" t="s">
        <v>2</v>
      </c>
      <c r="M487" s="168" t="s">
        <v>77</v>
      </c>
      <c r="N487" s="18" t="s">
        <v>2</v>
      </c>
      <c r="O487" s="19">
        <v>1</v>
      </c>
      <c r="P487" s="19">
        <v>1</v>
      </c>
      <c r="Q487" s="18" t="s">
        <v>66</v>
      </c>
      <c r="R487" s="32"/>
      <c r="S487" s="50"/>
    </row>
    <row r="488" spans="2:19" x14ac:dyDescent="0.25">
      <c r="B488" s="175"/>
      <c r="C488" s="169"/>
      <c r="D488" s="18" t="s">
        <v>3</v>
      </c>
      <c r="E488" s="19">
        <v>2</v>
      </c>
      <c r="F488" s="19">
        <v>2</v>
      </c>
      <c r="G488" s="18" t="s">
        <v>66</v>
      </c>
      <c r="H488" s="32"/>
      <c r="I488" s="50"/>
      <c r="L488" s="175"/>
      <c r="M488" s="169"/>
      <c r="N488" s="18" t="s">
        <v>3</v>
      </c>
      <c r="O488" s="19">
        <v>2</v>
      </c>
      <c r="P488" s="19">
        <v>2</v>
      </c>
      <c r="Q488" s="18" t="s">
        <v>66</v>
      </c>
      <c r="R488" s="32"/>
      <c r="S488" s="50"/>
    </row>
    <row r="489" spans="2:19" x14ac:dyDescent="0.25">
      <c r="B489" s="175"/>
      <c r="C489" s="169"/>
      <c r="D489" s="18" t="s">
        <v>80</v>
      </c>
      <c r="E489" s="20">
        <v>3</v>
      </c>
      <c r="F489" s="20">
        <v>3</v>
      </c>
      <c r="G489" s="18" t="s">
        <v>66</v>
      </c>
      <c r="H489" s="32"/>
      <c r="I489" s="50"/>
      <c r="L489" s="175"/>
      <c r="M489" s="169"/>
      <c r="N489" s="18" t="s">
        <v>80</v>
      </c>
      <c r="O489" s="20">
        <v>3</v>
      </c>
      <c r="P489" s="20">
        <v>3</v>
      </c>
      <c r="Q489" s="18" t="s">
        <v>66</v>
      </c>
      <c r="R489" s="32"/>
      <c r="S489" s="50"/>
    </row>
    <row r="490" spans="2:19" x14ac:dyDescent="0.25">
      <c r="B490" s="175"/>
      <c r="C490" s="169"/>
      <c r="D490" s="18" t="s">
        <v>81</v>
      </c>
      <c r="E490" s="20">
        <v>4</v>
      </c>
      <c r="F490" s="20">
        <v>4</v>
      </c>
      <c r="G490" s="18" t="s">
        <v>66</v>
      </c>
      <c r="H490" s="32"/>
      <c r="I490" s="50"/>
      <c r="L490" s="175"/>
      <c r="M490" s="169"/>
      <c r="N490" s="18" t="s">
        <v>81</v>
      </c>
      <c r="O490" s="20">
        <v>4</v>
      </c>
      <c r="P490" s="20">
        <v>4</v>
      </c>
      <c r="Q490" s="18" t="s">
        <v>66</v>
      </c>
      <c r="R490" s="32"/>
      <c r="S490" s="50"/>
    </row>
    <row r="491" spans="2:19" x14ac:dyDescent="0.25">
      <c r="B491" s="175"/>
      <c r="C491" s="169"/>
      <c r="D491" s="18" t="s">
        <v>82</v>
      </c>
      <c r="E491" s="20">
        <v>5</v>
      </c>
      <c r="F491" s="20">
        <v>5</v>
      </c>
      <c r="G491" s="18" t="s">
        <v>66</v>
      </c>
      <c r="H491" s="32"/>
      <c r="I491" s="50"/>
      <c r="L491" s="175"/>
      <c r="M491" s="169"/>
      <c r="N491" s="18" t="s">
        <v>82</v>
      </c>
      <c r="O491" s="20">
        <v>5</v>
      </c>
      <c r="P491" s="20">
        <v>5</v>
      </c>
      <c r="Q491" s="18" t="s">
        <v>66</v>
      </c>
      <c r="R491" s="32"/>
      <c r="S491" s="50"/>
    </row>
    <row r="492" spans="2:19" ht="15.75" thickBot="1" x14ac:dyDescent="0.3">
      <c r="B492" s="175"/>
      <c r="C492" s="170"/>
      <c r="D492" s="18" t="s">
        <v>83</v>
      </c>
      <c r="E492" s="20">
        <v>6</v>
      </c>
      <c r="F492" s="20">
        <v>6</v>
      </c>
      <c r="G492" s="18" t="s">
        <v>66</v>
      </c>
      <c r="H492" s="32"/>
      <c r="I492" s="50"/>
      <c r="L492" s="175"/>
      <c r="M492" s="170"/>
      <c r="N492" s="18" t="s">
        <v>83</v>
      </c>
      <c r="O492" s="20">
        <v>6</v>
      </c>
      <c r="P492" s="20">
        <v>6</v>
      </c>
      <c r="Q492" s="18" t="s">
        <v>66</v>
      </c>
      <c r="R492" s="32"/>
      <c r="S492" s="50"/>
    </row>
    <row r="493" spans="2:19" x14ac:dyDescent="0.25">
      <c r="B493" s="175"/>
      <c r="C493" s="168" t="s">
        <v>84</v>
      </c>
      <c r="D493" s="18" t="s">
        <v>2</v>
      </c>
      <c r="E493" s="19">
        <v>1</v>
      </c>
      <c r="F493" s="19">
        <v>7</v>
      </c>
      <c r="G493" s="18" t="s">
        <v>78</v>
      </c>
      <c r="H493" s="156" t="s">
        <v>140</v>
      </c>
      <c r="I493" s="165" t="s">
        <v>156</v>
      </c>
      <c r="L493" s="175"/>
      <c r="M493" s="168" t="s">
        <v>84</v>
      </c>
      <c r="N493" s="18" t="s">
        <v>2</v>
      </c>
      <c r="O493" s="19">
        <v>1</v>
      </c>
      <c r="P493" s="19">
        <v>7</v>
      </c>
      <c r="Q493" s="18" t="s">
        <v>78</v>
      </c>
      <c r="R493" s="156" t="s">
        <v>140</v>
      </c>
      <c r="S493" s="165" t="s">
        <v>185</v>
      </c>
    </row>
    <row r="494" spans="2:19" x14ac:dyDescent="0.25">
      <c r="B494" s="175"/>
      <c r="C494" s="169"/>
      <c r="D494" s="18" t="s">
        <v>3</v>
      </c>
      <c r="E494" s="19">
        <v>2</v>
      </c>
      <c r="F494" s="19">
        <v>8</v>
      </c>
      <c r="G494" s="18" t="s">
        <v>78</v>
      </c>
      <c r="H494" s="157"/>
      <c r="I494" s="166"/>
      <c r="L494" s="175"/>
      <c r="M494" s="169"/>
      <c r="N494" s="18" t="s">
        <v>3</v>
      </c>
      <c r="O494" s="19">
        <v>2</v>
      </c>
      <c r="P494" s="19">
        <v>8</v>
      </c>
      <c r="Q494" s="18" t="s">
        <v>78</v>
      </c>
      <c r="R494" s="157"/>
      <c r="S494" s="166"/>
    </row>
    <row r="495" spans="2:19" x14ac:dyDescent="0.25">
      <c r="B495" s="175"/>
      <c r="C495" s="169"/>
      <c r="D495" s="18" t="s">
        <v>80</v>
      </c>
      <c r="E495" s="20">
        <v>3</v>
      </c>
      <c r="F495" s="20">
        <v>9</v>
      </c>
      <c r="G495" s="18" t="s">
        <v>66</v>
      </c>
      <c r="H495" s="157"/>
      <c r="I495" s="166"/>
      <c r="L495" s="175"/>
      <c r="M495" s="169"/>
      <c r="N495" s="18" t="s">
        <v>80</v>
      </c>
      <c r="O495" s="20">
        <v>3</v>
      </c>
      <c r="P495" s="20">
        <v>9</v>
      </c>
      <c r="Q495" s="18" t="s">
        <v>66</v>
      </c>
      <c r="R495" s="157"/>
      <c r="S495" s="166"/>
    </row>
    <row r="496" spans="2:19" x14ac:dyDescent="0.25">
      <c r="B496" s="175"/>
      <c r="C496" s="169"/>
      <c r="D496" s="18" t="s">
        <v>81</v>
      </c>
      <c r="E496" s="20">
        <v>4</v>
      </c>
      <c r="F496" s="20">
        <v>10</v>
      </c>
      <c r="G496" s="18" t="s">
        <v>66</v>
      </c>
      <c r="H496" s="157"/>
      <c r="I496" s="166"/>
      <c r="L496" s="175"/>
      <c r="M496" s="169"/>
      <c r="N496" s="18" t="s">
        <v>81</v>
      </c>
      <c r="O496" s="20">
        <v>4</v>
      </c>
      <c r="P496" s="20">
        <v>10</v>
      </c>
      <c r="Q496" s="18" t="s">
        <v>66</v>
      </c>
      <c r="R496" s="157"/>
      <c r="S496" s="166"/>
    </row>
    <row r="497" spans="2:19" x14ac:dyDescent="0.25">
      <c r="B497" s="175"/>
      <c r="C497" s="169"/>
      <c r="D497" s="18" t="s">
        <v>82</v>
      </c>
      <c r="E497" s="20">
        <v>5</v>
      </c>
      <c r="F497" s="20">
        <v>11</v>
      </c>
      <c r="G497" s="18" t="s">
        <v>66</v>
      </c>
      <c r="H497" s="157"/>
      <c r="I497" s="166"/>
      <c r="L497" s="175"/>
      <c r="M497" s="169"/>
      <c r="N497" s="18" t="s">
        <v>82</v>
      </c>
      <c r="O497" s="20">
        <v>5</v>
      </c>
      <c r="P497" s="20">
        <v>11</v>
      </c>
      <c r="Q497" s="18" t="s">
        <v>66</v>
      </c>
      <c r="R497" s="157"/>
      <c r="S497" s="166"/>
    </row>
    <row r="498" spans="2:19" ht="15.75" thickBot="1" x14ac:dyDescent="0.3">
      <c r="B498" s="176"/>
      <c r="C498" s="170"/>
      <c r="D498" s="18" t="s">
        <v>83</v>
      </c>
      <c r="E498" s="20">
        <v>6</v>
      </c>
      <c r="F498" s="20">
        <v>12</v>
      </c>
      <c r="G498" s="18" t="s">
        <v>66</v>
      </c>
      <c r="H498" s="158"/>
      <c r="I498" s="167"/>
      <c r="L498" s="176"/>
      <c r="M498" s="170"/>
      <c r="N498" s="18" t="s">
        <v>83</v>
      </c>
      <c r="O498" s="20">
        <v>6</v>
      </c>
      <c r="P498" s="20">
        <v>12</v>
      </c>
      <c r="Q498" s="18" t="s">
        <v>66</v>
      </c>
      <c r="R498" s="158"/>
      <c r="S498" s="167"/>
    </row>
    <row r="499" spans="2:19" x14ac:dyDescent="0.25">
      <c r="B499" s="180" t="s">
        <v>3</v>
      </c>
      <c r="C499" s="177" t="s">
        <v>77</v>
      </c>
      <c r="D499" s="21" t="s">
        <v>2</v>
      </c>
      <c r="E499" s="22">
        <v>1</v>
      </c>
      <c r="F499" s="22">
        <v>13</v>
      </c>
      <c r="G499" s="21" t="s">
        <v>66</v>
      </c>
      <c r="H499" s="21"/>
      <c r="I499" s="51"/>
      <c r="L499" s="180" t="s">
        <v>3</v>
      </c>
      <c r="M499" s="177" t="s">
        <v>77</v>
      </c>
      <c r="N499" s="21" t="s">
        <v>2</v>
      </c>
      <c r="O499" s="22">
        <v>1</v>
      </c>
      <c r="P499" s="22">
        <v>13</v>
      </c>
      <c r="Q499" s="21" t="s">
        <v>66</v>
      </c>
      <c r="R499" s="21"/>
      <c r="S499" s="51"/>
    </row>
    <row r="500" spans="2:19" x14ac:dyDescent="0.25">
      <c r="B500" s="181"/>
      <c r="C500" s="178"/>
      <c r="D500" s="23" t="s">
        <v>3</v>
      </c>
      <c r="E500" s="24">
        <v>2</v>
      </c>
      <c r="F500" s="24">
        <v>14</v>
      </c>
      <c r="G500" s="23" t="s">
        <v>66</v>
      </c>
      <c r="H500" s="23"/>
      <c r="I500" s="47"/>
      <c r="L500" s="181"/>
      <c r="M500" s="178"/>
      <c r="N500" s="23" t="s">
        <v>3</v>
      </c>
      <c r="O500" s="24">
        <v>2</v>
      </c>
      <c r="P500" s="24">
        <v>14</v>
      </c>
      <c r="Q500" s="23" t="s">
        <v>66</v>
      </c>
      <c r="R500" s="23"/>
      <c r="S500" s="47"/>
    </row>
    <row r="501" spans="2:19" x14ac:dyDescent="0.25">
      <c r="B501" s="181"/>
      <c r="C501" s="178"/>
      <c r="D501" s="23" t="s">
        <v>80</v>
      </c>
      <c r="E501" s="24">
        <v>3</v>
      </c>
      <c r="F501" s="24">
        <v>15</v>
      </c>
      <c r="G501" s="23" t="s">
        <v>66</v>
      </c>
      <c r="H501" s="23"/>
      <c r="I501" s="47"/>
      <c r="L501" s="181"/>
      <c r="M501" s="178"/>
      <c r="N501" s="23" t="s">
        <v>80</v>
      </c>
      <c r="O501" s="24">
        <v>3</v>
      </c>
      <c r="P501" s="24">
        <v>15</v>
      </c>
      <c r="Q501" s="23" t="s">
        <v>66</v>
      </c>
      <c r="R501" s="23"/>
      <c r="S501" s="47"/>
    </row>
    <row r="502" spans="2:19" x14ac:dyDescent="0.25">
      <c r="B502" s="181"/>
      <c r="C502" s="178"/>
      <c r="D502" s="23" t="s">
        <v>81</v>
      </c>
      <c r="E502" s="24">
        <v>4</v>
      </c>
      <c r="F502" s="24">
        <v>16</v>
      </c>
      <c r="G502" s="23" t="s">
        <v>66</v>
      </c>
      <c r="H502" s="23"/>
      <c r="I502" s="47"/>
      <c r="L502" s="181"/>
      <c r="M502" s="178"/>
      <c r="N502" s="23" t="s">
        <v>81</v>
      </c>
      <c r="O502" s="24">
        <v>4</v>
      </c>
      <c r="P502" s="24">
        <v>16</v>
      </c>
      <c r="Q502" s="23" t="s">
        <v>66</v>
      </c>
      <c r="R502" s="23"/>
      <c r="S502" s="47"/>
    </row>
    <row r="503" spans="2:19" x14ac:dyDescent="0.25">
      <c r="B503" s="181"/>
      <c r="C503" s="178"/>
      <c r="D503" s="23" t="s">
        <v>82</v>
      </c>
      <c r="E503" s="24">
        <v>5</v>
      </c>
      <c r="F503" s="24">
        <v>17</v>
      </c>
      <c r="G503" s="23" t="s">
        <v>66</v>
      </c>
      <c r="H503" s="23"/>
      <c r="I503" s="47"/>
      <c r="L503" s="181"/>
      <c r="M503" s="178"/>
      <c r="N503" s="23" t="s">
        <v>82</v>
      </c>
      <c r="O503" s="24">
        <v>5</v>
      </c>
      <c r="P503" s="24">
        <v>17</v>
      </c>
      <c r="Q503" s="23" t="s">
        <v>66</v>
      </c>
      <c r="R503" s="23"/>
      <c r="S503" s="47"/>
    </row>
    <row r="504" spans="2:19" ht="15.75" thickBot="1" x14ac:dyDescent="0.3">
      <c r="B504" s="181"/>
      <c r="C504" s="179"/>
      <c r="D504" s="23" t="s">
        <v>83</v>
      </c>
      <c r="E504" s="24">
        <v>6</v>
      </c>
      <c r="F504" s="24">
        <v>18</v>
      </c>
      <c r="G504" s="23" t="s">
        <v>66</v>
      </c>
      <c r="H504" s="23"/>
      <c r="I504" s="47"/>
      <c r="L504" s="181"/>
      <c r="M504" s="179"/>
      <c r="N504" s="23" t="s">
        <v>83</v>
      </c>
      <c r="O504" s="24">
        <v>6</v>
      </c>
      <c r="P504" s="24">
        <v>18</v>
      </c>
      <c r="Q504" s="23" t="s">
        <v>66</v>
      </c>
      <c r="R504" s="23"/>
      <c r="S504" s="47"/>
    </row>
    <row r="505" spans="2:19" x14ac:dyDescent="0.25">
      <c r="B505" s="181"/>
      <c r="C505" s="177" t="s">
        <v>84</v>
      </c>
      <c r="D505" s="23" t="s">
        <v>2</v>
      </c>
      <c r="E505" s="24">
        <v>1</v>
      </c>
      <c r="F505" s="24">
        <v>19</v>
      </c>
      <c r="G505" s="23" t="s">
        <v>66</v>
      </c>
      <c r="H505" s="23"/>
      <c r="I505" s="47"/>
      <c r="L505" s="181"/>
      <c r="M505" s="177" t="s">
        <v>84</v>
      </c>
      <c r="N505" s="23" t="s">
        <v>2</v>
      </c>
      <c r="O505" s="24">
        <v>1</v>
      </c>
      <c r="P505" s="24">
        <v>19</v>
      </c>
      <c r="Q505" s="23" t="s">
        <v>66</v>
      </c>
      <c r="R505" s="23"/>
      <c r="S505" s="47"/>
    </row>
    <row r="506" spans="2:19" x14ac:dyDescent="0.25">
      <c r="B506" s="181"/>
      <c r="C506" s="178"/>
      <c r="D506" s="23" t="s">
        <v>3</v>
      </c>
      <c r="E506" s="24">
        <v>2</v>
      </c>
      <c r="F506" s="24">
        <v>20</v>
      </c>
      <c r="G506" s="23" t="s">
        <v>66</v>
      </c>
      <c r="H506" s="23"/>
      <c r="I506" s="47"/>
      <c r="L506" s="181"/>
      <c r="M506" s="178"/>
      <c r="N506" s="23" t="s">
        <v>3</v>
      </c>
      <c r="O506" s="24">
        <v>2</v>
      </c>
      <c r="P506" s="24">
        <v>20</v>
      </c>
      <c r="Q506" s="23" t="s">
        <v>66</v>
      </c>
      <c r="R506" s="23"/>
      <c r="S506" s="47"/>
    </row>
    <row r="507" spans="2:19" x14ac:dyDescent="0.25">
      <c r="B507" s="181"/>
      <c r="C507" s="178"/>
      <c r="D507" s="23" t="s">
        <v>80</v>
      </c>
      <c r="E507" s="26">
        <v>3</v>
      </c>
      <c r="F507" s="24">
        <v>21</v>
      </c>
      <c r="G507" s="23" t="s">
        <v>66</v>
      </c>
      <c r="H507" s="23"/>
      <c r="I507" s="47"/>
      <c r="L507" s="181"/>
      <c r="M507" s="178"/>
      <c r="N507" s="23" t="s">
        <v>80</v>
      </c>
      <c r="O507" s="26">
        <v>3</v>
      </c>
      <c r="P507" s="24">
        <v>21</v>
      </c>
      <c r="Q507" s="23" t="s">
        <v>66</v>
      </c>
      <c r="R507" s="23"/>
      <c r="S507" s="47"/>
    </row>
    <row r="508" spans="2:19" x14ac:dyDescent="0.25">
      <c r="B508" s="181"/>
      <c r="C508" s="178"/>
      <c r="D508" s="23" t="s">
        <v>81</v>
      </c>
      <c r="E508" s="24">
        <v>4</v>
      </c>
      <c r="F508" s="24">
        <v>22</v>
      </c>
      <c r="G508" s="23" t="s">
        <v>66</v>
      </c>
      <c r="H508" s="23"/>
      <c r="I508" s="47"/>
      <c r="L508" s="181"/>
      <c r="M508" s="178"/>
      <c r="N508" s="23" t="s">
        <v>81</v>
      </c>
      <c r="O508" s="24">
        <v>4</v>
      </c>
      <c r="P508" s="24">
        <v>22</v>
      </c>
      <c r="Q508" s="23" t="s">
        <v>66</v>
      </c>
      <c r="R508" s="23"/>
      <c r="S508" s="47"/>
    </row>
    <row r="509" spans="2:19" x14ac:dyDescent="0.25">
      <c r="B509" s="181"/>
      <c r="C509" s="178"/>
      <c r="D509" s="23" t="s">
        <v>82</v>
      </c>
      <c r="E509" s="24">
        <v>5</v>
      </c>
      <c r="F509" s="24">
        <v>23</v>
      </c>
      <c r="G509" s="23" t="s">
        <v>66</v>
      </c>
      <c r="H509" s="23"/>
      <c r="I509" s="47"/>
      <c r="L509" s="181"/>
      <c r="M509" s="178"/>
      <c r="N509" s="23" t="s">
        <v>82</v>
      </c>
      <c r="O509" s="24">
        <v>5</v>
      </c>
      <c r="P509" s="24">
        <v>23</v>
      </c>
      <c r="Q509" s="23" t="s">
        <v>66</v>
      </c>
      <c r="R509" s="23"/>
      <c r="S509" s="47"/>
    </row>
    <row r="510" spans="2:19" ht="15.75" thickBot="1" x14ac:dyDescent="0.3">
      <c r="B510" s="182"/>
      <c r="C510" s="179"/>
      <c r="D510" s="23" t="s">
        <v>83</v>
      </c>
      <c r="E510" s="24">
        <v>6</v>
      </c>
      <c r="F510" s="24">
        <v>24</v>
      </c>
      <c r="G510" s="23" t="s">
        <v>66</v>
      </c>
      <c r="H510" s="23"/>
      <c r="I510" s="47"/>
      <c r="L510" s="182"/>
      <c r="M510" s="179"/>
      <c r="N510" s="23" t="s">
        <v>83</v>
      </c>
      <c r="O510" s="24">
        <v>6</v>
      </c>
      <c r="P510" s="24">
        <v>24</v>
      </c>
      <c r="Q510" s="23" t="s">
        <v>66</v>
      </c>
      <c r="R510" s="23"/>
      <c r="S510" s="47"/>
    </row>
    <row r="511" spans="2:19" x14ac:dyDescent="0.25">
      <c r="B511" s="189" t="s">
        <v>80</v>
      </c>
      <c r="C511" s="192" t="s">
        <v>77</v>
      </c>
      <c r="D511" s="27" t="s">
        <v>2</v>
      </c>
      <c r="E511" s="28">
        <v>1</v>
      </c>
      <c r="F511" s="28">
        <v>25</v>
      </c>
      <c r="G511" s="27" t="s">
        <v>66</v>
      </c>
      <c r="H511" s="27"/>
      <c r="I511" s="48"/>
      <c r="L511" s="189" t="s">
        <v>80</v>
      </c>
      <c r="M511" s="192" t="s">
        <v>77</v>
      </c>
      <c r="N511" s="27" t="s">
        <v>2</v>
      </c>
      <c r="O511" s="28">
        <v>1</v>
      </c>
      <c r="P511" s="28">
        <v>25</v>
      </c>
      <c r="Q511" s="27" t="s">
        <v>66</v>
      </c>
      <c r="R511" s="27"/>
      <c r="S511" s="48"/>
    </row>
    <row r="512" spans="2:19" x14ac:dyDescent="0.25">
      <c r="B512" s="190"/>
      <c r="C512" s="193"/>
      <c r="D512" s="27" t="s">
        <v>3</v>
      </c>
      <c r="E512" s="28">
        <v>2</v>
      </c>
      <c r="F512" s="28">
        <v>26</v>
      </c>
      <c r="G512" s="27" t="s">
        <v>66</v>
      </c>
      <c r="H512" s="27"/>
      <c r="I512" s="48"/>
      <c r="L512" s="190"/>
      <c r="M512" s="193"/>
      <c r="N512" s="27" t="s">
        <v>3</v>
      </c>
      <c r="O512" s="28">
        <v>2</v>
      </c>
      <c r="P512" s="28">
        <v>26</v>
      </c>
      <c r="Q512" s="27" t="s">
        <v>66</v>
      </c>
      <c r="R512" s="27"/>
      <c r="S512" s="48"/>
    </row>
    <row r="513" spans="2:19" x14ac:dyDescent="0.25">
      <c r="B513" s="190"/>
      <c r="C513" s="193"/>
      <c r="D513" s="27" t="s">
        <v>80</v>
      </c>
      <c r="E513" s="28">
        <v>3</v>
      </c>
      <c r="F513" s="28">
        <v>27</v>
      </c>
      <c r="G513" s="27" t="s">
        <v>66</v>
      </c>
      <c r="H513" s="27"/>
      <c r="I513" s="48"/>
      <c r="L513" s="190"/>
      <c r="M513" s="193"/>
      <c r="N513" s="27" t="s">
        <v>80</v>
      </c>
      <c r="O513" s="28">
        <v>3</v>
      </c>
      <c r="P513" s="28">
        <v>27</v>
      </c>
      <c r="Q513" s="27" t="s">
        <v>66</v>
      </c>
      <c r="R513" s="27"/>
      <c r="S513" s="48"/>
    </row>
    <row r="514" spans="2:19" x14ac:dyDescent="0.25">
      <c r="B514" s="190"/>
      <c r="C514" s="193"/>
      <c r="D514" s="27" t="s">
        <v>81</v>
      </c>
      <c r="E514" s="28">
        <v>4</v>
      </c>
      <c r="F514" s="28">
        <v>28</v>
      </c>
      <c r="G514" s="27" t="s">
        <v>66</v>
      </c>
      <c r="H514" s="27"/>
      <c r="I514" s="48"/>
      <c r="L514" s="190"/>
      <c r="M514" s="193"/>
      <c r="N514" s="27" t="s">
        <v>81</v>
      </c>
      <c r="O514" s="28">
        <v>4</v>
      </c>
      <c r="P514" s="28">
        <v>28</v>
      </c>
      <c r="Q514" s="27" t="s">
        <v>66</v>
      </c>
      <c r="R514" s="27"/>
      <c r="S514" s="48"/>
    </row>
    <row r="515" spans="2:19" x14ac:dyDescent="0.25">
      <c r="B515" s="190"/>
      <c r="C515" s="193"/>
      <c r="D515" s="27" t="s">
        <v>82</v>
      </c>
      <c r="E515" s="28">
        <v>5</v>
      </c>
      <c r="F515" s="28">
        <v>29</v>
      </c>
      <c r="G515" s="27" t="s">
        <v>66</v>
      </c>
      <c r="H515" s="27"/>
      <c r="I515" s="48"/>
      <c r="L515" s="190"/>
      <c r="M515" s="193"/>
      <c r="N515" s="27" t="s">
        <v>82</v>
      </c>
      <c r="O515" s="28">
        <v>5</v>
      </c>
      <c r="P515" s="28">
        <v>29</v>
      </c>
      <c r="Q515" s="27" t="s">
        <v>66</v>
      </c>
      <c r="R515" s="27"/>
      <c r="S515" s="48"/>
    </row>
    <row r="516" spans="2:19" ht="15.75" thickBot="1" x14ac:dyDescent="0.3">
      <c r="B516" s="190"/>
      <c r="C516" s="194"/>
      <c r="D516" s="27" t="s">
        <v>83</v>
      </c>
      <c r="E516" s="28">
        <v>6</v>
      </c>
      <c r="F516" s="28">
        <v>30</v>
      </c>
      <c r="G516" s="27" t="s">
        <v>66</v>
      </c>
      <c r="H516" s="27"/>
      <c r="I516" s="48"/>
      <c r="L516" s="190"/>
      <c r="M516" s="194"/>
      <c r="N516" s="27" t="s">
        <v>83</v>
      </c>
      <c r="O516" s="28">
        <v>6</v>
      </c>
      <c r="P516" s="28">
        <v>30</v>
      </c>
      <c r="Q516" s="27" t="s">
        <v>66</v>
      </c>
      <c r="R516" s="27"/>
      <c r="S516" s="48"/>
    </row>
    <row r="517" spans="2:19" x14ac:dyDescent="0.25">
      <c r="B517" s="190"/>
      <c r="C517" s="192" t="s">
        <v>84</v>
      </c>
      <c r="D517" s="27" t="s">
        <v>2</v>
      </c>
      <c r="E517" s="28">
        <v>1</v>
      </c>
      <c r="F517" s="28">
        <v>31</v>
      </c>
      <c r="G517" s="27" t="s">
        <v>66</v>
      </c>
      <c r="H517" s="27"/>
      <c r="I517" s="48"/>
      <c r="L517" s="190"/>
      <c r="M517" s="192" t="s">
        <v>84</v>
      </c>
      <c r="N517" s="27" t="s">
        <v>2</v>
      </c>
      <c r="O517" s="28">
        <v>1</v>
      </c>
      <c r="P517" s="28">
        <v>31</v>
      </c>
      <c r="Q517" s="27" t="s">
        <v>66</v>
      </c>
      <c r="R517" s="27"/>
      <c r="S517" s="48"/>
    </row>
    <row r="518" spans="2:19" x14ac:dyDescent="0.25">
      <c r="B518" s="190"/>
      <c r="C518" s="193"/>
      <c r="D518" s="27" t="s">
        <v>3</v>
      </c>
      <c r="E518" s="28">
        <v>2</v>
      </c>
      <c r="F518" s="28">
        <v>32</v>
      </c>
      <c r="G518" s="27" t="s">
        <v>66</v>
      </c>
      <c r="H518" s="27"/>
      <c r="I518" s="48"/>
      <c r="L518" s="190"/>
      <c r="M518" s="193"/>
      <c r="N518" s="27" t="s">
        <v>3</v>
      </c>
      <c r="O518" s="28">
        <v>2</v>
      </c>
      <c r="P518" s="28">
        <v>32</v>
      </c>
      <c r="Q518" s="27" t="s">
        <v>66</v>
      </c>
      <c r="R518" s="27"/>
      <c r="S518" s="48"/>
    </row>
    <row r="519" spans="2:19" x14ac:dyDescent="0.25">
      <c r="B519" s="190"/>
      <c r="C519" s="193"/>
      <c r="D519" s="27" t="s">
        <v>80</v>
      </c>
      <c r="E519" s="28">
        <v>3</v>
      </c>
      <c r="F519" s="28">
        <v>33</v>
      </c>
      <c r="G519" s="27" t="s">
        <v>66</v>
      </c>
      <c r="H519" s="27"/>
      <c r="I519" s="48"/>
      <c r="L519" s="190"/>
      <c r="M519" s="193"/>
      <c r="N519" s="27" t="s">
        <v>80</v>
      </c>
      <c r="O519" s="28">
        <v>3</v>
      </c>
      <c r="P519" s="28">
        <v>33</v>
      </c>
      <c r="Q519" s="27" t="s">
        <v>66</v>
      </c>
      <c r="R519" s="27"/>
      <c r="S519" s="48"/>
    </row>
    <row r="520" spans="2:19" x14ac:dyDescent="0.25">
      <c r="B520" s="190"/>
      <c r="C520" s="193"/>
      <c r="D520" s="27" t="s">
        <v>81</v>
      </c>
      <c r="E520" s="28">
        <v>4</v>
      </c>
      <c r="F520" s="28">
        <v>34</v>
      </c>
      <c r="G520" s="27" t="s">
        <v>66</v>
      </c>
      <c r="H520" s="27"/>
      <c r="I520" s="48"/>
      <c r="L520" s="190"/>
      <c r="M520" s="193"/>
      <c r="N520" s="27" t="s">
        <v>81</v>
      </c>
      <c r="O520" s="28">
        <v>4</v>
      </c>
      <c r="P520" s="28">
        <v>34</v>
      </c>
      <c r="Q520" s="27" t="s">
        <v>66</v>
      </c>
      <c r="R520" s="27"/>
      <c r="S520" s="48"/>
    </row>
    <row r="521" spans="2:19" x14ac:dyDescent="0.25">
      <c r="B521" s="190"/>
      <c r="C521" s="193"/>
      <c r="D521" s="27" t="s">
        <v>82</v>
      </c>
      <c r="E521" s="28">
        <v>5</v>
      </c>
      <c r="F521" s="28">
        <v>35</v>
      </c>
      <c r="G521" s="27" t="s">
        <v>66</v>
      </c>
      <c r="H521" s="27"/>
      <c r="I521" s="48"/>
      <c r="L521" s="190"/>
      <c r="M521" s="193"/>
      <c r="N521" s="27" t="s">
        <v>82</v>
      </c>
      <c r="O521" s="28">
        <v>5</v>
      </c>
      <c r="P521" s="28">
        <v>35</v>
      </c>
      <c r="Q521" s="27" t="s">
        <v>66</v>
      </c>
      <c r="R521" s="27"/>
      <c r="S521" s="48"/>
    </row>
    <row r="522" spans="2:19" ht="15.75" thickBot="1" x14ac:dyDescent="0.3">
      <c r="B522" s="191"/>
      <c r="C522" s="194"/>
      <c r="D522" s="27" t="s">
        <v>83</v>
      </c>
      <c r="E522" s="28">
        <v>6</v>
      </c>
      <c r="F522" s="28">
        <v>36</v>
      </c>
      <c r="G522" s="27" t="s">
        <v>66</v>
      </c>
      <c r="H522" s="27"/>
      <c r="I522" s="48"/>
      <c r="L522" s="191"/>
      <c r="M522" s="194"/>
      <c r="N522" s="27" t="s">
        <v>83</v>
      </c>
      <c r="O522" s="28">
        <v>6</v>
      </c>
      <c r="P522" s="28">
        <v>36</v>
      </c>
      <c r="Q522" s="27" t="s">
        <v>66</v>
      </c>
      <c r="R522" s="27"/>
      <c r="S522" s="48"/>
    </row>
    <row r="523" spans="2:19" x14ac:dyDescent="0.25">
      <c r="B523" s="183" t="s">
        <v>81</v>
      </c>
      <c r="C523" s="186" t="s">
        <v>77</v>
      </c>
      <c r="D523" s="29" t="s">
        <v>2</v>
      </c>
      <c r="E523" s="30">
        <v>1</v>
      </c>
      <c r="F523" s="30">
        <v>37</v>
      </c>
      <c r="G523" s="29" t="s">
        <v>66</v>
      </c>
      <c r="H523" s="29"/>
      <c r="I523" s="49"/>
      <c r="L523" s="183" t="s">
        <v>81</v>
      </c>
      <c r="M523" s="186" t="s">
        <v>77</v>
      </c>
      <c r="N523" s="29" t="s">
        <v>2</v>
      </c>
      <c r="O523" s="30">
        <v>1</v>
      </c>
      <c r="P523" s="30">
        <v>37</v>
      </c>
      <c r="Q523" s="29" t="s">
        <v>66</v>
      </c>
      <c r="R523" s="29"/>
      <c r="S523" s="49"/>
    </row>
    <row r="524" spans="2:19" x14ac:dyDescent="0.25">
      <c r="B524" s="184"/>
      <c r="C524" s="187"/>
      <c r="D524" s="29" t="s">
        <v>3</v>
      </c>
      <c r="E524" s="30">
        <v>2</v>
      </c>
      <c r="F524" s="30">
        <v>38</v>
      </c>
      <c r="G524" s="29" t="s">
        <v>66</v>
      </c>
      <c r="H524" s="29"/>
      <c r="I524" s="49"/>
      <c r="L524" s="184"/>
      <c r="M524" s="187"/>
      <c r="N524" s="29" t="s">
        <v>3</v>
      </c>
      <c r="O524" s="30">
        <v>2</v>
      </c>
      <c r="P524" s="30">
        <v>38</v>
      </c>
      <c r="Q524" s="29" t="s">
        <v>66</v>
      </c>
      <c r="R524" s="29"/>
      <c r="S524" s="49"/>
    </row>
    <row r="525" spans="2:19" x14ac:dyDescent="0.25">
      <c r="B525" s="184"/>
      <c r="C525" s="187"/>
      <c r="D525" s="29" t="s">
        <v>80</v>
      </c>
      <c r="E525" s="30">
        <v>3</v>
      </c>
      <c r="F525" s="30">
        <v>39</v>
      </c>
      <c r="G525" s="29" t="s">
        <v>66</v>
      </c>
      <c r="H525" s="29"/>
      <c r="I525" s="49"/>
      <c r="L525" s="184"/>
      <c r="M525" s="187"/>
      <c r="N525" s="29" t="s">
        <v>80</v>
      </c>
      <c r="O525" s="30">
        <v>3</v>
      </c>
      <c r="P525" s="30">
        <v>39</v>
      </c>
      <c r="Q525" s="29" t="s">
        <v>66</v>
      </c>
      <c r="R525" s="29"/>
      <c r="S525" s="49"/>
    </row>
    <row r="526" spans="2:19" x14ac:dyDescent="0.25">
      <c r="B526" s="184"/>
      <c r="C526" s="187"/>
      <c r="D526" s="29" t="s">
        <v>81</v>
      </c>
      <c r="E526" s="30">
        <v>4</v>
      </c>
      <c r="F526" s="30">
        <v>40</v>
      </c>
      <c r="G526" s="29" t="s">
        <v>66</v>
      </c>
      <c r="H526" s="29"/>
      <c r="I526" s="49"/>
      <c r="L526" s="184"/>
      <c r="M526" s="187"/>
      <c r="N526" s="29" t="s">
        <v>81</v>
      </c>
      <c r="O526" s="30">
        <v>4</v>
      </c>
      <c r="P526" s="30">
        <v>40</v>
      </c>
      <c r="Q526" s="29" t="s">
        <v>66</v>
      </c>
      <c r="R526" s="29"/>
      <c r="S526" s="49"/>
    </row>
    <row r="527" spans="2:19" x14ac:dyDescent="0.25">
      <c r="B527" s="184"/>
      <c r="C527" s="187"/>
      <c r="D527" s="29" t="s">
        <v>82</v>
      </c>
      <c r="E527" s="30">
        <v>5</v>
      </c>
      <c r="F527" s="30">
        <v>41</v>
      </c>
      <c r="G527" s="29" t="s">
        <v>66</v>
      </c>
      <c r="H527" s="29"/>
      <c r="I527" s="49"/>
      <c r="L527" s="184"/>
      <c r="M527" s="187"/>
      <c r="N527" s="29" t="s">
        <v>82</v>
      </c>
      <c r="O527" s="30">
        <v>5</v>
      </c>
      <c r="P527" s="30">
        <v>41</v>
      </c>
      <c r="Q527" s="29" t="s">
        <v>66</v>
      </c>
      <c r="R527" s="29"/>
      <c r="S527" s="49"/>
    </row>
    <row r="528" spans="2:19" ht="15.75" thickBot="1" x14ac:dyDescent="0.3">
      <c r="B528" s="184"/>
      <c r="C528" s="188"/>
      <c r="D528" s="29" t="s">
        <v>83</v>
      </c>
      <c r="E528" s="30">
        <v>6</v>
      </c>
      <c r="F528" s="30">
        <v>42</v>
      </c>
      <c r="G528" s="29" t="s">
        <v>66</v>
      </c>
      <c r="H528" s="29"/>
      <c r="I528" s="49"/>
      <c r="L528" s="184"/>
      <c r="M528" s="188"/>
      <c r="N528" s="29" t="s">
        <v>83</v>
      </c>
      <c r="O528" s="30">
        <v>6</v>
      </c>
      <c r="P528" s="30">
        <v>42</v>
      </c>
      <c r="Q528" s="29" t="s">
        <v>66</v>
      </c>
      <c r="R528" s="29"/>
      <c r="S528" s="49"/>
    </row>
    <row r="529" spans="2:19" x14ac:dyDescent="0.25">
      <c r="B529" s="184"/>
      <c r="C529" s="186" t="s">
        <v>84</v>
      </c>
      <c r="D529" s="29" t="s">
        <v>2</v>
      </c>
      <c r="E529" s="30">
        <v>1</v>
      </c>
      <c r="F529" s="30">
        <v>43</v>
      </c>
      <c r="G529" s="29" t="s">
        <v>66</v>
      </c>
      <c r="H529" s="29"/>
      <c r="I529" s="49"/>
      <c r="L529" s="184"/>
      <c r="M529" s="186" t="s">
        <v>84</v>
      </c>
      <c r="N529" s="29" t="s">
        <v>2</v>
      </c>
      <c r="O529" s="30">
        <v>1</v>
      </c>
      <c r="P529" s="30">
        <v>43</v>
      </c>
      <c r="Q529" s="29" t="s">
        <v>66</v>
      </c>
      <c r="R529" s="29"/>
      <c r="S529" s="49"/>
    </row>
    <row r="530" spans="2:19" x14ac:dyDescent="0.25">
      <c r="B530" s="184"/>
      <c r="C530" s="187"/>
      <c r="D530" s="29" t="s">
        <v>3</v>
      </c>
      <c r="E530" s="30">
        <v>2</v>
      </c>
      <c r="F530" s="30">
        <v>44</v>
      </c>
      <c r="G530" s="29" t="s">
        <v>66</v>
      </c>
      <c r="H530" s="29"/>
      <c r="I530" s="49"/>
      <c r="L530" s="184"/>
      <c r="M530" s="187"/>
      <c r="N530" s="29" t="s">
        <v>3</v>
      </c>
      <c r="O530" s="30">
        <v>2</v>
      </c>
      <c r="P530" s="30">
        <v>44</v>
      </c>
      <c r="Q530" s="29" t="s">
        <v>66</v>
      </c>
      <c r="R530" s="29"/>
      <c r="S530" s="49"/>
    </row>
    <row r="531" spans="2:19" x14ac:dyDescent="0.25">
      <c r="B531" s="184"/>
      <c r="C531" s="187"/>
      <c r="D531" s="29" t="s">
        <v>80</v>
      </c>
      <c r="E531" s="30">
        <v>3</v>
      </c>
      <c r="F531" s="30">
        <v>45</v>
      </c>
      <c r="G531" s="29" t="s">
        <v>66</v>
      </c>
      <c r="H531" s="29"/>
      <c r="I531" s="49"/>
      <c r="L531" s="184"/>
      <c r="M531" s="187"/>
      <c r="N531" s="29" t="s">
        <v>80</v>
      </c>
      <c r="O531" s="30">
        <v>3</v>
      </c>
      <c r="P531" s="30">
        <v>45</v>
      </c>
      <c r="Q531" s="29" t="s">
        <v>66</v>
      </c>
      <c r="R531" s="29"/>
      <c r="S531" s="49"/>
    </row>
    <row r="532" spans="2:19" x14ac:dyDescent="0.25">
      <c r="B532" s="184"/>
      <c r="C532" s="187"/>
      <c r="D532" s="29" t="s">
        <v>81</v>
      </c>
      <c r="E532" s="30">
        <v>4</v>
      </c>
      <c r="F532" s="30">
        <v>46</v>
      </c>
      <c r="G532" s="29" t="s">
        <v>66</v>
      </c>
      <c r="H532" s="29"/>
      <c r="I532" s="49"/>
      <c r="L532" s="184"/>
      <c r="M532" s="187"/>
      <c r="N532" s="29" t="s">
        <v>81</v>
      </c>
      <c r="O532" s="30">
        <v>4</v>
      </c>
      <c r="P532" s="30">
        <v>46</v>
      </c>
      <c r="Q532" s="29" t="s">
        <v>66</v>
      </c>
      <c r="R532" s="29"/>
      <c r="S532" s="49"/>
    </row>
    <row r="533" spans="2:19" x14ac:dyDescent="0.25">
      <c r="B533" s="184"/>
      <c r="C533" s="187"/>
      <c r="D533" s="29" t="s">
        <v>82</v>
      </c>
      <c r="E533" s="30">
        <v>5</v>
      </c>
      <c r="F533" s="30">
        <v>47</v>
      </c>
      <c r="G533" s="29" t="s">
        <v>66</v>
      </c>
      <c r="H533" s="29"/>
      <c r="I533" s="49"/>
      <c r="L533" s="184"/>
      <c r="M533" s="187"/>
      <c r="N533" s="29" t="s">
        <v>82</v>
      </c>
      <c r="O533" s="30">
        <v>5</v>
      </c>
      <c r="P533" s="30">
        <v>47</v>
      </c>
      <c r="Q533" s="29" t="s">
        <v>66</v>
      </c>
      <c r="R533" s="29"/>
      <c r="S533" s="49"/>
    </row>
    <row r="534" spans="2:19" ht="15.75" thickBot="1" x14ac:dyDescent="0.3">
      <c r="B534" s="185"/>
      <c r="C534" s="188"/>
      <c r="D534" s="29" t="s">
        <v>83</v>
      </c>
      <c r="E534" s="30">
        <v>6</v>
      </c>
      <c r="F534" s="30">
        <v>48</v>
      </c>
      <c r="G534" s="29" t="s">
        <v>66</v>
      </c>
      <c r="H534" s="29"/>
      <c r="I534" s="49"/>
      <c r="L534" s="185"/>
      <c r="M534" s="188"/>
      <c r="N534" s="29" t="s">
        <v>83</v>
      </c>
      <c r="O534" s="30">
        <v>6</v>
      </c>
      <c r="P534" s="30">
        <v>48</v>
      </c>
      <c r="Q534" s="29" t="s">
        <v>66</v>
      </c>
      <c r="R534" s="29"/>
      <c r="S534" s="49"/>
    </row>
    <row r="535" spans="2:19" ht="15.75" thickBot="1" x14ac:dyDescent="0.3"/>
    <row r="536" spans="2:19" ht="15.75" thickBot="1" x14ac:dyDescent="0.3">
      <c r="B536" s="171" t="s">
        <v>319</v>
      </c>
      <c r="C536" s="172"/>
      <c r="D536" s="172"/>
      <c r="E536" s="172"/>
      <c r="F536" s="172"/>
      <c r="G536" s="172"/>
      <c r="H536" s="172"/>
      <c r="I536" s="173"/>
      <c r="L536" s="171" t="s">
        <v>320</v>
      </c>
      <c r="M536" s="172"/>
      <c r="N536" s="172"/>
      <c r="O536" s="172"/>
      <c r="P536" s="172"/>
      <c r="Q536" s="172"/>
      <c r="R536" s="172"/>
      <c r="S536" s="173"/>
    </row>
    <row r="538" spans="2:19" ht="26.25" thickBot="1" x14ac:dyDescent="0.3">
      <c r="B538" s="15" t="s">
        <v>70</v>
      </c>
      <c r="C538" s="16" t="s">
        <v>71</v>
      </c>
      <c r="D538" s="15" t="s">
        <v>72</v>
      </c>
      <c r="E538" s="17" t="s">
        <v>73</v>
      </c>
      <c r="F538" s="17" t="s">
        <v>74</v>
      </c>
      <c r="G538" s="15" t="s">
        <v>75</v>
      </c>
      <c r="H538" s="15" t="s">
        <v>55</v>
      </c>
      <c r="I538" s="15" t="s">
        <v>76</v>
      </c>
      <c r="L538" s="15" t="s">
        <v>70</v>
      </c>
      <c r="M538" s="16" t="s">
        <v>71</v>
      </c>
      <c r="N538" s="15" t="s">
        <v>72</v>
      </c>
      <c r="O538" s="17" t="s">
        <v>73</v>
      </c>
      <c r="P538" s="17" t="s">
        <v>74</v>
      </c>
      <c r="Q538" s="15" t="s">
        <v>75</v>
      </c>
      <c r="R538" s="15" t="s">
        <v>55</v>
      </c>
      <c r="S538" s="15" t="s">
        <v>76</v>
      </c>
    </row>
    <row r="539" spans="2:19" x14ac:dyDescent="0.25">
      <c r="B539" s="174" t="s">
        <v>2</v>
      </c>
      <c r="C539" s="168" t="s">
        <v>77</v>
      </c>
      <c r="D539" s="18" t="s">
        <v>2</v>
      </c>
      <c r="E539" s="19">
        <v>1</v>
      </c>
      <c r="F539" s="19">
        <v>1</v>
      </c>
      <c r="G539" s="18" t="s">
        <v>66</v>
      </c>
      <c r="H539" s="32"/>
      <c r="I539" s="50"/>
      <c r="L539" s="174" t="s">
        <v>2</v>
      </c>
      <c r="M539" s="168" t="s">
        <v>77</v>
      </c>
      <c r="N539" s="18" t="s">
        <v>2</v>
      </c>
      <c r="O539" s="19">
        <v>1</v>
      </c>
      <c r="P539" s="19">
        <v>1</v>
      </c>
      <c r="Q539" s="18" t="s">
        <v>66</v>
      </c>
      <c r="R539" s="32"/>
      <c r="S539" s="50"/>
    </row>
    <row r="540" spans="2:19" x14ac:dyDescent="0.25">
      <c r="B540" s="175"/>
      <c r="C540" s="169"/>
      <c r="D540" s="18" t="s">
        <v>3</v>
      </c>
      <c r="E540" s="19">
        <v>2</v>
      </c>
      <c r="F540" s="19">
        <v>2</v>
      </c>
      <c r="G540" s="18" t="s">
        <v>66</v>
      </c>
      <c r="H540" s="32"/>
      <c r="I540" s="50"/>
      <c r="L540" s="175"/>
      <c r="M540" s="169"/>
      <c r="N540" s="18" t="s">
        <v>3</v>
      </c>
      <c r="O540" s="19">
        <v>2</v>
      </c>
      <c r="P540" s="19">
        <v>2</v>
      </c>
      <c r="Q540" s="18" t="s">
        <v>66</v>
      </c>
      <c r="R540" s="32"/>
      <c r="S540" s="50"/>
    </row>
    <row r="541" spans="2:19" x14ac:dyDescent="0.25">
      <c r="B541" s="175"/>
      <c r="C541" s="169"/>
      <c r="D541" s="18" t="s">
        <v>80</v>
      </c>
      <c r="E541" s="20">
        <v>3</v>
      </c>
      <c r="F541" s="20">
        <v>3</v>
      </c>
      <c r="G541" s="18" t="s">
        <v>66</v>
      </c>
      <c r="H541" s="32"/>
      <c r="I541" s="50"/>
      <c r="L541" s="175"/>
      <c r="M541" s="169"/>
      <c r="N541" s="18" t="s">
        <v>80</v>
      </c>
      <c r="O541" s="20">
        <v>3</v>
      </c>
      <c r="P541" s="20">
        <v>3</v>
      </c>
      <c r="Q541" s="18" t="s">
        <v>66</v>
      </c>
      <c r="R541" s="32"/>
      <c r="S541" s="50"/>
    </row>
    <row r="542" spans="2:19" x14ac:dyDescent="0.25">
      <c r="B542" s="175"/>
      <c r="C542" s="169"/>
      <c r="D542" s="18" t="s">
        <v>81</v>
      </c>
      <c r="E542" s="20">
        <v>4</v>
      </c>
      <c r="F542" s="20">
        <v>4</v>
      </c>
      <c r="G542" s="18" t="s">
        <v>66</v>
      </c>
      <c r="H542" s="32"/>
      <c r="I542" s="50"/>
      <c r="L542" s="175"/>
      <c r="M542" s="169"/>
      <c r="N542" s="18" t="s">
        <v>81</v>
      </c>
      <c r="O542" s="20">
        <v>4</v>
      </c>
      <c r="P542" s="20">
        <v>4</v>
      </c>
      <c r="Q542" s="18" t="s">
        <v>66</v>
      </c>
      <c r="R542" s="32"/>
      <c r="S542" s="50"/>
    </row>
    <row r="543" spans="2:19" x14ac:dyDescent="0.25">
      <c r="B543" s="175"/>
      <c r="C543" s="169"/>
      <c r="D543" s="18" t="s">
        <v>82</v>
      </c>
      <c r="E543" s="20">
        <v>5</v>
      </c>
      <c r="F543" s="20">
        <v>5</v>
      </c>
      <c r="G543" s="18" t="s">
        <v>66</v>
      </c>
      <c r="H543" s="32"/>
      <c r="I543" s="50"/>
      <c r="L543" s="175"/>
      <c r="M543" s="169"/>
      <c r="N543" s="18" t="s">
        <v>82</v>
      </c>
      <c r="O543" s="20">
        <v>5</v>
      </c>
      <c r="P543" s="20">
        <v>5</v>
      </c>
      <c r="Q543" s="18" t="s">
        <v>66</v>
      </c>
      <c r="R543" s="32"/>
      <c r="S543" s="50"/>
    </row>
    <row r="544" spans="2:19" ht="15.75" thickBot="1" x14ac:dyDescent="0.3">
      <c r="B544" s="175"/>
      <c r="C544" s="170"/>
      <c r="D544" s="18" t="s">
        <v>83</v>
      </c>
      <c r="E544" s="20">
        <v>6</v>
      </c>
      <c r="F544" s="20">
        <v>6</v>
      </c>
      <c r="G544" s="18" t="s">
        <v>66</v>
      </c>
      <c r="H544" s="32"/>
      <c r="I544" s="50"/>
      <c r="L544" s="175"/>
      <c r="M544" s="170"/>
      <c r="N544" s="18" t="s">
        <v>83</v>
      </c>
      <c r="O544" s="20">
        <v>6</v>
      </c>
      <c r="P544" s="20">
        <v>6</v>
      </c>
      <c r="Q544" s="18" t="s">
        <v>66</v>
      </c>
      <c r="R544" s="32"/>
      <c r="S544" s="50"/>
    </row>
    <row r="545" spans="2:19" x14ac:dyDescent="0.25">
      <c r="B545" s="175"/>
      <c r="C545" s="168" t="s">
        <v>84</v>
      </c>
      <c r="D545" s="18" t="s">
        <v>2</v>
      </c>
      <c r="E545" s="19">
        <v>1</v>
      </c>
      <c r="F545" s="19">
        <v>7</v>
      </c>
      <c r="G545" s="18" t="s">
        <v>78</v>
      </c>
      <c r="H545" s="156" t="s">
        <v>140</v>
      </c>
      <c r="I545" s="165" t="s">
        <v>184</v>
      </c>
      <c r="L545" s="175"/>
      <c r="M545" s="168" t="s">
        <v>84</v>
      </c>
      <c r="N545" s="18" t="s">
        <v>2</v>
      </c>
      <c r="O545" s="19">
        <v>1</v>
      </c>
      <c r="P545" s="19">
        <v>7</v>
      </c>
      <c r="Q545" s="18" t="s">
        <v>78</v>
      </c>
      <c r="R545" s="156" t="s">
        <v>140</v>
      </c>
      <c r="S545" s="165" t="s">
        <v>186</v>
      </c>
    </row>
    <row r="546" spans="2:19" x14ac:dyDescent="0.25">
      <c r="B546" s="175"/>
      <c r="C546" s="169"/>
      <c r="D546" s="18" t="s">
        <v>3</v>
      </c>
      <c r="E546" s="19">
        <v>2</v>
      </c>
      <c r="F546" s="19">
        <v>8</v>
      </c>
      <c r="G546" s="18" t="s">
        <v>78</v>
      </c>
      <c r="H546" s="157"/>
      <c r="I546" s="166"/>
      <c r="L546" s="175"/>
      <c r="M546" s="169"/>
      <c r="N546" s="18" t="s">
        <v>3</v>
      </c>
      <c r="O546" s="19">
        <v>2</v>
      </c>
      <c r="P546" s="19">
        <v>8</v>
      </c>
      <c r="Q546" s="18" t="s">
        <v>78</v>
      </c>
      <c r="R546" s="157"/>
      <c r="S546" s="166"/>
    </row>
    <row r="547" spans="2:19" x14ac:dyDescent="0.25">
      <c r="B547" s="175"/>
      <c r="C547" s="169"/>
      <c r="D547" s="18" t="s">
        <v>80</v>
      </c>
      <c r="E547" s="20">
        <v>3</v>
      </c>
      <c r="F547" s="20">
        <v>9</v>
      </c>
      <c r="G547" s="18" t="s">
        <v>66</v>
      </c>
      <c r="H547" s="157"/>
      <c r="I547" s="166"/>
      <c r="L547" s="175"/>
      <c r="M547" s="169"/>
      <c r="N547" s="18" t="s">
        <v>80</v>
      </c>
      <c r="O547" s="20">
        <v>3</v>
      </c>
      <c r="P547" s="20">
        <v>9</v>
      </c>
      <c r="Q547" s="18" t="s">
        <v>66</v>
      </c>
      <c r="R547" s="157"/>
      <c r="S547" s="166"/>
    </row>
    <row r="548" spans="2:19" x14ac:dyDescent="0.25">
      <c r="B548" s="175"/>
      <c r="C548" s="169"/>
      <c r="D548" s="18" t="s">
        <v>81</v>
      </c>
      <c r="E548" s="20">
        <v>4</v>
      </c>
      <c r="F548" s="20">
        <v>10</v>
      </c>
      <c r="G548" s="18" t="s">
        <v>66</v>
      </c>
      <c r="H548" s="157"/>
      <c r="I548" s="166"/>
      <c r="L548" s="175"/>
      <c r="M548" s="169"/>
      <c r="N548" s="18" t="s">
        <v>81</v>
      </c>
      <c r="O548" s="20">
        <v>4</v>
      </c>
      <c r="P548" s="20">
        <v>10</v>
      </c>
      <c r="Q548" s="18" t="s">
        <v>66</v>
      </c>
      <c r="R548" s="157"/>
      <c r="S548" s="166"/>
    </row>
    <row r="549" spans="2:19" x14ac:dyDescent="0.25">
      <c r="B549" s="175"/>
      <c r="C549" s="169"/>
      <c r="D549" s="18" t="s">
        <v>82</v>
      </c>
      <c r="E549" s="20">
        <v>5</v>
      </c>
      <c r="F549" s="20">
        <v>11</v>
      </c>
      <c r="G549" s="18" t="s">
        <v>66</v>
      </c>
      <c r="H549" s="157"/>
      <c r="I549" s="166"/>
      <c r="L549" s="175"/>
      <c r="M549" s="169"/>
      <c r="N549" s="18" t="s">
        <v>82</v>
      </c>
      <c r="O549" s="20">
        <v>5</v>
      </c>
      <c r="P549" s="20">
        <v>11</v>
      </c>
      <c r="Q549" s="18" t="s">
        <v>66</v>
      </c>
      <c r="R549" s="157"/>
      <c r="S549" s="166"/>
    </row>
    <row r="550" spans="2:19" ht="15.75" thickBot="1" x14ac:dyDescent="0.3">
      <c r="B550" s="176"/>
      <c r="C550" s="170"/>
      <c r="D550" s="18" t="s">
        <v>83</v>
      </c>
      <c r="E550" s="20">
        <v>6</v>
      </c>
      <c r="F550" s="20">
        <v>12</v>
      </c>
      <c r="G550" s="18" t="s">
        <v>66</v>
      </c>
      <c r="H550" s="158"/>
      <c r="I550" s="167"/>
      <c r="L550" s="176"/>
      <c r="M550" s="170"/>
      <c r="N550" s="18" t="s">
        <v>83</v>
      </c>
      <c r="O550" s="20">
        <v>6</v>
      </c>
      <c r="P550" s="20">
        <v>12</v>
      </c>
      <c r="Q550" s="18" t="s">
        <v>66</v>
      </c>
      <c r="R550" s="158"/>
      <c r="S550" s="167"/>
    </row>
    <row r="551" spans="2:19" x14ac:dyDescent="0.25">
      <c r="B551" s="180" t="s">
        <v>3</v>
      </c>
      <c r="C551" s="177" t="s">
        <v>77</v>
      </c>
      <c r="D551" s="21" t="s">
        <v>2</v>
      </c>
      <c r="E551" s="22">
        <v>1</v>
      </c>
      <c r="F551" s="22">
        <v>13</v>
      </c>
      <c r="G551" s="21" t="s">
        <v>66</v>
      </c>
      <c r="H551" s="21"/>
      <c r="I551" s="51"/>
      <c r="L551" s="180" t="s">
        <v>3</v>
      </c>
      <c r="M551" s="177" t="s">
        <v>77</v>
      </c>
      <c r="N551" s="21" t="s">
        <v>2</v>
      </c>
      <c r="O551" s="22">
        <v>1</v>
      </c>
      <c r="P551" s="22">
        <v>13</v>
      </c>
      <c r="Q551" s="21" t="s">
        <v>66</v>
      </c>
      <c r="R551" s="21"/>
      <c r="S551" s="51"/>
    </row>
    <row r="552" spans="2:19" x14ac:dyDescent="0.25">
      <c r="B552" s="181"/>
      <c r="C552" s="178"/>
      <c r="D552" s="23" t="s">
        <v>3</v>
      </c>
      <c r="E552" s="24">
        <v>2</v>
      </c>
      <c r="F552" s="24">
        <v>14</v>
      </c>
      <c r="G552" s="23" t="s">
        <v>66</v>
      </c>
      <c r="H552" s="23"/>
      <c r="I552" s="47"/>
      <c r="L552" s="181"/>
      <c r="M552" s="178"/>
      <c r="N552" s="23" t="s">
        <v>3</v>
      </c>
      <c r="O552" s="24">
        <v>2</v>
      </c>
      <c r="P552" s="24">
        <v>14</v>
      </c>
      <c r="Q552" s="23" t="s">
        <v>66</v>
      </c>
      <c r="R552" s="23"/>
      <c r="S552" s="47"/>
    </row>
    <row r="553" spans="2:19" x14ac:dyDescent="0.25">
      <c r="B553" s="181"/>
      <c r="C553" s="178"/>
      <c r="D553" s="23" t="s">
        <v>80</v>
      </c>
      <c r="E553" s="24">
        <v>3</v>
      </c>
      <c r="F553" s="24">
        <v>15</v>
      </c>
      <c r="G553" s="23" t="s">
        <v>66</v>
      </c>
      <c r="H553" s="23"/>
      <c r="I553" s="47"/>
      <c r="L553" s="181"/>
      <c r="M553" s="178"/>
      <c r="N553" s="23" t="s">
        <v>80</v>
      </c>
      <c r="O553" s="24">
        <v>3</v>
      </c>
      <c r="P553" s="24">
        <v>15</v>
      </c>
      <c r="Q553" s="23" t="s">
        <v>66</v>
      </c>
      <c r="R553" s="23"/>
      <c r="S553" s="47"/>
    </row>
    <row r="554" spans="2:19" x14ac:dyDescent="0.25">
      <c r="B554" s="181"/>
      <c r="C554" s="178"/>
      <c r="D554" s="23" t="s">
        <v>81</v>
      </c>
      <c r="E554" s="24">
        <v>4</v>
      </c>
      <c r="F554" s="24">
        <v>16</v>
      </c>
      <c r="G554" s="23" t="s">
        <v>66</v>
      </c>
      <c r="H554" s="23"/>
      <c r="I554" s="47"/>
      <c r="L554" s="181"/>
      <c r="M554" s="178"/>
      <c r="N554" s="23" t="s">
        <v>81</v>
      </c>
      <c r="O554" s="24">
        <v>4</v>
      </c>
      <c r="P554" s="24">
        <v>16</v>
      </c>
      <c r="Q554" s="23" t="s">
        <v>66</v>
      </c>
      <c r="R554" s="23"/>
      <c r="S554" s="47"/>
    </row>
    <row r="555" spans="2:19" x14ac:dyDescent="0.25">
      <c r="B555" s="181"/>
      <c r="C555" s="178"/>
      <c r="D555" s="23" t="s">
        <v>82</v>
      </c>
      <c r="E555" s="24">
        <v>5</v>
      </c>
      <c r="F555" s="24">
        <v>17</v>
      </c>
      <c r="G555" s="23" t="s">
        <v>66</v>
      </c>
      <c r="H555" s="23"/>
      <c r="I555" s="47"/>
      <c r="L555" s="181"/>
      <c r="M555" s="178"/>
      <c r="N555" s="23" t="s">
        <v>82</v>
      </c>
      <c r="O555" s="24">
        <v>5</v>
      </c>
      <c r="P555" s="24">
        <v>17</v>
      </c>
      <c r="Q555" s="23" t="s">
        <v>66</v>
      </c>
      <c r="R555" s="23"/>
      <c r="S555" s="47"/>
    </row>
    <row r="556" spans="2:19" ht="15.75" thickBot="1" x14ac:dyDescent="0.3">
      <c r="B556" s="181"/>
      <c r="C556" s="179"/>
      <c r="D556" s="23" t="s">
        <v>83</v>
      </c>
      <c r="E556" s="24">
        <v>6</v>
      </c>
      <c r="F556" s="24">
        <v>18</v>
      </c>
      <c r="G556" s="23" t="s">
        <v>66</v>
      </c>
      <c r="H556" s="23"/>
      <c r="I556" s="47"/>
      <c r="L556" s="181"/>
      <c r="M556" s="179"/>
      <c r="N556" s="23" t="s">
        <v>83</v>
      </c>
      <c r="O556" s="24">
        <v>6</v>
      </c>
      <c r="P556" s="24">
        <v>18</v>
      </c>
      <c r="Q556" s="23" t="s">
        <v>66</v>
      </c>
      <c r="R556" s="23"/>
      <c r="S556" s="47"/>
    </row>
    <row r="557" spans="2:19" x14ac:dyDescent="0.25">
      <c r="B557" s="181"/>
      <c r="C557" s="177" t="s">
        <v>84</v>
      </c>
      <c r="D557" s="23" t="s">
        <v>2</v>
      </c>
      <c r="E557" s="24">
        <v>1</v>
      </c>
      <c r="F557" s="24">
        <v>19</v>
      </c>
      <c r="G557" s="23" t="s">
        <v>66</v>
      </c>
      <c r="H557" s="23"/>
      <c r="I557" s="47"/>
      <c r="L557" s="181"/>
      <c r="M557" s="177" t="s">
        <v>84</v>
      </c>
      <c r="N557" s="23" t="s">
        <v>2</v>
      </c>
      <c r="O557" s="24">
        <v>1</v>
      </c>
      <c r="P557" s="24">
        <v>19</v>
      </c>
      <c r="Q557" s="23" t="s">
        <v>66</v>
      </c>
      <c r="R557" s="23"/>
      <c r="S557" s="47"/>
    </row>
    <row r="558" spans="2:19" x14ac:dyDescent="0.25">
      <c r="B558" s="181"/>
      <c r="C558" s="178"/>
      <c r="D558" s="23" t="s">
        <v>3</v>
      </c>
      <c r="E558" s="24">
        <v>2</v>
      </c>
      <c r="F558" s="24">
        <v>20</v>
      </c>
      <c r="G558" s="23" t="s">
        <v>66</v>
      </c>
      <c r="H558" s="23"/>
      <c r="I558" s="47"/>
      <c r="L558" s="181"/>
      <c r="M558" s="178"/>
      <c r="N558" s="23" t="s">
        <v>3</v>
      </c>
      <c r="O558" s="24">
        <v>2</v>
      </c>
      <c r="P558" s="24">
        <v>20</v>
      </c>
      <c r="Q558" s="23" t="s">
        <v>66</v>
      </c>
      <c r="R558" s="23"/>
      <c r="S558" s="47"/>
    </row>
    <row r="559" spans="2:19" x14ac:dyDescent="0.25">
      <c r="B559" s="181"/>
      <c r="C559" s="178"/>
      <c r="D559" s="23" t="s">
        <v>80</v>
      </c>
      <c r="E559" s="26">
        <v>3</v>
      </c>
      <c r="F559" s="24">
        <v>21</v>
      </c>
      <c r="G559" s="23" t="s">
        <v>66</v>
      </c>
      <c r="H559" s="23"/>
      <c r="I559" s="47"/>
      <c r="L559" s="181"/>
      <c r="M559" s="178"/>
      <c r="N559" s="23" t="s">
        <v>80</v>
      </c>
      <c r="O559" s="26">
        <v>3</v>
      </c>
      <c r="P559" s="24">
        <v>21</v>
      </c>
      <c r="Q559" s="23" t="s">
        <v>66</v>
      </c>
      <c r="R559" s="23"/>
      <c r="S559" s="47"/>
    </row>
    <row r="560" spans="2:19" x14ac:dyDescent="0.25">
      <c r="B560" s="181"/>
      <c r="C560" s="178"/>
      <c r="D560" s="23" t="s">
        <v>81</v>
      </c>
      <c r="E560" s="24">
        <v>4</v>
      </c>
      <c r="F560" s="24">
        <v>22</v>
      </c>
      <c r="G560" s="23" t="s">
        <v>66</v>
      </c>
      <c r="H560" s="23"/>
      <c r="I560" s="47"/>
      <c r="L560" s="181"/>
      <c r="M560" s="178"/>
      <c r="N560" s="23" t="s">
        <v>81</v>
      </c>
      <c r="O560" s="24">
        <v>4</v>
      </c>
      <c r="P560" s="24">
        <v>22</v>
      </c>
      <c r="Q560" s="23" t="s">
        <v>66</v>
      </c>
      <c r="R560" s="23"/>
      <c r="S560" s="47"/>
    </row>
    <row r="561" spans="2:19" x14ac:dyDescent="0.25">
      <c r="B561" s="181"/>
      <c r="C561" s="178"/>
      <c r="D561" s="23" t="s">
        <v>82</v>
      </c>
      <c r="E561" s="24">
        <v>5</v>
      </c>
      <c r="F561" s="24">
        <v>23</v>
      </c>
      <c r="G561" s="23" t="s">
        <v>66</v>
      </c>
      <c r="H561" s="23"/>
      <c r="I561" s="47"/>
      <c r="L561" s="181"/>
      <c r="M561" s="178"/>
      <c r="N561" s="23" t="s">
        <v>82</v>
      </c>
      <c r="O561" s="24">
        <v>5</v>
      </c>
      <c r="P561" s="24">
        <v>23</v>
      </c>
      <c r="Q561" s="23" t="s">
        <v>66</v>
      </c>
      <c r="R561" s="23"/>
      <c r="S561" s="47"/>
    </row>
    <row r="562" spans="2:19" ht="15.75" thickBot="1" x14ac:dyDescent="0.3">
      <c r="B562" s="182"/>
      <c r="C562" s="179"/>
      <c r="D562" s="23" t="s">
        <v>83</v>
      </c>
      <c r="E562" s="24">
        <v>6</v>
      </c>
      <c r="F562" s="24">
        <v>24</v>
      </c>
      <c r="G562" s="23" t="s">
        <v>66</v>
      </c>
      <c r="H562" s="23"/>
      <c r="I562" s="47"/>
      <c r="L562" s="182"/>
      <c r="M562" s="179"/>
      <c r="N562" s="23" t="s">
        <v>83</v>
      </c>
      <c r="O562" s="24">
        <v>6</v>
      </c>
      <c r="P562" s="24">
        <v>24</v>
      </c>
      <c r="Q562" s="23" t="s">
        <v>66</v>
      </c>
      <c r="R562" s="23"/>
      <c r="S562" s="47"/>
    </row>
    <row r="563" spans="2:19" x14ac:dyDescent="0.25">
      <c r="B563" s="189" t="s">
        <v>80</v>
      </c>
      <c r="C563" s="192" t="s">
        <v>77</v>
      </c>
      <c r="D563" s="27" t="s">
        <v>2</v>
      </c>
      <c r="E563" s="28">
        <v>1</v>
      </c>
      <c r="F563" s="28">
        <v>25</v>
      </c>
      <c r="G563" s="27" t="s">
        <v>66</v>
      </c>
      <c r="H563" s="27"/>
      <c r="I563" s="48"/>
      <c r="L563" s="189" t="s">
        <v>80</v>
      </c>
      <c r="M563" s="192" t="s">
        <v>77</v>
      </c>
      <c r="N563" s="27" t="s">
        <v>2</v>
      </c>
      <c r="O563" s="28">
        <v>1</v>
      </c>
      <c r="P563" s="28">
        <v>25</v>
      </c>
      <c r="Q563" s="27" t="s">
        <v>66</v>
      </c>
      <c r="R563" s="27"/>
      <c r="S563" s="48"/>
    </row>
    <row r="564" spans="2:19" x14ac:dyDescent="0.25">
      <c r="B564" s="190"/>
      <c r="C564" s="193"/>
      <c r="D564" s="27" t="s">
        <v>3</v>
      </c>
      <c r="E564" s="28">
        <v>2</v>
      </c>
      <c r="F564" s="28">
        <v>26</v>
      </c>
      <c r="G564" s="27" t="s">
        <v>66</v>
      </c>
      <c r="H564" s="27"/>
      <c r="I564" s="48"/>
      <c r="L564" s="190"/>
      <c r="M564" s="193"/>
      <c r="N564" s="27" t="s">
        <v>3</v>
      </c>
      <c r="O564" s="28">
        <v>2</v>
      </c>
      <c r="P564" s="28">
        <v>26</v>
      </c>
      <c r="Q564" s="27" t="s">
        <v>66</v>
      </c>
      <c r="R564" s="27"/>
      <c r="S564" s="48"/>
    </row>
    <row r="565" spans="2:19" x14ac:dyDescent="0.25">
      <c r="B565" s="190"/>
      <c r="C565" s="193"/>
      <c r="D565" s="27" t="s">
        <v>80</v>
      </c>
      <c r="E565" s="28">
        <v>3</v>
      </c>
      <c r="F565" s="28">
        <v>27</v>
      </c>
      <c r="G565" s="27" t="s">
        <v>66</v>
      </c>
      <c r="H565" s="27"/>
      <c r="I565" s="48"/>
      <c r="L565" s="190"/>
      <c r="M565" s="193"/>
      <c r="N565" s="27" t="s">
        <v>80</v>
      </c>
      <c r="O565" s="28">
        <v>3</v>
      </c>
      <c r="P565" s="28">
        <v>27</v>
      </c>
      <c r="Q565" s="27" t="s">
        <v>66</v>
      </c>
      <c r="R565" s="27"/>
      <c r="S565" s="48"/>
    </row>
    <row r="566" spans="2:19" x14ac:dyDescent="0.25">
      <c r="B566" s="190"/>
      <c r="C566" s="193"/>
      <c r="D566" s="27" t="s">
        <v>81</v>
      </c>
      <c r="E566" s="28">
        <v>4</v>
      </c>
      <c r="F566" s="28">
        <v>28</v>
      </c>
      <c r="G566" s="27" t="s">
        <v>66</v>
      </c>
      <c r="H566" s="27"/>
      <c r="I566" s="48"/>
      <c r="L566" s="190"/>
      <c r="M566" s="193"/>
      <c r="N566" s="27" t="s">
        <v>81</v>
      </c>
      <c r="O566" s="28">
        <v>4</v>
      </c>
      <c r="P566" s="28">
        <v>28</v>
      </c>
      <c r="Q566" s="27" t="s">
        <v>66</v>
      </c>
      <c r="R566" s="27"/>
      <c r="S566" s="48"/>
    </row>
    <row r="567" spans="2:19" x14ac:dyDescent="0.25">
      <c r="B567" s="190"/>
      <c r="C567" s="193"/>
      <c r="D567" s="27" t="s">
        <v>82</v>
      </c>
      <c r="E567" s="28">
        <v>5</v>
      </c>
      <c r="F567" s="28">
        <v>29</v>
      </c>
      <c r="G567" s="27" t="s">
        <v>66</v>
      </c>
      <c r="H567" s="27"/>
      <c r="I567" s="48"/>
      <c r="L567" s="190"/>
      <c r="M567" s="193"/>
      <c r="N567" s="27" t="s">
        <v>82</v>
      </c>
      <c r="O567" s="28">
        <v>5</v>
      </c>
      <c r="P567" s="28">
        <v>29</v>
      </c>
      <c r="Q567" s="27" t="s">
        <v>66</v>
      </c>
      <c r="R567" s="27"/>
      <c r="S567" s="48"/>
    </row>
    <row r="568" spans="2:19" ht="15.75" thickBot="1" x14ac:dyDescent="0.3">
      <c r="B568" s="190"/>
      <c r="C568" s="194"/>
      <c r="D568" s="27" t="s">
        <v>83</v>
      </c>
      <c r="E568" s="28">
        <v>6</v>
      </c>
      <c r="F568" s="28">
        <v>30</v>
      </c>
      <c r="G568" s="27" t="s">
        <v>66</v>
      </c>
      <c r="H568" s="27"/>
      <c r="I568" s="48"/>
      <c r="L568" s="190"/>
      <c r="M568" s="194"/>
      <c r="N568" s="27" t="s">
        <v>83</v>
      </c>
      <c r="O568" s="28">
        <v>6</v>
      </c>
      <c r="P568" s="28">
        <v>30</v>
      </c>
      <c r="Q568" s="27" t="s">
        <v>66</v>
      </c>
      <c r="R568" s="27"/>
      <c r="S568" s="48"/>
    </row>
    <row r="569" spans="2:19" x14ac:dyDescent="0.25">
      <c r="B569" s="190"/>
      <c r="C569" s="192" t="s">
        <v>84</v>
      </c>
      <c r="D569" s="27" t="s">
        <v>2</v>
      </c>
      <c r="E569" s="28">
        <v>1</v>
      </c>
      <c r="F569" s="28">
        <v>31</v>
      </c>
      <c r="G569" s="27" t="s">
        <v>66</v>
      </c>
      <c r="H569" s="27"/>
      <c r="I569" s="48"/>
      <c r="L569" s="190"/>
      <c r="M569" s="192" t="s">
        <v>84</v>
      </c>
      <c r="N569" s="27" t="s">
        <v>2</v>
      </c>
      <c r="O569" s="28">
        <v>1</v>
      </c>
      <c r="P569" s="28">
        <v>31</v>
      </c>
      <c r="Q569" s="27" t="s">
        <v>66</v>
      </c>
      <c r="R569" s="27"/>
      <c r="S569" s="48"/>
    </row>
    <row r="570" spans="2:19" x14ac:dyDescent="0.25">
      <c r="B570" s="190"/>
      <c r="C570" s="193"/>
      <c r="D570" s="27" t="s">
        <v>3</v>
      </c>
      <c r="E570" s="28">
        <v>2</v>
      </c>
      <c r="F570" s="28">
        <v>32</v>
      </c>
      <c r="G570" s="27" t="s">
        <v>66</v>
      </c>
      <c r="H570" s="27"/>
      <c r="I570" s="48"/>
      <c r="L570" s="190"/>
      <c r="M570" s="193"/>
      <c r="N570" s="27" t="s">
        <v>3</v>
      </c>
      <c r="O570" s="28">
        <v>2</v>
      </c>
      <c r="P570" s="28">
        <v>32</v>
      </c>
      <c r="Q570" s="27" t="s">
        <v>66</v>
      </c>
      <c r="R570" s="27"/>
      <c r="S570" s="48"/>
    </row>
    <row r="571" spans="2:19" x14ac:dyDescent="0.25">
      <c r="B571" s="190"/>
      <c r="C571" s="193"/>
      <c r="D571" s="27" t="s">
        <v>80</v>
      </c>
      <c r="E571" s="28">
        <v>3</v>
      </c>
      <c r="F571" s="28">
        <v>33</v>
      </c>
      <c r="G571" s="27" t="s">
        <v>66</v>
      </c>
      <c r="H571" s="27"/>
      <c r="I571" s="48"/>
      <c r="L571" s="190"/>
      <c r="M571" s="193"/>
      <c r="N571" s="27" t="s">
        <v>80</v>
      </c>
      <c r="O571" s="28">
        <v>3</v>
      </c>
      <c r="P571" s="28">
        <v>33</v>
      </c>
      <c r="Q571" s="27" t="s">
        <v>66</v>
      </c>
      <c r="R571" s="27"/>
      <c r="S571" s="48"/>
    </row>
    <row r="572" spans="2:19" x14ac:dyDescent="0.25">
      <c r="B572" s="190"/>
      <c r="C572" s="193"/>
      <c r="D572" s="27" t="s">
        <v>81</v>
      </c>
      <c r="E572" s="28">
        <v>4</v>
      </c>
      <c r="F572" s="28">
        <v>34</v>
      </c>
      <c r="G572" s="27" t="s">
        <v>66</v>
      </c>
      <c r="H572" s="27"/>
      <c r="I572" s="48"/>
      <c r="L572" s="190"/>
      <c r="M572" s="193"/>
      <c r="N572" s="27" t="s">
        <v>81</v>
      </c>
      <c r="O572" s="28">
        <v>4</v>
      </c>
      <c r="P572" s="28">
        <v>34</v>
      </c>
      <c r="Q572" s="27" t="s">
        <v>66</v>
      </c>
      <c r="R572" s="27"/>
      <c r="S572" s="48"/>
    </row>
    <row r="573" spans="2:19" x14ac:dyDescent="0.25">
      <c r="B573" s="190"/>
      <c r="C573" s="193"/>
      <c r="D573" s="27" t="s">
        <v>82</v>
      </c>
      <c r="E573" s="28">
        <v>5</v>
      </c>
      <c r="F573" s="28">
        <v>35</v>
      </c>
      <c r="G573" s="27" t="s">
        <v>66</v>
      </c>
      <c r="H573" s="27"/>
      <c r="I573" s="48"/>
      <c r="L573" s="190"/>
      <c r="M573" s="193"/>
      <c r="N573" s="27" t="s">
        <v>82</v>
      </c>
      <c r="O573" s="28">
        <v>5</v>
      </c>
      <c r="P573" s="28">
        <v>35</v>
      </c>
      <c r="Q573" s="27" t="s">
        <v>66</v>
      </c>
      <c r="R573" s="27"/>
      <c r="S573" s="48"/>
    </row>
    <row r="574" spans="2:19" ht="15.75" thickBot="1" x14ac:dyDescent="0.3">
      <c r="B574" s="191"/>
      <c r="C574" s="194"/>
      <c r="D574" s="27" t="s">
        <v>83</v>
      </c>
      <c r="E574" s="28">
        <v>6</v>
      </c>
      <c r="F574" s="28">
        <v>36</v>
      </c>
      <c r="G574" s="27" t="s">
        <v>66</v>
      </c>
      <c r="H574" s="27"/>
      <c r="I574" s="48"/>
      <c r="L574" s="191"/>
      <c r="M574" s="194"/>
      <c r="N574" s="27" t="s">
        <v>83</v>
      </c>
      <c r="O574" s="28">
        <v>6</v>
      </c>
      <c r="P574" s="28">
        <v>36</v>
      </c>
      <c r="Q574" s="27" t="s">
        <v>66</v>
      </c>
      <c r="R574" s="27"/>
      <c r="S574" s="48"/>
    </row>
    <row r="575" spans="2:19" x14ac:dyDescent="0.25">
      <c r="B575" s="183" t="s">
        <v>81</v>
      </c>
      <c r="C575" s="186" t="s">
        <v>77</v>
      </c>
      <c r="D575" s="29" t="s">
        <v>2</v>
      </c>
      <c r="E575" s="30">
        <v>1</v>
      </c>
      <c r="F575" s="30">
        <v>37</v>
      </c>
      <c r="G575" s="29" t="s">
        <v>66</v>
      </c>
      <c r="H575" s="29"/>
      <c r="I575" s="49"/>
      <c r="L575" s="183" t="s">
        <v>81</v>
      </c>
      <c r="M575" s="186" t="s">
        <v>77</v>
      </c>
      <c r="N575" s="29" t="s">
        <v>2</v>
      </c>
      <c r="O575" s="30">
        <v>1</v>
      </c>
      <c r="P575" s="30">
        <v>37</v>
      </c>
      <c r="Q575" s="29" t="s">
        <v>66</v>
      </c>
      <c r="R575" s="29"/>
      <c r="S575" s="49"/>
    </row>
    <row r="576" spans="2:19" x14ac:dyDescent="0.25">
      <c r="B576" s="184"/>
      <c r="C576" s="187"/>
      <c r="D576" s="29" t="s">
        <v>3</v>
      </c>
      <c r="E576" s="30">
        <v>2</v>
      </c>
      <c r="F576" s="30">
        <v>38</v>
      </c>
      <c r="G576" s="29" t="s">
        <v>66</v>
      </c>
      <c r="H576" s="29"/>
      <c r="I576" s="49"/>
      <c r="L576" s="184"/>
      <c r="M576" s="187"/>
      <c r="N576" s="29" t="s">
        <v>3</v>
      </c>
      <c r="O576" s="30">
        <v>2</v>
      </c>
      <c r="P576" s="30">
        <v>38</v>
      </c>
      <c r="Q576" s="29" t="s">
        <v>66</v>
      </c>
      <c r="R576" s="29"/>
      <c r="S576" s="49"/>
    </row>
    <row r="577" spans="2:19" x14ac:dyDescent="0.25">
      <c r="B577" s="184"/>
      <c r="C577" s="187"/>
      <c r="D577" s="29" t="s">
        <v>80</v>
      </c>
      <c r="E577" s="30">
        <v>3</v>
      </c>
      <c r="F577" s="30">
        <v>39</v>
      </c>
      <c r="G577" s="29" t="s">
        <v>66</v>
      </c>
      <c r="H577" s="29"/>
      <c r="I577" s="49"/>
      <c r="L577" s="184"/>
      <c r="M577" s="187"/>
      <c r="N577" s="29" t="s">
        <v>80</v>
      </c>
      <c r="O577" s="30">
        <v>3</v>
      </c>
      <c r="P577" s="30">
        <v>39</v>
      </c>
      <c r="Q577" s="29" t="s">
        <v>66</v>
      </c>
      <c r="R577" s="29"/>
      <c r="S577" s="49"/>
    </row>
    <row r="578" spans="2:19" x14ac:dyDescent="0.25">
      <c r="B578" s="184"/>
      <c r="C578" s="187"/>
      <c r="D578" s="29" t="s">
        <v>81</v>
      </c>
      <c r="E578" s="30">
        <v>4</v>
      </c>
      <c r="F578" s="30">
        <v>40</v>
      </c>
      <c r="G578" s="29" t="s">
        <v>66</v>
      </c>
      <c r="H578" s="29"/>
      <c r="I578" s="49"/>
      <c r="L578" s="184"/>
      <c r="M578" s="187"/>
      <c r="N578" s="29" t="s">
        <v>81</v>
      </c>
      <c r="O578" s="30">
        <v>4</v>
      </c>
      <c r="P578" s="30">
        <v>40</v>
      </c>
      <c r="Q578" s="29" t="s">
        <v>66</v>
      </c>
      <c r="R578" s="29"/>
      <c r="S578" s="49"/>
    </row>
    <row r="579" spans="2:19" x14ac:dyDescent="0.25">
      <c r="B579" s="184"/>
      <c r="C579" s="187"/>
      <c r="D579" s="29" t="s">
        <v>82</v>
      </c>
      <c r="E579" s="30">
        <v>5</v>
      </c>
      <c r="F579" s="30">
        <v>41</v>
      </c>
      <c r="G579" s="29" t="s">
        <v>66</v>
      </c>
      <c r="H579" s="29"/>
      <c r="I579" s="49"/>
      <c r="L579" s="184"/>
      <c r="M579" s="187"/>
      <c r="N579" s="29" t="s">
        <v>82</v>
      </c>
      <c r="O579" s="30">
        <v>5</v>
      </c>
      <c r="P579" s="30">
        <v>41</v>
      </c>
      <c r="Q579" s="29" t="s">
        <v>66</v>
      </c>
      <c r="R579" s="29"/>
      <c r="S579" s="49"/>
    </row>
    <row r="580" spans="2:19" ht="15.75" thickBot="1" x14ac:dyDescent="0.3">
      <c r="B580" s="184"/>
      <c r="C580" s="188"/>
      <c r="D580" s="29" t="s">
        <v>83</v>
      </c>
      <c r="E580" s="30">
        <v>6</v>
      </c>
      <c r="F580" s="30">
        <v>42</v>
      </c>
      <c r="G580" s="29" t="s">
        <v>66</v>
      </c>
      <c r="H580" s="29"/>
      <c r="I580" s="49"/>
      <c r="L580" s="184"/>
      <c r="M580" s="188"/>
      <c r="N580" s="29" t="s">
        <v>83</v>
      </c>
      <c r="O580" s="30">
        <v>6</v>
      </c>
      <c r="P580" s="30">
        <v>42</v>
      </c>
      <c r="Q580" s="29" t="s">
        <v>66</v>
      </c>
      <c r="R580" s="29"/>
      <c r="S580" s="49"/>
    </row>
    <row r="581" spans="2:19" x14ac:dyDescent="0.25">
      <c r="B581" s="184"/>
      <c r="C581" s="186" t="s">
        <v>84</v>
      </c>
      <c r="D581" s="29" t="s">
        <v>2</v>
      </c>
      <c r="E581" s="30">
        <v>1</v>
      </c>
      <c r="F581" s="30">
        <v>43</v>
      </c>
      <c r="G581" s="29" t="s">
        <v>66</v>
      </c>
      <c r="H581" s="29"/>
      <c r="I581" s="49"/>
      <c r="L581" s="184"/>
      <c r="M581" s="186" t="s">
        <v>84</v>
      </c>
      <c r="N581" s="29" t="s">
        <v>2</v>
      </c>
      <c r="O581" s="30">
        <v>1</v>
      </c>
      <c r="P581" s="30">
        <v>43</v>
      </c>
      <c r="Q581" s="29" t="s">
        <v>66</v>
      </c>
      <c r="R581" s="29"/>
      <c r="S581" s="49"/>
    </row>
    <row r="582" spans="2:19" x14ac:dyDescent="0.25">
      <c r="B582" s="184"/>
      <c r="C582" s="187"/>
      <c r="D582" s="29" t="s">
        <v>3</v>
      </c>
      <c r="E582" s="30">
        <v>2</v>
      </c>
      <c r="F582" s="30">
        <v>44</v>
      </c>
      <c r="G582" s="29" t="s">
        <v>66</v>
      </c>
      <c r="H582" s="29"/>
      <c r="I582" s="49"/>
      <c r="L582" s="184"/>
      <c r="M582" s="187"/>
      <c r="N582" s="29" t="s">
        <v>3</v>
      </c>
      <c r="O582" s="30">
        <v>2</v>
      </c>
      <c r="P582" s="30">
        <v>44</v>
      </c>
      <c r="Q582" s="29" t="s">
        <v>66</v>
      </c>
      <c r="R582" s="29"/>
      <c r="S582" s="49"/>
    </row>
    <row r="583" spans="2:19" x14ac:dyDescent="0.25">
      <c r="B583" s="184"/>
      <c r="C583" s="187"/>
      <c r="D583" s="29" t="s">
        <v>80</v>
      </c>
      <c r="E583" s="30">
        <v>3</v>
      </c>
      <c r="F583" s="30">
        <v>45</v>
      </c>
      <c r="G583" s="29" t="s">
        <v>66</v>
      </c>
      <c r="H583" s="29"/>
      <c r="I583" s="49"/>
      <c r="L583" s="184"/>
      <c r="M583" s="187"/>
      <c r="N583" s="29" t="s">
        <v>80</v>
      </c>
      <c r="O583" s="30">
        <v>3</v>
      </c>
      <c r="P583" s="30">
        <v>45</v>
      </c>
      <c r="Q583" s="29" t="s">
        <v>66</v>
      </c>
      <c r="R583" s="29"/>
      <c r="S583" s="49"/>
    </row>
    <row r="584" spans="2:19" x14ac:dyDescent="0.25">
      <c r="B584" s="184"/>
      <c r="C584" s="187"/>
      <c r="D584" s="29" t="s">
        <v>81</v>
      </c>
      <c r="E584" s="30">
        <v>4</v>
      </c>
      <c r="F584" s="30">
        <v>46</v>
      </c>
      <c r="G584" s="29" t="s">
        <v>66</v>
      </c>
      <c r="H584" s="29"/>
      <c r="I584" s="49"/>
      <c r="L584" s="184"/>
      <c r="M584" s="187"/>
      <c r="N584" s="29" t="s">
        <v>81</v>
      </c>
      <c r="O584" s="30">
        <v>4</v>
      </c>
      <c r="P584" s="30">
        <v>46</v>
      </c>
      <c r="Q584" s="29" t="s">
        <v>66</v>
      </c>
      <c r="R584" s="29"/>
      <c r="S584" s="49"/>
    </row>
    <row r="585" spans="2:19" x14ac:dyDescent="0.25">
      <c r="B585" s="184"/>
      <c r="C585" s="187"/>
      <c r="D585" s="29" t="s">
        <v>82</v>
      </c>
      <c r="E585" s="30">
        <v>5</v>
      </c>
      <c r="F585" s="30">
        <v>47</v>
      </c>
      <c r="G585" s="29" t="s">
        <v>66</v>
      </c>
      <c r="H585" s="29"/>
      <c r="I585" s="49"/>
      <c r="L585" s="184"/>
      <c r="M585" s="187"/>
      <c r="N585" s="29" t="s">
        <v>82</v>
      </c>
      <c r="O585" s="30">
        <v>5</v>
      </c>
      <c r="P585" s="30">
        <v>47</v>
      </c>
      <c r="Q585" s="29" t="s">
        <v>66</v>
      </c>
      <c r="R585" s="29"/>
      <c r="S585" s="49"/>
    </row>
    <row r="586" spans="2:19" ht="15.75" thickBot="1" x14ac:dyDescent="0.3">
      <c r="B586" s="185"/>
      <c r="C586" s="188"/>
      <c r="D586" s="29" t="s">
        <v>83</v>
      </c>
      <c r="E586" s="30">
        <v>6</v>
      </c>
      <c r="F586" s="30">
        <v>48</v>
      </c>
      <c r="G586" s="29" t="s">
        <v>66</v>
      </c>
      <c r="H586" s="29"/>
      <c r="I586" s="49"/>
      <c r="L586" s="185"/>
      <c r="M586" s="188"/>
      <c r="N586" s="29" t="s">
        <v>83</v>
      </c>
      <c r="O586" s="30">
        <v>6</v>
      </c>
      <c r="P586" s="30">
        <v>48</v>
      </c>
      <c r="Q586" s="29" t="s">
        <v>66</v>
      </c>
      <c r="R586" s="29"/>
      <c r="S586" s="49"/>
    </row>
    <row r="587" spans="2:19" ht="15.75" thickBot="1" x14ac:dyDescent="0.3"/>
    <row r="588" spans="2:19" ht="15.75" thickBot="1" x14ac:dyDescent="0.3">
      <c r="B588" s="171" t="s">
        <v>321</v>
      </c>
      <c r="C588" s="172"/>
      <c r="D588" s="172"/>
      <c r="E588" s="172"/>
      <c r="F588" s="172"/>
      <c r="G588" s="172"/>
      <c r="H588" s="172"/>
      <c r="I588" s="173"/>
      <c r="L588" s="171" t="s">
        <v>322</v>
      </c>
      <c r="M588" s="172"/>
      <c r="N588" s="172"/>
      <c r="O588" s="172"/>
      <c r="P588" s="172"/>
      <c r="Q588" s="172"/>
      <c r="R588" s="172"/>
      <c r="S588" s="173"/>
    </row>
    <row r="590" spans="2:19" ht="26.25" thickBot="1" x14ac:dyDescent="0.3">
      <c r="B590" s="15" t="s">
        <v>70</v>
      </c>
      <c r="C590" s="16" t="s">
        <v>71</v>
      </c>
      <c r="D590" s="15" t="s">
        <v>72</v>
      </c>
      <c r="E590" s="17" t="s">
        <v>73</v>
      </c>
      <c r="F590" s="17" t="s">
        <v>74</v>
      </c>
      <c r="G590" s="15" t="s">
        <v>75</v>
      </c>
      <c r="H590" s="15" t="s">
        <v>55</v>
      </c>
      <c r="I590" s="15" t="s">
        <v>76</v>
      </c>
      <c r="L590" s="15" t="s">
        <v>70</v>
      </c>
      <c r="M590" s="16" t="s">
        <v>71</v>
      </c>
      <c r="N590" s="15" t="s">
        <v>72</v>
      </c>
      <c r="O590" s="17" t="s">
        <v>73</v>
      </c>
      <c r="P590" s="17" t="s">
        <v>74</v>
      </c>
      <c r="Q590" s="15" t="s">
        <v>75</v>
      </c>
      <c r="R590" s="15" t="s">
        <v>55</v>
      </c>
      <c r="S590" s="15" t="s">
        <v>76</v>
      </c>
    </row>
    <row r="591" spans="2:19" x14ac:dyDescent="0.25">
      <c r="B591" s="174" t="s">
        <v>2</v>
      </c>
      <c r="C591" s="168" t="s">
        <v>77</v>
      </c>
      <c r="D591" s="18" t="s">
        <v>2</v>
      </c>
      <c r="E591" s="19">
        <v>1</v>
      </c>
      <c r="F591" s="19">
        <v>1</v>
      </c>
      <c r="G591" s="18" t="s">
        <v>66</v>
      </c>
      <c r="H591" s="32"/>
      <c r="I591" s="50"/>
      <c r="L591" s="174" t="s">
        <v>2</v>
      </c>
      <c r="M591" s="168" t="s">
        <v>77</v>
      </c>
      <c r="N591" s="18" t="s">
        <v>2</v>
      </c>
      <c r="O591" s="19">
        <v>1</v>
      </c>
      <c r="P591" s="19">
        <v>1</v>
      </c>
      <c r="Q591" s="18" t="s">
        <v>66</v>
      </c>
      <c r="R591" s="32"/>
      <c r="S591" s="50"/>
    </row>
    <row r="592" spans="2:19" x14ac:dyDescent="0.25">
      <c r="B592" s="175"/>
      <c r="C592" s="169"/>
      <c r="D592" s="18" t="s">
        <v>3</v>
      </c>
      <c r="E592" s="19">
        <v>2</v>
      </c>
      <c r="F592" s="19">
        <v>2</v>
      </c>
      <c r="G592" s="18" t="s">
        <v>66</v>
      </c>
      <c r="H592" s="32"/>
      <c r="I592" s="50"/>
      <c r="L592" s="175"/>
      <c r="M592" s="169"/>
      <c r="N592" s="18" t="s">
        <v>3</v>
      </c>
      <c r="O592" s="19">
        <v>2</v>
      </c>
      <c r="P592" s="19">
        <v>2</v>
      </c>
      <c r="Q592" s="18" t="s">
        <v>66</v>
      </c>
      <c r="R592" s="32"/>
      <c r="S592" s="50"/>
    </row>
    <row r="593" spans="2:19" x14ac:dyDescent="0.25">
      <c r="B593" s="175"/>
      <c r="C593" s="169"/>
      <c r="D593" s="18" t="s">
        <v>80</v>
      </c>
      <c r="E593" s="20">
        <v>3</v>
      </c>
      <c r="F593" s="20">
        <v>3</v>
      </c>
      <c r="G593" s="18" t="s">
        <v>66</v>
      </c>
      <c r="H593" s="32"/>
      <c r="I593" s="50"/>
      <c r="L593" s="175"/>
      <c r="M593" s="169"/>
      <c r="N593" s="18" t="s">
        <v>80</v>
      </c>
      <c r="O593" s="20">
        <v>3</v>
      </c>
      <c r="P593" s="20">
        <v>3</v>
      </c>
      <c r="Q593" s="18" t="s">
        <v>66</v>
      </c>
      <c r="R593" s="32"/>
      <c r="S593" s="50"/>
    </row>
    <row r="594" spans="2:19" x14ac:dyDescent="0.25">
      <c r="B594" s="175"/>
      <c r="C594" s="169"/>
      <c r="D594" s="18" t="s">
        <v>81</v>
      </c>
      <c r="E594" s="20">
        <v>4</v>
      </c>
      <c r="F594" s="20">
        <v>4</v>
      </c>
      <c r="G594" s="18" t="s">
        <v>66</v>
      </c>
      <c r="H594" s="32"/>
      <c r="I594" s="50"/>
      <c r="L594" s="175"/>
      <c r="M594" s="169"/>
      <c r="N594" s="18" t="s">
        <v>81</v>
      </c>
      <c r="O594" s="20">
        <v>4</v>
      </c>
      <c r="P594" s="20">
        <v>4</v>
      </c>
      <c r="Q594" s="18" t="s">
        <v>66</v>
      </c>
      <c r="R594" s="32"/>
      <c r="S594" s="50"/>
    </row>
    <row r="595" spans="2:19" x14ac:dyDescent="0.25">
      <c r="B595" s="175"/>
      <c r="C595" s="169"/>
      <c r="D595" s="18" t="s">
        <v>82</v>
      </c>
      <c r="E595" s="20">
        <v>5</v>
      </c>
      <c r="F595" s="20">
        <v>5</v>
      </c>
      <c r="G595" s="18" t="s">
        <v>66</v>
      </c>
      <c r="H595" s="32"/>
      <c r="I595" s="50"/>
      <c r="L595" s="175"/>
      <c r="M595" s="169"/>
      <c r="N595" s="18" t="s">
        <v>82</v>
      </c>
      <c r="O595" s="20">
        <v>5</v>
      </c>
      <c r="P595" s="20">
        <v>5</v>
      </c>
      <c r="Q595" s="18" t="s">
        <v>66</v>
      </c>
      <c r="R595" s="32"/>
      <c r="S595" s="50"/>
    </row>
    <row r="596" spans="2:19" ht="15.75" thickBot="1" x14ac:dyDescent="0.3">
      <c r="B596" s="175"/>
      <c r="C596" s="170"/>
      <c r="D596" s="18" t="s">
        <v>83</v>
      </c>
      <c r="E596" s="20">
        <v>6</v>
      </c>
      <c r="F596" s="20">
        <v>6</v>
      </c>
      <c r="G596" s="18" t="s">
        <v>66</v>
      </c>
      <c r="H596" s="32"/>
      <c r="I596" s="50"/>
      <c r="L596" s="175"/>
      <c r="M596" s="170"/>
      <c r="N596" s="18" t="s">
        <v>83</v>
      </c>
      <c r="O596" s="20">
        <v>6</v>
      </c>
      <c r="P596" s="20">
        <v>6</v>
      </c>
      <c r="Q596" s="18" t="s">
        <v>66</v>
      </c>
      <c r="R596" s="32"/>
      <c r="S596" s="50"/>
    </row>
    <row r="597" spans="2:19" x14ac:dyDescent="0.25">
      <c r="B597" s="175"/>
      <c r="C597" s="168" t="s">
        <v>84</v>
      </c>
      <c r="D597" s="18" t="s">
        <v>2</v>
      </c>
      <c r="E597" s="19">
        <v>1</v>
      </c>
      <c r="F597" s="19">
        <v>7</v>
      </c>
      <c r="G597" s="18" t="s">
        <v>78</v>
      </c>
      <c r="H597" s="156" t="s">
        <v>140</v>
      </c>
      <c r="I597" s="165" t="s">
        <v>185</v>
      </c>
      <c r="L597" s="175"/>
      <c r="M597" s="168" t="s">
        <v>84</v>
      </c>
      <c r="N597" s="18" t="s">
        <v>2</v>
      </c>
      <c r="O597" s="19">
        <v>1</v>
      </c>
      <c r="P597" s="19">
        <v>7</v>
      </c>
      <c r="Q597" s="18" t="s">
        <v>78</v>
      </c>
      <c r="R597" s="156" t="s">
        <v>140</v>
      </c>
      <c r="S597" s="165" t="s">
        <v>187</v>
      </c>
    </row>
    <row r="598" spans="2:19" x14ac:dyDescent="0.25">
      <c r="B598" s="175"/>
      <c r="C598" s="169"/>
      <c r="D598" s="18" t="s">
        <v>3</v>
      </c>
      <c r="E598" s="19">
        <v>2</v>
      </c>
      <c r="F598" s="19">
        <v>8</v>
      </c>
      <c r="G598" s="18" t="s">
        <v>78</v>
      </c>
      <c r="H598" s="157"/>
      <c r="I598" s="166"/>
      <c r="L598" s="175"/>
      <c r="M598" s="169"/>
      <c r="N598" s="18" t="s">
        <v>3</v>
      </c>
      <c r="O598" s="19">
        <v>2</v>
      </c>
      <c r="P598" s="19">
        <v>8</v>
      </c>
      <c r="Q598" s="18" t="s">
        <v>78</v>
      </c>
      <c r="R598" s="157"/>
      <c r="S598" s="166"/>
    </row>
    <row r="599" spans="2:19" x14ac:dyDescent="0.25">
      <c r="B599" s="175"/>
      <c r="C599" s="169"/>
      <c r="D599" s="18" t="s">
        <v>80</v>
      </c>
      <c r="E599" s="20">
        <v>3</v>
      </c>
      <c r="F599" s="20">
        <v>9</v>
      </c>
      <c r="G599" s="18" t="s">
        <v>66</v>
      </c>
      <c r="H599" s="157"/>
      <c r="I599" s="166"/>
      <c r="L599" s="175"/>
      <c r="M599" s="169"/>
      <c r="N599" s="18" t="s">
        <v>80</v>
      </c>
      <c r="O599" s="20">
        <v>3</v>
      </c>
      <c r="P599" s="20">
        <v>9</v>
      </c>
      <c r="Q599" s="18" t="s">
        <v>66</v>
      </c>
      <c r="R599" s="157"/>
      <c r="S599" s="166"/>
    </row>
    <row r="600" spans="2:19" x14ac:dyDescent="0.25">
      <c r="B600" s="175"/>
      <c r="C600" s="169"/>
      <c r="D600" s="18" t="s">
        <v>81</v>
      </c>
      <c r="E600" s="20">
        <v>4</v>
      </c>
      <c r="F600" s="20">
        <v>10</v>
      </c>
      <c r="G600" s="18" t="s">
        <v>66</v>
      </c>
      <c r="H600" s="157"/>
      <c r="I600" s="166"/>
      <c r="L600" s="175"/>
      <c r="M600" s="169"/>
      <c r="N600" s="18" t="s">
        <v>81</v>
      </c>
      <c r="O600" s="20">
        <v>4</v>
      </c>
      <c r="P600" s="20">
        <v>10</v>
      </c>
      <c r="Q600" s="18" t="s">
        <v>66</v>
      </c>
      <c r="R600" s="157"/>
      <c r="S600" s="166"/>
    </row>
    <row r="601" spans="2:19" x14ac:dyDescent="0.25">
      <c r="B601" s="175"/>
      <c r="C601" s="169"/>
      <c r="D601" s="18" t="s">
        <v>82</v>
      </c>
      <c r="E601" s="20">
        <v>5</v>
      </c>
      <c r="F601" s="20">
        <v>11</v>
      </c>
      <c r="G601" s="18" t="s">
        <v>66</v>
      </c>
      <c r="H601" s="157"/>
      <c r="I601" s="166"/>
      <c r="L601" s="175"/>
      <c r="M601" s="169"/>
      <c r="N601" s="18" t="s">
        <v>82</v>
      </c>
      <c r="O601" s="20">
        <v>5</v>
      </c>
      <c r="P601" s="20">
        <v>11</v>
      </c>
      <c r="Q601" s="18" t="s">
        <v>66</v>
      </c>
      <c r="R601" s="157"/>
      <c r="S601" s="166"/>
    </row>
    <row r="602" spans="2:19" ht="15.75" thickBot="1" x14ac:dyDescent="0.3">
      <c r="B602" s="176"/>
      <c r="C602" s="170"/>
      <c r="D602" s="18" t="s">
        <v>83</v>
      </c>
      <c r="E602" s="20">
        <v>6</v>
      </c>
      <c r="F602" s="20">
        <v>12</v>
      </c>
      <c r="G602" s="18" t="s">
        <v>66</v>
      </c>
      <c r="H602" s="158"/>
      <c r="I602" s="167"/>
      <c r="L602" s="176"/>
      <c r="M602" s="170"/>
      <c r="N602" s="18" t="s">
        <v>83</v>
      </c>
      <c r="O602" s="20">
        <v>6</v>
      </c>
      <c r="P602" s="20">
        <v>12</v>
      </c>
      <c r="Q602" s="18" t="s">
        <v>66</v>
      </c>
      <c r="R602" s="158"/>
      <c r="S602" s="167"/>
    </row>
    <row r="603" spans="2:19" x14ac:dyDescent="0.25">
      <c r="B603" s="180" t="s">
        <v>3</v>
      </c>
      <c r="C603" s="177" t="s">
        <v>77</v>
      </c>
      <c r="D603" s="21" t="s">
        <v>2</v>
      </c>
      <c r="E603" s="22">
        <v>1</v>
      </c>
      <c r="F603" s="22">
        <v>13</v>
      </c>
      <c r="G603" s="21" t="s">
        <v>66</v>
      </c>
      <c r="H603" s="21"/>
      <c r="I603" s="51"/>
      <c r="L603" s="180" t="s">
        <v>3</v>
      </c>
      <c r="M603" s="177" t="s">
        <v>77</v>
      </c>
      <c r="N603" s="21" t="s">
        <v>2</v>
      </c>
      <c r="O603" s="22">
        <v>1</v>
      </c>
      <c r="P603" s="22">
        <v>13</v>
      </c>
      <c r="Q603" s="21" t="s">
        <v>66</v>
      </c>
      <c r="R603" s="21"/>
      <c r="S603" s="51"/>
    </row>
    <row r="604" spans="2:19" x14ac:dyDescent="0.25">
      <c r="B604" s="181"/>
      <c r="C604" s="178"/>
      <c r="D604" s="23" t="s">
        <v>3</v>
      </c>
      <c r="E604" s="24">
        <v>2</v>
      </c>
      <c r="F604" s="24">
        <v>14</v>
      </c>
      <c r="G604" s="23" t="s">
        <v>66</v>
      </c>
      <c r="H604" s="23"/>
      <c r="I604" s="47"/>
      <c r="L604" s="181"/>
      <c r="M604" s="178"/>
      <c r="N604" s="23" t="s">
        <v>3</v>
      </c>
      <c r="O604" s="24">
        <v>2</v>
      </c>
      <c r="P604" s="24">
        <v>14</v>
      </c>
      <c r="Q604" s="23" t="s">
        <v>66</v>
      </c>
      <c r="R604" s="23"/>
      <c r="S604" s="47"/>
    </row>
    <row r="605" spans="2:19" x14ac:dyDescent="0.25">
      <c r="B605" s="181"/>
      <c r="C605" s="178"/>
      <c r="D605" s="23" t="s">
        <v>80</v>
      </c>
      <c r="E605" s="24">
        <v>3</v>
      </c>
      <c r="F605" s="24">
        <v>15</v>
      </c>
      <c r="G605" s="23" t="s">
        <v>66</v>
      </c>
      <c r="H605" s="23"/>
      <c r="I605" s="47"/>
      <c r="L605" s="181"/>
      <c r="M605" s="178"/>
      <c r="N605" s="23" t="s">
        <v>80</v>
      </c>
      <c r="O605" s="24">
        <v>3</v>
      </c>
      <c r="P605" s="24">
        <v>15</v>
      </c>
      <c r="Q605" s="23" t="s">
        <v>66</v>
      </c>
      <c r="R605" s="23"/>
      <c r="S605" s="47"/>
    </row>
    <row r="606" spans="2:19" x14ac:dyDescent="0.25">
      <c r="B606" s="181"/>
      <c r="C606" s="178"/>
      <c r="D606" s="23" t="s">
        <v>81</v>
      </c>
      <c r="E606" s="24">
        <v>4</v>
      </c>
      <c r="F606" s="24">
        <v>16</v>
      </c>
      <c r="G606" s="23" t="s">
        <v>66</v>
      </c>
      <c r="H606" s="23"/>
      <c r="I606" s="47"/>
      <c r="L606" s="181"/>
      <c r="M606" s="178"/>
      <c r="N606" s="23" t="s">
        <v>81</v>
      </c>
      <c r="O606" s="24">
        <v>4</v>
      </c>
      <c r="P606" s="24">
        <v>16</v>
      </c>
      <c r="Q606" s="23" t="s">
        <v>66</v>
      </c>
      <c r="R606" s="23"/>
      <c r="S606" s="47"/>
    </row>
    <row r="607" spans="2:19" x14ac:dyDescent="0.25">
      <c r="B607" s="181"/>
      <c r="C607" s="178"/>
      <c r="D607" s="23" t="s">
        <v>82</v>
      </c>
      <c r="E607" s="24">
        <v>5</v>
      </c>
      <c r="F607" s="24">
        <v>17</v>
      </c>
      <c r="G607" s="23" t="s">
        <v>66</v>
      </c>
      <c r="H607" s="23"/>
      <c r="I607" s="47"/>
      <c r="L607" s="181"/>
      <c r="M607" s="178"/>
      <c r="N607" s="23" t="s">
        <v>82</v>
      </c>
      <c r="O607" s="24">
        <v>5</v>
      </c>
      <c r="P607" s="24">
        <v>17</v>
      </c>
      <c r="Q607" s="23" t="s">
        <v>66</v>
      </c>
      <c r="R607" s="23"/>
      <c r="S607" s="47"/>
    </row>
    <row r="608" spans="2:19" ht="15.75" thickBot="1" x14ac:dyDescent="0.3">
      <c r="B608" s="181"/>
      <c r="C608" s="179"/>
      <c r="D608" s="23" t="s">
        <v>83</v>
      </c>
      <c r="E608" s="24">
        <v>6</v>
      </c>
      <c r="F608" s="24">
        <v>18</v>
      </c>
      <c r="G608" s="23" t="s">
        <v>66</v>
      </c>
      <c r="H608" s="23"/>
      <c r="I608" s="47"/>
      <c r="L608" s="181"/>
      <c r="M608" s="179"/>
      <c r="N608" s="23" t="s">
        <v>83</v>
      </c>
      <c r="O608" s="24">
        <v>6</v>
      </c>
      <c r="P608" s="24">
        <v>18</v>
      </c>
      <c r="Q608" s="23" t="s">
        <v>66</v>
      </c>
      <c r="R608" s="23"/>
      <c r="S608" s="47"/>
    </row>
    <row r="609" spans="2:19" x14ac:dyDescent="0.25">
      <c r="B609" s="181"/>
      <c r="C609" s="177" t="s">
        <v>84</v>
      </c>
      <c r="D609" s="23" t="s">
        <v>2</v>
      </c>
      <c r="E609" s="24">
        <v>1</v>
      </c>
      <c r="F609" s="24">
        <v>19</v>
      </c>
      <c r="G609" s="23" t="s">
        <v>66</v>
      </c>
      <c r="H609" s="23"/>
      <c r="I609" s="47"/>
      <c r="L609" s="181"/>
      <c r="M609" s="177" t="s">
        <v>84</v>
      </c>
      <c r="N609" s="23" t="s">
        <v>2</v>
      </c>
      <c r="O609" s="24">
        <v>1</v>
      </c>
      <c r="P609" s="24">
        <v>19</v>
      </c>
      <c r="Q609" s="23" t="s">
        <v>66</v>
      </c>
      <c r="R609" s="23"/>
      <c r="S609" s="47"/>
    </row>
    <row r="610" spans="2:19" x14ac:dyDescent="0.25">
      <c r="B610" s="181"/>
      <c r="C610" s="178"/>
      <c r="D610" s="23" t="s">
        <v>3</v>
      </c>
      <c r="E610" s="24">
        <v>2</v>
      </c>
      <c r="F610" s="24">
        <v>20</v>
      </c>
      <c r="G610" s="23" t="s">
        <v>66</v>
      </c>
      <c r="H610" s="23"/>
      <c r="I610" s="47"/>
      <c r="L610" s="181"/>
      <c r="M610" s="178"/>
      <c r="N610" s="23" t="s">
        <v>3</v>
      </c>
      <c r="O610" s="24">
        <v>2</v>
      </c>
      <c r="P610" s="24">
        <v>20</v>
      </c>
      <c r="Q610" s="23" t="s">
        <v>66</v>
      </c>
      <c r="R610" s="23"/>
      <c r="S610" s="47"/>
    </row>
    <row r="611" spans="2:19" x14ac:dyDescent="0.25">
      <c r="B611" s="181"/>
      <c r="C611" s="178"/>
      <c r="D611" s="23" t="s">
        <v>80</v>
      </c>
      <c r="E611" s="26">
        <v>3</v>
      </c>
      <c r="F611" s="24">
        <v>21</v>
      </c>
      <c r="G611" s="23" t="s">
        <v>66</v>
      </c>
      <c r="H611" s="23"/>
      <c r="I611" s="47"/>
      <c r="L611" s="181"/>
      <c r="M611" s="178"/>
      <c r="N611" s="23" t="s">
        <v>80</v>
      </c>
      <c r="O611" s="26">
        <v>3</v>
      </c>
      <c r="P611" s="24">
        <v>21</v>
      </c>
      <c r="Q611" s="23" t="s">
        <v>66</v>
      </c>
      <c r="R611" s="23"/>
      <c r="S611" s="47"/>
    </row>
    <row r="612" spans="2:19" x14ac:dyDescent="0.25">
      <c r="B612" s="181"/>
      <c r="C612" s="178"/>
      <c r="D612" s="23" t="s">
        <v>81</v>
      </c>
      <c r="E612" s="24">
        <v>4</v>
      </c>
      <c r="F612" s="24">
        <v>22</v>
      </c>
      <c r="G612" s="23" t="s">
        <v>66</v>
      </c>
      <c r="H612" s="23"/>
      <c r="I612" s="47"/>
      <c r="L612" s="181"/>
      <c r="M612" s="178"/>
      <c r="N612" s="23" t="s">
        <v>81</v>
      </c>
      <c r="O612" s="24">
        <v>4</v>
      </c>
      <c r="P612" s="24">
        <v>22</v>
      </c>
      <c r="Q612" s="23" t="s">
        <v>66</v>
      </c>
      <c r="R612" s="23"/>
      <c r="S612" s="47"/>
    </row>
    <row r="613" spans="2:19" x14ac:dyDescent="0.25">
      <c r="B613" s="181"/>
      <c r="C613" s="178"/>
      <c r="D613" s="23" t="s">
        <v>82</v>
      </c>
      <c r="E613" s="24">
        <v>5</v>
      </c>
      <c r="F613" s="24">
        <v>23</v>
      </c>
      <c r="G613" s="23" t="s">
        <v>66</v>
      </c>
      <c r="H613" s="23"/>
      <c r="I613" s="47"/>
      <c r="L613" s="181"/>
      <c r="M613" s="178"/>
      <c r="N613" s="23" t="s">
        <v>82</v>
      </c>
      <c r="O613" s="24">
        <v>5</v>
      </c>
      <c r="P613" s="24">
        <v>23</v>
      </c>
      <c r="Q613" s="23" t="s">
        <v>66</v>
      </c>
      <c r="R613" s="23"/>
      <c r="S613" s="47"/>
    </row>
    <row r="614" spans="2:19" ht="15.75" thickBot="1" x14ac:dyDescent="0.3">
      <c r="B614" s="182"/>
      <c r="C614" s="179"/>
      <c r="D614" s="23" t="s">
        <v>83</v>
      </c>
      <c r="E614" s="24">
        <v>6</v>
      </c>
      <c r="F614" s="24">
        <v>24</v>
      </c>
      <c r="G614" s="23" t="s">
        <v>66</v>
      </c>
      <c r="H614" s="23"/>
      <c r="I614" s="47"/>
      <c r="L614" s="182"/>
      <c r="M614" s="179"/>
      <c r="N614" s="23" t="s">
        <v>83</v>
      </c>
      <c r="O614" s="24">
        <v>6</v>
      </c>
      <c r="P614" s="24">
        <v>24</v>
      </c>
      <c r="Q614" s="23" t="s">
        <v>66</v>
      </c>
      <c r="R614" s="23"/>
      <c r="S614" s="47"/>
    </row>
    <row r="615" spans="2:19" x14ac:dyDescent="0.25">
      <c r="B615" s="189" t="s">
        <v>80</v>
      </c>
      <c r="C615" s="192" t="s">
        <v>77</v>
      </c>
      <c r="D615" s="27" t="s">
        <v>2</v>
      </c>
      <c r="E615" s="28">
        <v>1</v>
      </c>
      <c r="F615" s="28">
        <v>25</v>
      </c>
      <c r="G615" s="27" t="s">
        <v>66</v>
      </c>
      <c r="H615" s="27"/>
      <c r="I615" s="48"/>
      <c r="L615" s="189" t="s">
        <v>80</v>
      </c>
      <c r="M615" s="192" t="s">
        <v>77</v>
      </c>
      <c r="N615" s="27" t="s">
        <v>2</v>
      </c>
      <c r="O615" s="28">
        <v>1</v>
      </c>
      <c r="P615" s="28">
        <v>25</v>
      </c>
      <c r="Q615" s="27" t="s">
        <v>66</v>
      </c>
      <c r="R615" s="27"/>
      <c r="S615" s="48"/>
    </row>
    <row r="616" spans="2:19" x14ac:dyDescent="0.25">
      <c r="B616" s="190"/>
      <c r="C616" s="193"/>
      <c r="D616" s="27" t="s">
        <v>3</v>
      </c>
      <c r="E616" s="28">
        <v>2</v>
      </c>
      <c r="F616" s="28">
        <v>26</v>
      </c>
      <c r="G616" s="27" t="s">
        <v>66</v>
      </c>
      <c r="H616" s="27"/>
      <c r="I616" s="48"/>
      <c r="L616" s="190"/>
      <c r="M616" s="193"/>
      <c r="N616" s="27" t="s">
        <v>3</v>
      </c>
      <c r="O616" s="28">
        <v>2</v>
      </c>
      <c r="P616" s="28">
        <v>26</v>
      </c>
      <c r="Q616" s="27" t="s">
        <v>66</v>
      </c>
      <c r="R616" s="27"/>
      <c r="S616" s="48"/>
    </row>
    <row r="617" spans="2:19" x14ac:dyDescent="0.25">
      <c r="B617" s="190"/>
      <c r="C617" s="193"/>
      <c r="D617" s="27" t="s">
        <v>80</v>
      </c>
      <c r="E617" s="28">
        <v>3</v>
      </c>
      <c r="F617" s="28">
        <v>27</v>
      </c>
      <c r="G617" s="27" t="s">
        <v>66</v>
      </c>
      <c r="H617" s="27"/>
      <c r="I617" s="48"/>
      <c r="L617" s="190"/>
      <c r="M617" s="193"/>
      <c r="N617" s="27" t="s">
        <v>80</v>
      </c>
      <c r="O617" s="28">
        <v>3</v>
      </c>
      <c r="P617" s="28">
        <v>27</v>
      </c>
      <c r="Q617" s="27" t="s">
        <v>66</v>
      </c>
      <c r="R617" s="27"/>
      <c r="S617" s="48"/>
    </row>
    <row r="618" spans="2:19" x14ac:dyDescent="0.25">
      <c r="B618" s="190"/>
      <c r="C618" s="193"/>
      <c r="D618" s="27" t="s">
        <v>81</v>
      </c>
      <c r="E618" s="28">
        <v>4</v>
      </c>
      <c r="F618" s="28">
        <v>28</v>
      </c>
      <c r="G618" s="27" t="s">
        <v>66</v>
      </c>
      <c r="H618" s="27"/>
      <c r="I618" s="48"/>
      <c r="L618" s="190"/>
      <c r="M618" s="193"/>
      <c r="N618" s="27" t="s">
        <v>81</v>
      </c>
      <c r="O618" s="28">
        <v>4</v>
      </c>
      <c r="P618" s="28">
        <v>28</v>
      </c>
      <c r="Q618" s="27" t="s">
        <v>66</v>
      </c>
      <c r="R618" s="27"/>
      <c r="S618" s="48"/>
    </row>
    <row r="619" spans="2:19" x14ac:dyDescent="0.25">
      <c r="B619" s="190"/>
      <c r="C619" s="193"/>
      <c r="D619" s="27" t="s">
        <v>82</v>
      </c>
      <c r="E619" s="28">
        <v>5</v>
      </c>
      <c r="F619" s="28">
        <v>29</v>
      </c>
      <c r="G619" s="27" t="s">
        <v>66</v>
      </c>
      <c r="H619" s="27"/>
      <c r="I619" s="48"/>
      <c r="L619" s="190"/>
      <c r="M619" s="193"/>
      <c r="N619" s="27" t="s">
        <v>82</v>
      </c>
      <c r="O619" s="28">
        <v>5</v>
      </c>
      <c r="P619" s="28">
        <v>29</v>
      </c>
      <c r="Q619" s="27" t="s">
        <v>66</v>
      </c>
      <c r="R619" s="27"/>
      <c r="S619" s="48"/>
    </row>
    <row r="620" spans="2:19" ht="15.75" thickBot="1" x14ac:dyDescent="0.3">
      <c r="B620" s="190"/>
      <c r="C620" s="194"/>
      <c r="D620" s="27" t="s">
        <v>83</v>
      </c>
      <c r="E620" s="28">
        <v>6</v>
      </c>
      <c r="F620" s="28">
        <v>30</v>
      </c>
      <c r="G620" s="27" t="s">
        <v>66</v>
      </c>
      <c r="H620" s="27"/>
      <c r="I620" s="48"/>
      <c r="L620" s="190"/>
      <c r="M620" s="194"/>
      <c r="N620" s="27" t="s">
        <v>83</v>
      </c>
      <c r="O620" s="28">
        <v>6</v>
      </c>
      <c r="P620" s="28">
        <v>30</v>
      </c>
      <c r="Q620" s="27" t="s">
        <v>66</v>
      </c>
      <c r="R620" s="27"/>
      <c r="S620" s="48"/>
    </row>
    <row r="621" spans="2:19" x14ac:dyDescent="0.25">
      <c r="B621" s="190"/>
      <c r="C621" s="192" t="s">
        <v>84</v>
      </c>
      <c r="D621" s="27" t="s">
        <v>2</v>
      </c>
      <c r="E621" s="28">
        <v>1</v>
      </c>
      <c r="F621" s="28">
        <v>31</v>
      </c>
      <c r="G621" s="27" t="s">
        <v>66</v>
      </c>
      <c r="H621" s="27"/>
      <c r="I621" s="48"/>
      <c r="L621" s="190"/>
      <c r="M621" s="192" t="s">
        <v>84</v>
      </c>
      <c r="N621" s="27" t="s">
        <v>2</v>
      </c>
      <c r="O621" s="28">
        <v>1</v>
      </c>
      <c r="P621" s="28">
        <v>31</v>
      </c>
      <c r="Q621" s="27" t="s">
        <v>66</v>
      </c>
      <c r="R621" s="27"/>
      <c r="S621" s="48"/>
    </row>
    <row r="622" spans="2:19" x14ac:dyDescent="0.25">
      <c r="B622" s="190"/>
      <c r="C622" s="193"/>
      <c r="D622" s="27" t="s">
        <v>3</v>
      </c>
      <c r="E622" s="28">
        <v>2</v>
      </c>
      <c r="F622" s="28">
        <v>32</v>
      </c>
      <c r="G622" s="27" t="s">
        <v>66</v>
      </c>
      <c r="H622" s="27"/>
      <c r="I622" s="48"/>
      <c r="L622" s="190"/>
      <c r="M622" s="193"/>
      <c r="N622" s="27" t="s">
        <v>3</v>
      </c>
      <c r="O622" s="28">
        <v>2</v>
      </c>
      <c r="P622" s="28">
        <v>32</v>
      </c>
      <c r="Q622" s="27" t="s">
        <v>66</v>
      </c>
      <c r="R622" s="27"/>
      <c r="S622" s="48"/>
    </row>
    <row r="623" spans="2:19" x14ac:dyDescent="0.25">
      <c r="B623" s="190"/>
      <c r="C623" s="193"/>
      <c r="D623" s="27" t="s">
        <v>80</v>
      </c>
      <c r="E623" s="28">
        <v>3</v>
      </c>
      <c r="F623" s="28">
        <v>33</v>
      </c>
      <c r="G623" s="27" t="s">
        <v>66</v>
      </c>
      <c r="H623" s="27"/>
      <c r="I623" s="48"/>
      <c r="L623" s="190"/>
      <c r="M623" s="193"/>
      <c r="N623" s="27" t="s">
        <v>80</v>
      </c>
      <c r="O623" s="28">
        <v>3</v>
      </c>
      <c r="P623" s="28">
        <v>33</v>
      </c>
      <c r="Q623" s="27" t="s">
        <v>66</v>
      </c>
      <c r="R623" s="27"/>
      <c r="S623" s="48"/>
    </row>
    <row r="624" spans="2:19" x14ac:dyDescent="0.25">
      <c r="B624" s="190"/>
      <c r="C624" s="193"/>
      <c r="D624" s="27" t="s">
        <v>81</v>
      </c>
      <c r="E624" s="28">
        <v>4</v>
      </c>
      <c r="F624" s="28">
        <v>34</v>
      </c>
      <c r="G624" s="27" t="s">
        <v>66</v>
      </c>
      <c r="H624" s="27"/>
      <c r="I624" s="48"/>
      <c r="L624" s="190"/>
      <c r="M624" s="193"/>
      <c r="N624" s="27" t="s">
        <v>81</v>
      </c>
      <c r="O624" s="28">
        <v>4</v>
      </c>
      <c r="P624" s="28">
        <v>34</v>
      </c>
      <c r="Q624" s="27" t="s">
        <v>66</v>
      </c>
      <c r="R624" s="27"/>
      <c r="S624" s="48"/>
    </row>
    <row r="625" spans="2:19" x14ac:dyDescent="0.25">
      <c r="B625" s="190"/>
      <c r="C625" s="193"/>
      <c r="D625" s="27" t="s">
        <v>82</v>
      </c>
      <c r="E625" s="28">
        <v>5</v>
      </c>
      <c r="F625" s="28">
        <v>35</v>
      </c>
      <c r="G625" s="27" t="s">
        <v>66</v>
      </c>
      <c r="H625" s="27"/>
      <c r="I625" s="48"/>
      <c r="L625" s="190"/>
      <c r="M625" s="193"/>
      <c r="N625" s="27" t="s">
        <v>82</v>
      </c>
      <c r="O625" s="28">
        <v>5</v>
      </c>
      <c r="P625" s="28">
        <v>35</v>
      </c>
      <c r="Q625" s="27" t="s">
        <v>66</v>
      </c>
      <c r="R625" s="27"/>
      <c r="S625" s="48"/>
    </row>
    <row r="626" spans="2:19" ht="15.75" thickBot="1" x14ac:dyDescent="0.3">
      <c r="B626" s="191"/>
      <c r="C626" s="194"/>
      <c r="D626" s="27" t="s">
        <v>83</v>
      </c>
      <c r="E626" s="28">
        <v>6</v>
      </c>
      <c r="F626" s="28">
        <v>36</v>
      </c>
      <c r="G626" s="27" t="s">
        <v>66</v>
      </c>
      <c r="H626" s="27"/>
      <c r="I626" s="48"/>
      <c r="L626" s="191"/>
      <c r="M626" s="194"/>
      <c r="N626" s="27" t="s">
        <v>83</v>
      </c>
      <c r="O626" s="28">
        <v>6</v>
      </c>
      <c r="P626" s="28">
        <v>36</v>
      </c>
      <c r="Q626" s="27" t="s">
        <v>66</v>
      </c>
      <c r="R626" s="27"/>
      <c r="S626" s="48"/>
    </row>
    <row r="627" spans="2:19" x14ac:dyDescent="0.25">
      <c r="B627" s="183" t="s">
        <v>81</v>
      </c>
      <c r="C627" s="186" t="s">
        <v>77</v>
      </c>
      <c r="D627" s="29" t="s">
        <v>2</v>
      </c>
      <c r="E627" s="30">
        <v>1</v>
      </c>
      <c r="F627" s="30">
        <v>37</v>
      </c>
      <c r="G627" s="29" t="s">
        <v>66</v>
      </c>
      <c r="H627" s="29"/>
      <c r="I627" s="49"/>
      <c r="L627" s="183" t="s">
        <v>81</v>
      </c>
      <c r="M627" s="186" t="s">
        <v>77</v>
      </c>
      <c r="N627" s="29" t="s">
        <v>2</v>
      </c>
      <c r="O627" s="30">
        <v>1</v>
      </c>
      <c r="P627" s="30">
        <v>37</v>
      </c>
      <c r="Q627" s="29" t="s">
        <v>66</v>
      </c>
      <c r="R627" s="29"/>
      <c r="S627" s="49"/>
    </row>
    <row r="628" spans="2:19" x14ac:dyDescent="0.25">
      <c r="B628" s="184"/>
      <c r="C628" s="187"/>
      <c r="D628" s="29" t="s">
        <v>3</v>
      </c>
      <c r="E628" s="30">
        <v>2</v>
      </c>
      <c r="F628" s="30">
        <v>38</v>
      </c>
      <c r="G628" s="29" t="s">
        <v>66</v>
      </c>
      <c r="H628" s="29"/>
      <c r="I628" s="49"/>
      <c r="L628" s="184"/>
      <c r="M628" s="187"/>
      <c r="N628" s="29" t="s">
        <v>3</v>
      </c>
      <c r="O628" s="30">
        <v>2</v>
      </c>
      <c r="P628" s="30">
        <v>38</v>
      </c>
      <c r="Q628" s="29" t="s">
        <v>66</v>
      </c>
      <c r="R628" s="29"/>
      <c r="S628" s="49"/>
    </row>
    <row r="629" spans="2:19" x14ac:dyDescent="0.25">
      <c r="B629" s="184"/>
      <c r="C629" s="187"/>
      <c r="D629" s="29" t="s">
        <v>80</v>
      </c>
      <c r="E629" s="30">
        <v>3</v>
      </c>
      <c r="F629" s="30">
        <v>39</v>
      </c>
      <c r="G629" s="29" t="s">
        <v>66</v>
      </c>
      <c r="H629" s="29"/>
      <c r="I629" s="49"/>
      <c r="L629" s="184"/>
      <c r="M629" s="187"/>
      <c r="N629" s="29" t="s">
        <v>80</v>
      </c>
      <c r="O629" s="30">
        <v>3</v>
      </c>
      <c r="P629" s="30">
        <v>39</v>
      </c>
      <c r="Q629" s="29" t="s">
        <v>66</v>
      </c>
      <c r="R629" s="29"/>
      <c r="S629" s="49"/>
    </row>
    <row r="630" spans="2:19" x14ac:dyDescent="0.25">
      <c r="B630" s="184"/>
      <c r="C630" s="187"/>
      <c r="D630" s="29" t="s">
        <v>81</v>
      </c>
      <c r="E630" s="30">
        <v>4</v>
      </c>
      <c r="F630" s="30">
        <v>40</v>
      </c>
      <c r="G630" s="29" t="s">
        <v>66</v>
      </c>
      <c r="H630" s="29"/>
      <c r="I630" s="49"/>
      <c r="L630" s="184"/>
      <c r="M630" s="187"/>
      <c r="N630" s="29" t="s">
        <v>81</v>
      </c>
      <c r="O630" s="30">
        <v>4</v>
      </c>
      <c r="P630" s="30">
        <v>40</v>
      </c>
      <c r="Q630" s="29" t="s">
        <v>66</v>
      </c>
      <c r="R630" s="29"/>
      <c r="S630" s="49"/>
    </row>
    <row r="631" spans="2:19" x14ac:dyDescent="0.25">
      <c r="B631" s="184"/>
      <c r="C631" s="187"/>
      <c r="D631" s="29" t="s">
        <v>82</v>
      </c>
      <c r="E631" s="30">
        <v>5</v>
      </c>
      <c r="F631" s="30">
        <v>41</v>
      </c>
      <c r="G631" s="29" t="s">
        <v>66</v>
      </c>
      <c r="H631" s="29"/>
      <c r="I631" s="49"/>
      <c r="L631" s="184"/>
      <c r="M631" s="187"/>
      <c r="N631" s="29" t="s">
        <v>82</v>
      </c>
      <c r="O631" s="30">
        <v>5</v>
      </c>
      <c r="P631" s="30">
        <v>41</v>
      </c>
      <c r="Q631" s="29" t="s">
        <v>66</v>
      </c>
      <c r="R631" s="29"/>
      <c r="S631" s="49"/>
    </row>
    <row r="632" spans="2:19" ht="15.75" thickBot="1" x14ac:dyDescent="0.3">
      <c r="B632" s="184"/>
      <c r="C632" s="188"/>
      <c r="D632" s="29" t="s">
        <v>83</v>
      </c>
      <c r="E632" s="30">
        <v>6</v>
      </c>
      <c r="F632" s="30">
        <v>42</v>
      </c>
      <c r="G632" s="29" t="s">
        <v>66</v>
      </c>
      <c r="H632" s="29"/>
      <c r="I632" s="49"/>
      <c r="L632" s="184"/>
      <c r="M632" s="188"/>
      <c r="N632" s="29" t="s">
        <v>83</v>
      </c>
      <c r="O632" s="30">
        <v>6</v>
      </c>
      <c r="P632" s="30">
        <v>42</v>
      </c>
      <c r="Q632" s="29" t="s">
        <v>66</v>
      </c>
      <c r="R632" s="29"/>
      <c r="S632" s="49"/>
    </row>
    <row r="633" spans="2:19" x14ac:dyDescent="0.25">
      <c r="B633" s="184"/>
      <c r="C633" s="186" t="s">
        <v>84</v>
      </c>
      <c r="D633" s="29" t="s">
        <v>2</v>
      </c>
      <c r="E633" s="30">
        <v>1</v>
      </c>
      <c r="F633" s="30">
        <v>43</v>
      </c>
      <c r="G633" s="29" t="s">
        <v>66</v>
      </c>
      <c r="H633" s="29"/>
      <c r="I633" s="49"/>
      <c r="L633" s="184"/>
      <c r="M633" s="186" t="s">
        <v>84</v>
      </c>
      <c r="N633" s="29" t="s">
        <v>2</v>
      </c>
      <c r="O633" s="30">
        <v>1</v>
      </c>
      <c r="P633" s="30">
        <v>43</v>
      </c>
      <c r="Q633" s="29" t="s">
        <v>66</v>
      </c>
      <c r="R633" s="29"/>
      <c r="S633" s="49"/>
    </row>
    <row r="634" spans="2:19" x14ac:dyDescent="0.25">
      <c r="B634" s="184"/>
      <c r="C634" s="187"/>
      <c r="D634" s="29" t="s">
        <v>3</v>
      </c>
      <c r="E634" s="30">
        <v>2</v>
      </c>
      <c r="F634" s="30">
        <v>44</v>
      </c>
      <c r="G634" s="29" t="s">
        <v>66</v>
      </c>
      <c r="H634" s="29"/>
      <c r="I634" s="49"/>
      <c r="L634" s="184"/>
      <c r="M634" s="187"/>
      <c r="N634" s="29" t="s">
        <v>3</v>
      </c>
      <c r="O634" s="30">
        <v>2</v>
      </c>
      <c r="P634" s="30">
        <v>44</v>
      </c>
      <c r="Q634" s="29" t="s">
        <v>66</v>
      </c>
      <c r="R634" s="29"/>
      <c r="S634" s="49"/>
    </row>
    <row r="635" spans="2:19" x14ac:dyDescent="0.25">
      <c r="B635" s="184"/>
      <c r="C635" s="187"/>
      <c r="D635" s="29" t="s">
        <v>80</v>
      </c>
      <c r="E635" s="30">
        <v>3</v>
      </c>
      <c r="F635" s="30">
        <v>45</v>
      </c>
      <c r="G635" s="29" t="s">
        <v>66</v>
      </c>
      <c r="H635" s="29"/>
      <c r="I635" s="49"/>
      <c r="L635" s="184"/>
      <c r="M635" s="187"/>
      <c r="N635" s="29" t="s">
        <v>80</v>
      </c>
      <c r="O635" s="30">
        <v>3</v>
      </c>
      <c r="P635" s="30">
        <v>45</v>
      </c>
      <c r="Q635" s="29" t="s">
        <v>66</v>
      </c>
      <c r="R635" s="29"/>
      <c r="S635" s="49"/>
    </row>
    <row r="636" spans="2:19" x14ac:dyDescent="0.25">
      <c r="B636" s="184"/>
      <c r="C636" s="187"/>
      <c r="D636" s="29" t="s">
        <v>81</v>
      </c>
      <c r="E636" s="30">
        <v>4</v>
      </c>
      <c r="F636" s="30">
        <v>46</v>
      </c>
      <c r="G636" s="29" t="s">
        <v>66</v>
      </c>
      <c r="H636" s="29"/>
      <c r="I636" s="49"/>
      <c r="L636" s="184"/>
      <c r="M636" s="187"/>
      <c r="N636" s="29" t="s">
        <v>81</v>
      </c>
      <c r="O636" s="30">
        <v>4</v>
      </c>
      <c r="P636" s="30">
        <v>46</v>
      </c>
      <c r="Q636" s="29" t="s">
        <v>66</v>
      </c>
      <c r="R636" s="29"/>
      <c r="S636" s="49"/>
    </row>
    <row r="637" spans="2:19" x14ac:dyDescent="0.25">
      <c r="B637" s="184"/>
      <c r="C637" s="187"/>
      <c r="D637" s="29" t="s">
        <v>82</v>
      </c>
      <c r="E637" s="30">
        <v>5</v>
      </c>
      <c r="F637" s="30">
        <v>47</v>
      </c>
      <c r="G637" s="29" t="s">
        <v>66</v>
      </c>
      <c r="H637" s="29"/>
      <c r="I637" s="49"/>
      <c r="L637" s="184"/>
      <c r="M637" s="187"/>
      <c r="N637" s="29" t="s">
        <v>82</v>
      </c>
      <c r="O637" s="30">
        <v>5</v>
      </c>
      <c r="P637" s="30">
        <v>47</v>
      </c>
      <c r="Q637" s="29" t="s">
        <v>66</v>
      </c>
      <c r="R637" s="29"/>
      <c r="S637" s="49"/>
    </row>
    <row r="638" spans="2:19" ht="15.75" thickBot="1" x14ac:dyDescent="0.3">
      <c r="B638" s="185"/>
      <c r="C638" s="188"/>
      <c r="D638" s="29" t="s">
        <v>83</v>
      </c>
      <c r="E638" s="30">
        <v>6</v>
      </c>
      <c r="F638" s="30">
        <v>48</v>
      </c>
      <c r="G638" s="29" t="s">
        <v>66</v>
      </c>
      <c r="H638" s="29"/>
      <c r="I638" s="49"/>
      <c r="L638" s="185"/>
      <c r="M638" s="188"/>
      <c r="N638" s="29" t="s">
        <v>83</v>
      </c>
      <c r="O638" s="30">
        <v>6</v>
      </c>
      <c r="P638" s="30">
        <v>48</v>
      </c>
      <c r="Q638" s="29" t="s">
        <v>66</v>
      </c>
      <c r="R638" s="29"/>
      <c r="S638" s="49"/>
    </row>
    <row r="644" spans="2:19" ht="15.75" thickBot="1" x14ac:dyDescent="0.3"/>
    <row r="645" spans="2:19" ht="15.75" thickBot="1" x14ac:dyDescent="0.3">
      <c r="B645" s="171" t="s">
        <v>323</v>
      </c>
      <c r="C645" s="172"/>
      <c r="D645" s="172"/>
      <c r="E645" s="172"/>
      <c r="F645" s="172"/>
      <c r="G645" s="172"/>
      <c r="H645" s="172"/>
      <c r="I645" s="173"/>
      <c r="L645" s="171" t="s">
        <v>324</v>
      </c>
      <c r="M645" s="172"/>
      <c r="N645" s="172"/>
      <c r="O645" s="172"/>
      <c r="P645" s="172"/>
      <c r="Q645" s="172"/>
      <c r="R645" s="172"/>
      <c r="S645" s="173"/>
    </row>
    <row r="647" spans="2:19" ht="26.25" thickBot="1" x14ac:dyDescent="0.3">
      <c r="B647" s="15" t="s">
        <v>70</v>
      </c>
      <c r="C647" s="16" t="s">
        <v>71</v>
      </c>
      <c r="D647" s="15" t="s">
        <v>72</v>
      </c>
      <c r="E647" s="17" t="s">
        <v>73</v>
      </c>
      <c r="F647" s="17" t="s">
        <v>74</v>
      </c>
      <c r="G647" s="15" t="s">
        <v>75</v>
      </c>
      <c r="H647" s="15" t="s">
        <v>55</v>
      </c>
      <c r="I647" s="15" t="s">
        <v>76</v>
      </c>
      <c r="L647" s="15" t="s">
        <v>70</v>
      </c>
      <c r="M647" s="16" t="s">
        <v>71</v>
      </c>
      <c r="N647" s="15" t="s">
        <v>72</v>
      </c>
      <c r="O647" s="17" t="s">
        <v>73</v>
      </c>
      <c r="P647" s="17" t="s">
        <v>74</v>
      </c>
      <c r="Q647" s="15" t="s">
        <v>75</v>
      </c>
      <c r="R647" s="15" t="s">
        <v>55</v>
      </c>
      <c r="S647" s="15" t="s">
        <v>76</v>
      </c>
    </row>
    <row r="648" spans="2:19" x14ac:dyDescent="0.25">
      <c r="B648" s="174" t="s">
        <v>2</v>
      </c>
      <c r="C648" s="168" t="s">
        <v>77</v>
      </c>
      <c r="D648" s="18" t="s">
        <v>2</v>
      </c>
      <c r="E648" s="19">
        <v>1</v>
      </c>
      <c r="F648" s="19">
        <v>1</v>
      </c>
      <c r="G648" s="18" t="s">
        <v>66</v>
      </c>
      <c r="H648" s="32"/>
      <c r="I648" s="50"/>
      <c r="L648" s="174" t="s">
        <v>2</v>
      </c>
      <c r="M648" s="168" t="s">
        <v>77</v>
      </c>
      <c r="N648" s="18" t="s">
        <v>2</v>
      </c>
      <c r="O648" s="19">
        <v>1</v>
      </c>
      <c r="P648" s="19">
        <v>1</v>
      </c>
      <c r="Q648" s="18" t="s">
        <v>66</v>
      </c>
      <c r="R648" s="32"/>
      <c r="S648" s="50"/>
    </row>
    <row r="649" spans="2:19" x14ac:dyDescent="0.25">
      <c r="B649" s="175"/>
      <c r="C649" s="169"/>
      <c r="D649" s="18" t="s">
        <v>3</v>
      </c>
      <c r="E649" s="19">
        <v>2</v>
      </c>
      <c r="F649" s="19">
        <v>2</v>
      </c>
      <c r="G649" s="18" t="s">
        <v>66</v>
      </c>
      <c r="H649" s="32"/>
      <c r="I649" s="50"/>
      <c r="L649" s="175"/>
      <c r="M649" s="169"/>
      <c r="N649" s="18" t="s">
        <v>3</v>
      </c>
      <c r="O649" s="19">
        <v>2</v>
      </c>
      <c r="P649" s="19">
        <v>2</v>
      </c>
      <c r="Q649" s="18" t="s">
        <v>66</v>
      </c>
      <c r="R649" s="32"/>
      <c r="S649" s="50"/>
    </row>
    <row r="650" spans="2:19" x14ac:dyDescent="0.25">
      <c r="B650" s="175"/>
      <c r="C650" s="169"/>
      <c r="D650" s="18" t="s">
        <v>80</v>
      </c>
      <c r="E650" s="20">
        <v>3</v>
      </c>
      <c r="F650" s="20">
        <v>3</v>
      </c>
      <c r="G650" s="18" t="s">
        <v>66</v>
      </c>
      <c r="H650" s="32"/>
      <c r="I650" s="50"/>
      <c r="L650" s="175"/>
      <c r="M650" s="169"/>
      <c r="N650" s="18" t="s">
        <v>80</v>
      </c>
      <c r="O650" s="20">
        <v>3</v>
      </c>
      <c r="P650" s="20">
        <v>3</v>
      </c>
      <c r="Q650" s="18" t="s">
        <v>66</v>
      </c>
      <c r="R650" s="32"/>
      <c r="S650" s="50"/>
    </row>
    <row r="651" spans="2:19" x14ac:dyDescent="0.25">
      <c r="B651" s="175"/>
      <c r="C651" s="169"/>
      <c r="D651" s="18" t="s">
        <v>81</v>
      </c>
      <c r="E651" s="20">
        <v>4</v>
      </c>
      <c r="F651" s="20">
        <v>4</v>
      </c>
      <c r="G651" s="18" t="s">
        <v>66</v>
      </c>
      <c r="H651" s="32"/>
      <c r="I651" s="50"/>
      <c r="L651" s="175"/>
      <c r="M651" s="169"/>
      <c r="N651" s="18" t="s">
        <v>81</v>
      </c>
      <c r="O651" s="20">
        <v>4</v>
      </c>
      <c r="P651" s="20">
        <v>4</v>
      </c>
      <c r="Q651" s="18" t="s">
        <v>66</v>
      </c>
      <c r="R651" s="32"/>
      <c r="S651" s="50"/>
    </row>
    <row r="652" spans="2:19" x14ac:dyDescent="0.25">
      <c r="B652" s="175"/>
      <c r="C652" s="169"/>
      <c r="D652" s="18" t="s">
        <v>82</v>
      </c>
      <c r="E652" s="20">
        <v>5</v>
      </c>
      <c r="F652" s="20">
        <v>5</v>
      </c>
      <c r="G652" s="18" t="s">
        <v>66</v>
      </c>
      <c r="H652" s="32"/>
      <c r="I652" s="50"/>
      <c r="L652" s="175"/>
      <c r="M652" s="169"/>
      <c r="N652" s="18" t="s">
        <v>82</v>
      </c>
      <c r="O652" s="20">
        <v>5</v>
      </c>
      <c r="P652" s="20">
        <v>5</v>
      </c>
      <c r="Q652" s="18" t="s">
        <v>66</v>
      </c>
      <c r="R652" s="32"/>
      <c r="S652" s="50"/>
    </row>
    <row r="653" spans="2:19" ht="15.75" thickBot="1" x14ac:dyDescent="0.3">
      <c r="B653" s="175"/>
      <c r="C653" s="170"/>
      <c r="D653" s="18" t="s">
        <v>83</v>
      </c>
      <c r="E653" s="20">
        <v>6</v>
      </c>
      <c r="F653" s="20">
        <v>6</v>
      </c>
      <c r="G653" s="18" t="s">
        <v>66</v>
      </c>
      <c r="H653" s="32"/>
      <c r="I653" s="50"/>
      <c r="L653" s="175"/>
      <c r="M653" s="170"/>
      <c r="N653" s="18" t="s">
        <v>83</v>
      </c>
      <c r="O653" s="20">
        <v>6</v>
      </c>
      <c r="P653" s="20">
        <v>6</v>
      </c>
      <c r="Q653" s="18" t="s">
        <v>66</v>
      </c>
      <c r="R653" s="32"/>
      <c r="S653" s="50"/>
    </row>
    <row r="654" spans="2:19" x14ac:dyDescent="0.25">
      <c r="B654" s="175"/>
      <c r="C654" s="168" t="s">
        <v>84</v>
      </c>
      <c r="D654" s="18" t="s">
        <v>2</v>
      </c>
      <c r="E654" s="19">
        <v>1</v>
      </c>
      <c r="F654" s="19">
        <v>7</v>
      </c>
      <c r="G654" s="18" t="s">
        <v>78</v>
      </c>
      <c r="H654" s="156" t="s">
        <v>140</v>
      </c>
      <c r="I654" s="165" t="s">
        <v>186</v>
      </c>
      <c r="L654" s="175"/>
      <c r="M654" s="168" t="s">
        <v>84</v>
      </c>
      <c r="N654" s="18" t="s">
        <v>2</v>
      </c>
      <c r="O654" s="19">
        <v>1</v>
      </c>
      <c r="P654" s="19">
        <v>7</v>
      </c>
      <c r="Q654" s="18" t="s">
        <v>78</v>
      </c>
      <c r="R654" s="156" t="s">
        <v>140</v>
      </c>
      <c r="S654" s="165" t="s">
        <v>188</v>
      </c>
    </row>
    <row r="655" spans="2:19" x14ac:dyDescent="0.25">
      <c r="B655" s="175"/>
      <c r="C655" s="169"/>
      <c r="D655" s="18" t="s">
        <v>3</v>
      </c>
      <c r="E655" s="19">
        <v>2</v>
      </c>
      <c r="F655" s="19">
        <v>8</v>
      </c>
      <c r="G655" s="18" t="s">
        <v>78</v>
      </c>
      <c r="H655" s="157"/>
      <c r="I655" s="166"/>
      <c r="L655" s="175"/>
      <c r="M655" s="169"/>
      <c r="N655" s="18" t="s">
        <v>3</v>
      </c>
      <c r="O655" s="19">
        <v>2</v>
      </c>
      <c r="P655" s="19">
        <v>8</v>
      </c>
      <c r="Q655" s="18" t="s">
        <v>78</v>
      </c>
      <c r="R655" s="157"/>
      <c r="S655" s="166"/>
    </row>
    <row r="656" spans="2:19" x14ac:dyDescent="0.25">
      <c r="B656" s="175"/>
      <c r="C656" s="169"/>
      <c r="D656" s="18" t="s">
        <v>80</v>
      </c>
      <c r="E656" s="20">
        <v>3</v>
      </c>
      <c r="F656" s="20">
        <v>9</v>
      </c>
      <c r="G656" s="18" t="s">
        <v>66</v>
      </c>
      <c r="H656" s="157"/>
      <c r="I656" s="166"/>
      <c r="L656" s="175"/>
      <c r="M656" s="169"/>
      <c r="N656" s="18" t="s">
        <v>80</v>
      </c>
      <c r="O656" s="20">
        <v>3</v>
      </c>
      <c r="P656" s="20">
        <v>9</v>
      </c>
      <c r="Q656" s="18" t="s">
        <v>66</v>
      </c>
      <c r="R656" s="157"/>
      <c r="S656" s="166"/>
    </row>
    <row r="657" spans="2:19" x14ac:dyDescent="0.25">
      <c r="B657" s="175"/>
      <c r="C657" s="169"/>
      <c r="D657" s="18" t="s">
        <v>81</v>
      </c>
      <c r="E657" s="20">
        <v>4</v>
      </c>
      <c r="F657" s="20">
        <v>10</v>
      </c>
      <c r="G657" s="18" t="s">
        <v>66</v>
      </c>
      <c r="H657" s="157"/>
      <c r="I657" s="166"/>
      <c r="L657" s="175"/>
      <c r="M657" s="169"/>
      <c r="N657" s="18" t="s">
        <v>81</v>
      </c>
      <c r="O657" s="20">
        <v>4</v>
      </c>
      <c r="P657" s="20">
        <v>10</v>
      </c>
      <c r="Q657" s="18" t="s">
        <v>66</v>
      </c>
      <c r="R657" s="157"/>
      <c r="S657" s="166"/>
    </row>
    <row r="658" spans="2:19" x14ac:dyDescent="0.25">
      <c r="B658" s="175"/>
      <c r="C658" s="169"/>
      <c r="D658" s="18" t="s">
        <v>82</v>
      </c>
      <c r="E658" s="20">
        <v>5</v>
      </c>
      <c r="F658" s="20">
        <v>11</v>
      </c>
      <c r="G658" s="18" t="s">
        <v>66</v>
      </c>
      <c r="H658" s="157"/>
      <c r="I658" s="166"/>
      <c r="L658" s="175"/>
      <c r="M658" s="169"/>
      <c r="N658" s="18" t="s">
        <v>82</v>
      </c>
      <c r="O658" s="20">
        <v>5</v>
      </c>
      <c r="P658" s="20">
        <v>11</v>
      </c>
      <c r="Q658" s="18" t="s">
        <v>66</v>
      </c>
      <c r="R658" s="157"/>
      <c r="S658" s="166"/>
    </row>
    <row r="659" spans="2:19" ht="15.75" thickBot="1" x14ac:dyDescent="0.3">
      <c r="B659" s="176"/>
      <c r="C659" s="170"/>
      <c r="D659" s="18" t="s">
        <v>83</v>
      </c>
      <c r="E659" s="20">
        <v>6</v>
      </c>
      <c r="F659" s="20">
        <v>12</v>
      </c>
      <c r="G659" s="18" t="s">
        <v>66</v>
      </c>
      <c r="H659" s="158"/>
      <c r="I659" s="167"/>
      <c r="L659" s="176"/>
      <c r="M659" s="170"/>
      <c r="N659" s="18" t="s">
        <v>83</v>
      </c>
      <c r="O659" s="20">
        <v>6</v>
      </c>
      <c r="P659" s="20">
        <v>12</v>
      </c>
      <c r="Q659" s="18" t="s">
        <v>66</v>
      </c>
      <c r="R659" s="158"/>
      <c r="S659" s="167"/>
    </row>
    <row r="660" spans="2:19" x14ac:dyDescent="0.25">
      <c r="B660" s="180" t="s">
        <v>3</v>
      </c>
      <c r="C660" s="177" t="s">
        <v>77</v>
      </c>
      <c r="D660" s="21" t="s">
        <v>2</v>
      </c>
      <c r="E660" s="22">
        <v>1</v>
      </c>
      <c r="F660" s="22">
        <v>13</v>
      </c>
      <c r="G660" s="21" t="s">
        <v>66</v>
      </c>
      <c r="H660" s="21"/>
      <c r="I660" s="51"/>
      <c r="L660" s="180" t="s">
        <v>3</v>
      </c>
      <c r="M660" s="177" t="s">
        <v>77</v>
      </c>
      <c r="N660" s="21" t="s">
        <v>2</v>
      </c>
      <c r="O660" s="22">
        <v>1</v>
      </c>
      <c r="P660" s="22">
        <v>13</v>
      </c>
      <c r="Q660" s="21" t="s">
        <v>66</v>
      </c>
      <c r="R660" s="21"/>
      <c r="S660" s="51"/>
    </row>
    <row r="661" spans="2:19" x14ac:dyDescent="0.25">
      <c r="B661" s="181"/>
      <c r="C661" s="178"/>
      <c r="D661" s="23" t="s">
        <v>3</v>
      </c>
      <c r="E661" s="24">
        <v>2</v>
      </c>
      <c r="F661" s="24">
        <v>14</v>
      </c>
      <c r="G661" s="23" t="s">
        <v>66</v>
      </c>
      <c r="H661" s="23"/>
      <c r="I661" s="47"/>
      <c r="L661" s="181"/>
      <c r="M661" s="178"/>
      <c r="N661" s="23" t="s">
        <v>3</v>
      </c>
      <c r="O661" s="24">
        <v>2</v>
      </c>
      <c r="P661" s="24">
        <v>14</v>
      </c>
      <c r="Q661" s="23" t="s">
        <v>66</v>
      </c>
      <c r="R661" s="23"/>
      <c r="S661" s="47"/>
    </row>
    <row r="662" spans="2:19" x14ac:dyDescent="0.25">
      <c r="B662" s="181"/>
      <c r="C662" s="178"/>
      <c r="D662" s="23" t="s">
        <v>80</v>
      </c>
      <c r="E662" s="24">
        <v>3</v>
      </c>
      <c r="F662" s="24">
        <v>15</v>
      </c>
      <c r="G662" s="23" t="s">
        <v>66</v>
      </c>
      <c r="H662" s="23"/>
      <c r="I662" s="47"/>
      <c r="L662" s="181"/>
      <c r="M662" s="178"/>
      <c r="N662" s="23" t="s">
        <v>80</v>
      </c>
      <c r="O662" s="24">
        <v>3</v>
      </c>
      <c r="P662" s="24">
        <v>15</v>
      </c>
      <c r="Q662" s="23" t="s">
        <v>66</v>
      </c>
      <c r="R662" s="23"/>
      <c r="S662" s="47"/>
    </row>
    <row r="663" spans="2:19" x14ac:dyDescent="0.25">
      <c r="B663" s="181"/>
      <c r="C663" s="178"/>
      <c r="D663" s="23" t="s">
        <v>81</v>
      </c>
      <c r="E663" s="24">
        <v>4</v>
      </c>
      <c r="F663" s="24">
        <v>16</v>
      </c>
      <c r="G663" s="23" t="s">
        <v>66</v>
      </c>
      <c r="H663" s="23"/>
      <c r="I663" s="47"/>
      <c r="L663" s="181"/>
      <c r="M663" s="178"/>
      <c r="N663" s="23" t="s">
        <v>81</v>
      </c>
      <c r="O663" s="24">
        <v>4</v>
      </c>
      <c r="P663" s="24">
        <v>16</v>
      </c>
      <c r="Q663" s="23" t="s">
        <v>66</v>
      </c>
      <c r="R663" s="23"/>
      <c r="S663" s="47"/>
    </row>
    <row r="664" spans="2:19" x14ac:dyDescent="0.25">
      <c r="B664" s="181"/>
      <c r="C664" s="178"/>
      <c r="D664" s="23" t="s">
        <v>82</v>
      </c>
      <c r="E664" s="24">
        <v>5</v>
      </c>
      <c r="F664" s="24">
        <v>17</v>
      </c>
      <c r="G664" s="23" t="s">
        <v>66</v>
      </c>
      <c r="H664" s="23"/>
      <c r="I664" s="47"/>
      <c r="L664" s="181"/>
      <c r="M664" s="178"/>
      <c r="N664" s="23" t="s">
        <v>82</v>
      </c>
      <c r="O664" s="24">
        <v>5</v>
      </c>
      <c r="P664" s="24">
        <v>17</v>
      </c>
      <c r="Q664" s="23" t="s">
        <v>66</v>
      </c>
      <c r="R664" s="23"/>
      <c r="S664" s="47"/>
    </row>
    <row r="665" spans="2:19" ht="15.75" thickBot="1" x14ac:dyDescent="0.3">
      <c r="B665" s="181"/>
      <c r="C665" s="179"/>
      <c r="D665" s="23" t="s">
        <v>83</v>
      </c>
      <c r="E665" s="24">
        <v>6</v>
      </c>
      <c r="F665" s="24">
        <v>18</v>
      </c>
      <c r="G665" s="23" t="s">
        <v>66</v>
      </c>
      <c r="H665" s="23"/>
      <c r="I665" s="47"/>
      <c r="L665" s="181"/>
      <c r="M665" s="179"/>
      <c r="N665" s="23" t="s">
        <v>83</v>
      </c>
      <c r="O665" s="24">
        <v>6</v>
      </c>
      <c r="P665" s="24">
        <v>18</v>
      </c>
      <c r="Q665" s="23" t="s">
        <v>66</v>
      </c>
      <c r="R665" s="23"/>
      <c r="S665" s="47"/>
    </row>
    <row r="666" spans="2:19" x14ac:dyDescent="0.25">
      <c r="B666" s="181"/>
      <c r="C666" s="177" t="s">
        <v>84</v>
      </c>
      <c r="D666" s="23" t="s">
        <v>2</v>
      </c>
      <c r="E666" s="24">
        <v>1</v>
      </c>
      <c r="F666" s="24">
        <v>19</v>
      </c>
      <c r="G666" s="23" t="s">
        <v>66</v>
      </c>
      <c r="H666" s="23"/>
      <c r="I666" s="47"/>
      <c r="L666" s="181"/>
      <c r="M666" s="177" t="s">
        <v>84</v>
      </c>
      <c r="N666" s="23" t="s">
        <v>2</v>
      </c>
      <c r="O666" s="24">
        <v>1</v>
      </c>
      <c r="P666" s="24">
        <v>19</v>
      </c>
      <c r="Q666" s="23" t="s">
        <v>66</v>
      </c>
      <c r="R666" s="23"/>
      <c r="S666" s="47"/>
    </row>
    <row r="667" spans="2:19" x14ac:dyDescent="0.25">
      <c r="B667" s="181"/>
      <c r="C667" s="178"/>
      <c r="D667" s="23" t="s">
        <v>3</v>
      </c>
      <c r="E667" s="24">
        <v>2</v>
      </c>
      <c r="F667" s="24">
        <v>20</v>
      </c>
      <c r="G667" s="23" t="s">
        <v>66</v>
      </c>
      <c r="H667" s="23"/>
      <c r="I667" s="47"/>
      <c r="L667" s="181"/>
      <c r="M667" s="178"/>
      <c r="N667" s="23" t="s">
        <v>3</v>
      </c>
      <c r="O667" s="24">
        <v>2</v>
      </c>
      <c r="P667" s="24">
        <v>20</v>
      </c>
      <c r="Q667" s="23" t="s">
        <v>66</v>
      </c>
      <c r="R667" s="23"/>
      <c r="S667" s="47"/>
    </row>
    <row r="668" spans="2:19" x14ac:dyDescent="0.25">
      <c r="B668" s="181"/>
      <c r="C668" s="178"/>
      <c r="D668" s="23" t="s">
        <v>80</v>
      </c>
      <c r="E668" s="26">
        <v>3</v>
      </c>
      <c r="F668" s="24">
        <v>21</v>
      </c>
      <c r="G668" s="23" t="s">
        <v>66</v>
      </c>
      <c r="H668" s="23"/>
      <c r="I668" s="47"/>
      <c r="L668" s="181"/>
      <c r="M668" s="178"/>
      <c r="N668" s="23" t="s">
        <v>80</v>
      </c>
      <c r="O668" s="26">
        <v>3</v>
      </c>
      <c r="P668" s="24">
        <v>21</v>
      </c>
      <c r="Q668" s="23" t="s">
        <v>66</v>
      </c>
      <c r="R668" s="23"/>
      <c r="S668" s="47"/>
    </row>
    <row r="669" spans="2:19" x14ac:dyDescent="0.25">
      <c r="B669" s="181"/>
      <c r="C669" s="178"/>
      <c r="D669" s="23" t="s">
        <v>81</v>
      </c>
      <c r="E669" s="24">
        <v>4</v>
      </c>
      <c r="F669" s="24">
        <v>22</v>
      </c>
      <c r="G669" s="23" t="s">
        <v>66</v>
      </c>
      <c r="H669" s="23"/>
      <c r="I669" s="47"/>
      <c r="L669" s="181"/>
      <c r="M669" s="178"/>
      <c r="N669" s="23" t="s">
        <v>81</v>
      </c>
      <c r="O669" s="24">
        <v>4</v>
      </c>
      <c r="P669" s="24">
        <v>22</v>
      </c>
      <c r="Q669" s="23" t="s">
        <v>66</v>
      </c>
      <c r="R669" s="23"/>
      <c r="S669" s="47"/>
    </row>
    <row r="670" spans="2:19" x14ac:dyDescent="0.25">
      <c r="B670" s="181"/>
      <c r="C670" s="178"/>
      <c r="D670" s="23" t="s">
        <v>82</v>
      </c>
      <c r="E670" s="24">
        <v>5</v>
      </c>
      <c r="F670" s="24">
        <v>23</v>
      </c>
      <c r="G670" s="23" t="s">
        <v>66</v>
      </c>
      <c r="H670" s="23"/>
      <c r="I670" s="47"/>
      <c r="L670" s="181"/>
      <c r="M670" s="178"/>
      <c r="N670" s="23" t="s">
        <v>82</v>
      </c>
      <c r="O670" s="24">
        <v>5</v>
      </c>
      <c r="P670" s="24">
        <v>23</v>
      </c>
      <c r="Q670" s="23" t="s">
        <v>66</v>
      </c>
      <c r="R670" s="23"/>
      <c r="S670" s="47"/>
    </row>
    <row r="671" spans="2:19" ht="15.75" thickBot="1" x14ac:dyDescent="0.3">
      <c r="B671" s="182"/>
      <c r="C671" s="179"/>
      <c r="D671" s="23" t="s">
        <v>83</v>
      </c>
      <c r="E671" s="24">
        <v>6</v>
      </c>
      <c r="F671" s="24">
        <v>24</v>
      </c>
      <c r="G671" s="23" t="s">
        <v>66</v>
      </c>
      <c r="H671" s="23"/>
      <c r="I671" s="47"/>
      <c r="L671" s="182"/>
      <c r="M671" s="179"/>
      <c r="N671" s="23" t="s">
        <v>83</v>
      </c>
      <c r="O671" s="24">
        <v>6</v>
      </c>
      <c r="P671" s="24">
        <v>24</v>
      </c>
      <c r="Q671" s="23" t="s">
        <v>66</v>
      </c>
      <c r="R671" s="23"/>
      <c r="S671" s="47"/>
    </row>
    <row r="672" spans="2:19" x14ac:dyDescent="0.25">
      <c r="B672" s="189" t="s">
        <v>80</v>
      </c>
      <c r="C672" s="192" t="s">
        <v>77</v>
      </c>
      <c r="D672" s="27" t="s">
        <v>2</v>
      </c>
      <c r="E672" s="28">
        <v>1</v>
      </c>
      <c r="F672" s="28">
        <v>25</v>
      </c>
      <c r="G672" s="27" t="s">
        <v>66</v>
      </c>
      <c r="H672" s="27"/>
      <c r="I672" s="48"/>
      <c r="L672" s="189" t="s">
        <v>80</v>
      </c>
      <c r="M672" s="192" t="s">
        <v>77</v>
      </c>
      <c r="N672" s="27" t="s">
        <v>2</v>
      </c>
      <c r="O672" s="28">
        <v>1</v>
      </c>
      <c r="P672" s="28">
        <v>25</v>
      </c>
      <c r="Q672" s="27" t="s">
        <v>66</v>
      </c>
      <c r="R672" s="27"/>
      <c r="S672" s="48"/>
    </row>
    <row r="673" spans="2:19" x14ac:dyDescent="0.25">
      <c r="B673" s="190"/>
      <c r="C673" s="193"/>
      <c r="D673" s="27" t="s">
        <v>3</v>
      </c>
      <c r="E673" s="28">
        <v>2</v>
      </c>
      <c r="F673" s="28">
        <v>26</v>
      </c>
      <c r="G673" s="27" t="s">
        <v>66</v>
      </c>
      <c r="H673" s="27"/>
      <c r="I673" s="48"/>
      <c r="L673" s="190"/>
      <c r="M673" s="193"/>
      <c r="N673" s="27" t="s">
        <v>3</v>
      </c>
      <c r="O673" s="28">
        <v>2</v>
      </c>
      <c r="P673" s="28">
        <v>26</v>
      </c>
      <c r="Q673" s="27" t="s">
        <v>66</v>
      </c>
      <c r="R673" s="27"/>
      <c r="S673" s="48"/>
    </row>
    <row r="674" spans="2:19" x14ac:dyDescent="0.25">
      <c r="B674" s="190"/>
      <c r="C674" s="193"/>
      <c r="D674" s="27" t="s">
        <v>80</v>
      </c>
      <c r="E674" s="28">
        <v>3</v>
      </c>
      <c r="F674" s="28">
        <v>27</v>
      </c>
      <c r="G674" s="27" t="s">
        <v>66</v>
      </c>
      <c r="H674" s="27"/>
      <c r="I674" s="48"/>
      <c r="L674" s="190"/>
      <c r="M674" s="193"/>
      <c r="N674" s="27" t="s">
        <v>80</v>
      </c>
      <c r="O674" s="28">
        <v>3</v>
      </c>
      <c r="P674" s="28">
        <v>27</v>
      </c>
      <c r="Q674" s="27" t="s">
        <v>66</v>
      </c>
      <c r="R674" s="27"/>
      <c r="S674" s="48"/>
    </row>
    <row r="675" spans="2:19" x14ac:dyDescent="0.25">
      <c r="B675" s="190"/>
      <c r="C675" s="193"/>
      <c r="D675" s="27" t="s">
        <v>81</v>
      </c>
      <c r="E675" s="28">
        <v>4</v>
      </c>
      <c r="F675" s="28">
        <v>28</v>
      </c>
      <c r="G675" s="27" t="s">
        <v>66</v>
      </c>
      <c r="H675" s="27"/>
      <c r="I675" s="48"/>
      <c r="L675" s="190"/>
      <c r="M675" s="193"/>
      <c r="N675" s="27" t="s">
        <v>81</v>
      </c>
      <c r="O675" s="28">
        <v>4</v>
      </c>
      <c r="P675" s="28">
        <v>28</v>
      </c>
      <c r="Q675" s="27" t="s">
        <v>66</v>
      </c>
      <c r="R675" s="27"/>
      <c r="S675" s="48"/>
    </row>
    <row r="676" spans="2:19" x14ac:dyDescent="0.25">
      <c r="B676" s="190"/>
      <c r="C676" s="193"/>
      <c r="D676" s="27" t="s">
        <v>82</v>
      </c>
      <c r="E676" s="28">
        <v>5</v>
      </c>
      <c r="F676" s="28">
        <v>29</v>
      </c>
      <c r="G676" s="27" t="s">
        <v>66</v>
      </c>
      <c r="H676" s="27"/>
      <c r="I676" s="48"/>
      <c r="L676" s="190"/>
      <c r="M676" s="193"/>
      <c r="N676" s="27" t="s">
        <v>82</v>
      </c>
      <c r="O676" s="28">
        <v>5</v>
      </c>
      <c r="P676" s="28">
        <v>29</v>
      </c>
      <c r="Q676" s="27" t="s">
        <v>66</v>
      </c>
      <c r="R676" s="27"/>
      <c r="S676" s="48"/>
    </row>
    <row r="677" spans="2:19" ht="15.75" thickBot="1" x14ac:dyDescent="0.3">
      <c r="B677" s="190"/>
      <c r="C677" s="194"/>
      <c r="D677" s="27" t="s">
        <v>83</v>
      </c>
      <c r="E677" s="28">
        <v>6</v>
      </c>
      <c r="F677" s="28">
        <v>30</v>
      </c>
      <c r="G677" s="27" t="s">
        <v>66</v>
      </c>
      <c r="H677" s="27"/>
      <c r="I677" s="48"/>
      <c r="L677" s="190"/>
      <c r="M677" s="194"/>
      <c r="N677" s="27" t="s">
        <v>83</v>
      </c>
      <c r="O677" s="28">
        <v>6</v>
      </c>
      <c r="P677" s="28">
        <v>30</v>
      </c>
      <c r="Q677" s="27" t="s">
        <v>66</v>
      </c>
      <c r="R677" s="27"/>
      <c r="S677" s="48"/>
    </row>
    <row r="678" spans="2:19" x14ac:dyDescent="0.25">
      <c r="B678" s="190"/>
      <c r="C678" s="192" t="s">
        <v>84</v>
      </c>
      <c r="D678" s="27" t="s">
        <v>2</v>
      </c>
      <c r="E678" s="28">
        <v>1</v>
      </c>
      <c r="F678" s="28">
        <v>31</v>
      </c>
      <c r="G678" s="27" t="s">
        <v>66</v>
      </c>
      <c r="H678" s="27"/>
      <c r="I678" s="48"/>
      <c r="L678" s="190"/>
      <c r="M678" s="192" t="s">
        <v>84</v>
      </c>
      <c r="N678" s="27" t="s">
        <v>2</v>
      </c>
      <c r="O678" s="28">
        <v>1</v>
      </c>
      <c r="P678" s="28">
        <v>31</v>
      </c>
      <c r="Q678" s="27" t="s">
        <v>66</v>
      </c>
      <c r="R678" s="27"/>
      <c r="S678" s="48"/>
    </row>
    <row r="679" spans="2:19" x14ac:dyDescent="0.25">
      <c r="B679" s="190"/>
      <c r="C679" s="193"/>
      <c r="D679" s="27" t="s">
        <v>3</v>
      </c>
      <c r="E679" s="28">
        <v>2</v>
      </c>
      <c r="F679" s="28">
        <v>32</v>
      </c>
      <c r="G679" s="27" t="s">
        <v>66</v>
      </c>
      <c r="H679" s="27"/>
      <c r="I679" s="48"/>
      <c r="L679" s="190"/>
      <c r="M679" s="193"/>
      <c r="N679" s="27" t="s">
        <v>3</v>
      </c>
      <c r="O679" s="28">
        <v>2</v>
      </c>
      <c r="P679" s="28">
        <v>32</v>
      </c>
      <c r="Q679" s="27" t="s">
        <v>66</v>
      </c>
      <c r="R679" s="27"/>
      <c r="S679" s="48"/>
    </row>
    <row r="680" spans="2:19" x14ac:dyDescent="0.25">
      <c r="B680" s="190"/>
      <c r="C680" s="193"/>
      <c r="D680" s="27" t="s">
        <v>80</v>
      </c>
      <c r="E680" s="28">
        <v>3</v>
      </c>
      <c r="F680" s="28">
        <v>33</v>
      </c>
      <c r="G680" s="27" t="s">
        <v>66</v>
      </c>
      <c r="H680" s="27"/>
      <c r="I680" s="48"/>
      <c r="L680" s="190"/>
      <c r="M680" s="193"/>
      <c r="N680" s="27" t="s">
        <v>80</v>
      </c>
      <c r="O680" s="28">
        <v>3</v>
      </c>
      <c r="P680" s="28">
        <v>33</v>
      </c>
      <c r="Q680" s="27" t="s">
        <v>66</v>
      </c>
      <c r="R680" s="27"/>
      <c r="S680" s="48"/>
    </row>
    <row r="681" spans="2:19" x14ac:dyDescent="0.25">
      <c r="B681" s="190"/>
      <c r="C681" s="193"/>
      <c r="D681" s="27" t="s">
        <v>81</v>
      </c>
      <c r="E681" s="28">
        <v>4</v>
      </c>
      <c r="F681" s="28">
        <v>34</v>
      </c>
      <c r="G681" s="27" t="s">
        <v>66</v>
      </c>
      <c r="H681" s="27"/>
      <c r="I681" s="48"/>
      <c r="L681" s="190"/>
      <c r="M681" s="193"/>
      <c r="N681" s="27" t="s">
        <v>81</v>
      </c>
      <c r="O681" s="28">
        <v>4</v>
      </c>
      <c r="P681" s="28">
        <v>34</v>
      </c>
      <c r="Q681" s="27" t="s">
        <v>66</v>
      </c>
      <c r="R681" s="27"/>
      <c r="S681" s="48"/>
    </row>
    <row r="682" spans="2:19" x14ac:dyDescent="0.25">
      <c r="B682" s="190"/>
      <c r="C682" s="193"/>
      <c r="D682" s="27" t="s">
        <v>82</v>
      </c>
      <c r="E682" s="28">
        <v>5</v>
      </c>
      <c r="F682" s="28">
        <v>35</v>
      </c>
      <c r="G682" s="27" t="s">
        <v>66</v>
      </c>
      <c r="H682" s="27"/>
      <c r="I682" s="48"/>
      <c r="L682" s="190"/>
      <c r="M682" s="193"/>
      <c r="N682" s="27" t="s">
        <v>82</v>
      </c>
      <c r="O682" s="28">
        <v>5</v>
      </c>
      <c r="P682" s="28">
        <v>35</v>
      </c>
      <c r="Q682" s="27" t="s">
        <v>66</v>
      </c>
      <c r="R682" s="27"/>
      <c r="S682" s="48"/>
    </row>
    <row r="683" spans="2:19" ht="15.75" thickBot="1" x14ac:dyDescent="0.3">
      <c r="B683" s="191"/>
      <c r="C683" s="194"/>
      <c r="D683" s="27" t="s">
        <v>83</v>
      </c>
      <c r="E683" s="28">
        <v>6</v>
      </c>
      <c r="F683" s="28">
        <v>36</v>
      </c>
      <c r="G683" s="27" t="s">
        <v>66</v>
      </c>
      <c r="H683" s="27"/>
      <c r="I683" s="48"/>
      <c r="L683" s="191"/>
      <c r="M683" s="194"/>
      <c r="N683" s="27" t="s">
        <v>83</v>
      </c>
      <c r="O683" s="28">
        <v>6</v>
      </c>
      <c r="P683" s="28">
        <v>36</v>
      </c>
      <c r="Q683" s="27" t="s">
        <v>66</v>
      </c>
      <c r="R683" s="27"/>
      <c r="S683" s="48"/>
    </row>
    <row r="684" spans="2:19" x14ac:dyDescent="0.25">
      <c r="B684" s="183" t="s">
        <v>81</v>
      </c>
      <c r="C684" s="186" t="s">
        <v>77</v>
      </c>
      <c r="D684" s="29" t="s">
        <v>2</v>
      </c>
      <c r="E684" s="30">
        <v>1</v>
      </c>
      <c r="F684" s="30">
        <v>37</v>
      </c>
      <c r="G684" s="29" t="s">
        <v>66</v>
      </c>
      <c r="H684" s="29"/>
      <c r="I684" s="49"/>
      <c r="L684" s="183" t="s">
        <v>81</v>
      </c>
      <c r="M684" s="186" t="s">
        <v>77</v>
      </c>
      <c r="N684" s="29" t="s">
        <v>2</v>
      </c>
      <c r="O684" s="30">
        <v>1</v>
      </c>
      <c r="P684" s="30">
        <v>37</v>
      </c>
      <c r="Q684" s="29" t="s">
        <v>66</v>
      </c>
      <c r="R684" s="29"/>
      <c r="S684" s="49"/>
    </row>
    <row r="685" spans="2:19" x14ac:dyDescent="0.25">
      <c r="B685" s="184"/>
      <c r="C685" s="187"/>
      <c r="D685" s="29" t="s">
        <v>3</v>
      </c>
      <c r="E685" s="30">
        <v>2</v>
      </c>
      <c r="F685" s="30">
        <v>38</v>
      </c>
      <c r="G685" s="29" t="s">
        <v>66</v>
      </c>
      <c r="H685" s="29"/>
      <c r="I685" s="49"/>
      <c r="L685" s="184"/>
      <c r="M685" s="187"/>
      <c r="N685" s="29" t="s">
        <v>3</v>
      </c>
      <c r="O685" s="30">
        <v>2</v>
      </c>
      <c r="P685" s="30">
        <v>38</v>
      </c>
      <c r="Q685" s="29" t="s">
        <v>66</v>
      </c>
      <c r="R685" s="29"/>
      <c r="S685" s="49"/>
    </row>
    <row r="686" spans="2:19" x14ac:dyDescent="0.25">
      <c r="B686" s="184"/>
      <c r="C686" s="187"/>
      <c r="D686" s="29" t="s">
        <v>80</v>
      </c>
      <c r="E686" s="30">
        <v>3</v>
      </c>
      <c r="F686" s="30">
        <v>39</v>
      </c>
      <c r="G686" s="29" t="s">
        <v>66</v>
      </c>
      <c r="H686" s="29"/>
      <c r="I686" s="49"/>
      <c r="L686" s="184"/>
      <c r="M686" s="187"/>
      <c r="N686" s="29" t="s">
        <v>80</v>
      </c>
      <c r="O686" s="30">
        <v>3</v>
      </c>
      <c r="P686" s="30">
        <v>39</v>
      </c>
      <c r="Q686" s="29" t="s">
        <v>66</v>
      </c>
      <c r="R686" s="29"/>
      <c r="S686" s="49"/>
    </row>
    <row r="687" spans="2:19" x14ac:dyDescent="0.25">
      <c r="B687" s="184"/>
      <c r="C687" s="187"/>
      <c r="D687" s="29" t="s">
        <v>81</v>
      </c>
      <c r="E687" s="30">
        <v>4</v>
      </c>
      <c r="F687" s="30">
        <v>40</v>
      </c>
      <c r="G687" s="29" t="s">
        <v>66</v>
      </c>
      <c r="H687" s="29"/>
      <c r="I687" s="49"/>
      <c r="L687" s="184"/>
      <c r="M687" s="187"/>
      <c r="N687" s="29" t="s">
        <v>81</v>
      </c>
      <c r="O687" s="30">
        <v>4</v>
      </c>
      <c r="P687" s="30">
        <v>40</v>
      </c>
      <c r="Q687" s="29" t="s">
        <v>66</v>
      </c>
      <c r="R687" s="29"/>
      <c r="S687" s="49"/>
    </row>
    <row r="688" spans="2:19" x14ac:dyDescent="0.25">
      <c r="B688" s="184"/>
      <c r="C688" s="187"/>
      <c r="D688" s="29" t="s">
        <v>82</v>
      </c>
      <c r="E688" s="30">
        <v>5</v>
      </c>
      <c r="F688" s="30">
        <v>41</v>
      </c>
      <c r="G688" s="29" t="s">
        <v>66</v>
      </c>
      <c r="H688" s="29"/>
      <c r="I688" s="49"/>
      <c r="L688" s="184"/>
      <c r="M688" s="187"/>
      <c r="N688" s="29" t="s">
        <v>82</v>
      </c>
      <c r="O688" s="30">
        <v>5</v>
      </c>
      <c r="P688" s="30">
        <v>41</v>
      </c>
      <c r="Q688" s="29" t="s">
        <v>66</v>
      </c>
      <c r="R688" s="29"/>
      <c r="S688" s="49"/>
    </row>
    <row r="689" spans="2:19" ht="15.75" thickBot="1" x14ac:dyDescent="0.3">
      <c r="B689" s="184"/>
      <c r="C689" s="188"/>
      <c r="D689" s="29" t="s">
        <v>83</v>
      </c>
      <c r="E689" s="30">
        <v>6</v>
      </c>
      <c r="F689" s="30">
        <v>42</v>
      </c>
      <c r="G689" s="29" t="s">
        <v>66</v>
      </c>
      <c r="H689" s="29"/>
      <c r="I689" s="49"/>
      <c r="L689" s="184"/>
      <c r="M689" s="188"/>
      <c r="N689" s="29" t="s">
        <v>83</v>
      </c>
      <c r="O689" s="30">
        <v>6</v>
      </c>
      <c r="P689" s="30">
        <v>42</v>
      </c>
      <c r="Q689" s="29" t="s">
        <v>66</v>
      </c>
      <c r="R689" s="29"/>
      <c r="S689" s="49"/>
    </row>
    <row r="690" spans="2:19" x14ac:dyDescent="0.25">
      <c r="B690" s="184"/>
      <c r="C690" s="186" t="s">
        <v>84</v>
      </c>
      <c r="D690" s="29" t="s">
        <v>2</v>
      </c>
      <c r="E690" s="30">
        <v>1</v>
      </c>
      <c r="F690" s="30">
        <v>43</v>
      </c>
      <c r="G690" s="29" t="s">
        <v>66</v>
      </c>
      <c r="H690" s="29"/>
      <c r="I690" s="49"/>
      <c r="L690" s="184"/>
      <c r="M690" s="186" t="s">
        <v>84</v>
      </c>
      <c r="N690" s="29" t="s">
        <v>2</v>
      </c>
      <c r="O690" s="30">
        <v>1</v>
      </c>
      <c r="P690" s="30">
        <v>43</v>
      </c>
      <c r="Q690" s="29" t="s">
        <v>66</v>
      </c>
      <c r="R690" s="29"/>
      <c r="S690" s="49"/>
    </row>
    <row r="691" spans="2:19" x14ac:dyDescent="0.25">
      <c r="B691" s="184"/>
      <c r="C691" s="187"/>
      <c r="D691" s="29" t="s">
        <v>3</v>
      </c>
      <c r="E691" s="30">
        <v>2</v>
      </c>
      <c r="F691" s="30">
        <v>44</v>
      </c>
      <c r="G691" s="29" t="s">
        <v>66</v>
      </c>
      <c r="H691" s="29"/>
      <c r="I691" s="49"/>
      <c r="L691" s="184"/>
      <c r="M691" s="187"/>
      <c r="N691" s="29" t="s">
        <v>3</v>
      </c>
      <c r="O691" s="30">
        <v>2</v>
      </c>
      <c r="P691" s="30">
        <v>44</v>
      </c>
      <c r="Q691" s="29" t="s">
        <v>66</v>
      </c>
      <c r="R691" s="29"/>
      <c r="S691" s="49"/>
    </row>
    <row r="692" spans="2:19" x14ac:dyDescent="0.25">
      <c r="B692" s="184"/>
      <c r="C692" s="187"/>
      <c r="D692" s="29" t="s">
        <v>80</v>
      </c>
      <c r="E692" s="30">
        <v>3</v>
      </c>
      <c r="F692" s="30">
        <v>45</v>
      </c>
      <c r="G692" s="29" t="s">
        <v>66</v>
      </c>
      <c r="H692" s="29"/>
      <c r="I692" s="49"/>
      <c r="L692" s="184"/>
      <c r="M692" s="187"/>
      <c r="N692" s="29" t="s">
        <v>80</v>
      </c>
      <c r="O692" s="30">
        <v>3</v>
      </c>
      <c r="P692" s="30">
        <v>45</v>
      </c>
      <c r="Q692" s="29" t="s">
        <v>66</v>
      </c>
      <c r="R692" s="29"/>
      <c r="S692" s="49"/>
    </row>
    <row r="693" spans="2:19" x14ac:dyDescent="0.25">
      <c r="B693" s="184"/>
      <c r="C693" s="187"/>
      <c r="D693" s="29" t="s">
        <v>81</v>
      </c>
      <c r="E693" s="30">
        <v>4</v>
      </c>
      <c r="F693" s="30">
        <v>46</v>
      </c>
      <c r="G693" s="29" t="s">
        <v>66</v>
      </c>
      <c r="H693" s="29"/>
      <c r="I693" s="49"/>
      <c r="L693" s="184"/>
      <c r="M693" s="187"/>
      <c r="N693" s="29" t="s">
        <v>81</v>
      </c>
      <c r="O693" s="30">
        <v>4</v>
      </c>
      <c r="P693" s="30">
        <v>46</v>
      </c>
      <c r="Q693" s="29" t="s">
        <v>66</v>
      </c>
      <c r="R693" s="29"/>
      <c r="S693" s="49"/>
    </row>
    <row r="694" spans="2:19" x14ac:dyDescent="0.25">
      <c r="B694" s="184"/>
      <c r="C694" s="187"/>
      <c r="D694" s="29" t="s">
        <v>82</v>
      </c>
      <c r="E694" s="30">
        <v>5</v>
      </c>
      <c r="F694" s="30">
        <v>47</v>
      </c>
      <c r="G694" s="29" t="s">
        <v>66</v>
      </c>
      <c r="H694" s="29"/>
      <c r="I694" s="49"/>
      <c r="L694" s="184"/>
      <c r="M694" s="187"/>
      <c r="N694" s="29" t="s">
        <v>82</v>
      </c>
      <c r="O694" s="30">
        <v>5</v>
      </c>
      <c r="P694" s="30">
        <v>47</v>
      </c>
      <c r="Q694" s="29" t="s">
        <v>66</v>
      </c>
      <c r="R694" s="29"/>
      <c r="S694" s="49"/>
    </row>
    <row r="695" spans="2:19" ht="15.75" thickBot="1" x14ac:dyDescent="0.3">
      <c r="B695" s="185"/>
      <c r="C695" s="188"/>
      <c r="D695" s="29" t="s">
        <v>83</v>
      </c>
      <c r="E695" s="30">
        <v>6</v>
      </c>
      <c r="F695" s="30">
        <v>48</v>
      </c>
      <c r="G695" s="29" t="s">
        <v>66</v>
      </c>
      <c r="H695" s="29"/>
      <c r="I695" s="49"/>
      <c r="L695" s="185"/>
      <c r="M695" s="188"/>
      <c r="N695" s="29" t="s">
        <v>83</v>
      </c>
      <c r="O695" s="30">
        <v>6</v>
      </c>
      <c r="P695" s="30">
        <v>48</v>
      </c>
      <c r="Q695" s="29" t="s">
        <v>66</v>
      </c>
      <c r="R695" s="29"/>
      <c r="S695" s="49"/>
    </row>
    <row r="697" spans="2:19" ht="15.75" thickBot="1" x14ac:dyDescent="0.3"/>
    <row r="698" spans="2:19" ht="15.75" thickBot="1" x14ac:dyDescent="0.3">
      <c r="B698" s="171" t="s">
        <v>325</v>
      </c>
      <c r="C698" s="172"/>
      <c r="D698" s="172"/>
      <c r="E698" s="172"/>
      <c r="F698" s="172"/>
      <c r="G698" s="172"/>
      <c r="H698" s="172"/>
      <c r="I698" s="173"/>
      <c r="L698" s="171" t="s">
        <v>326</v>
      </c>
      <c r="M698" s="172"/>
      <c r="N698" s="172"/>
      <c r="O698" s="172"/>
      <c r="P698" s="172"/>
      <c r="Q698" s="172"/>
      <c r="R698" s="172"/>
      <c r="S698" s="173"/>
    </row>
    <row r="700" spans="2:19" ht="26.25" thickBot="1" x14ac:dyDescent="0.3">
      <c r="B700" s="15" t="s">
        <v>70</v>
      </c>
      <c r="C700" s="16" t="s">
        <v>71</v>
      </c>
      <c r="D700" s="15" t="s">
        <v>72</v>
      </c>
      <c r="E700" s="17" t="s">
        <v>73</v>
      </c>
      <c r="F700" s="17" t="s">
        <v>74</v>
      </c>
      <c r="G700" s="15" t="s">
        <v>75</v>
      </c>
      <c r="H700" s="15" t="s">
        <v>55</v>
      </c>
      <c r="I700" s="15" t="s">
        <v>76</v>
      </c>
      <c r="L700" s="15" t="s">
        <v>70</v>
      </c>
      <c r="M700" s="16" t="s">
        <v>71</v>
      </c>
      <c r="N700" s="15" t="s">
        <v>72</v>
      </c>
      <c r="O700" s="17" t="s">
        <v>73</v>
      </c>
      <c r="P700" s="17" t="s">
        <v>74</v>
      </c>
      <c r="Q700" s="15" t="s">
        <v>75</v>
      </c>
      <c r="R700" s="15" t="s">
        <v>55</v>
      </c>
      <c r="S700" s="15" t="s">
        <v>76</v>
      </c>
    </row>
    <row r="701" spans="2:19" x14ac:dyDescent="0.25">
      <c r="B701" s="174" t="s">
        <v>2</v>
      </c>
      <c r="C701" s="168" t="s">
        <v>77</v>
      </c>
      <c r="D701" s="18" t="s">
        <v>2</v>
      </c>
      <c r="E701" s="19">
        <v>1</v>
      </c>
      <c r="F701" s="19">
        <v>1</v>
      </c>
      <c r="G701" s="18" t="s">
        <v>66</v>
      </c>
      <c r="H701" s="32"/>
      <c r="I701" s="50"/>
      <c r="L701" s="174" t="s">
        <v>2</v>
      </c>
      <c r="M701" s="168" t="s">
        <v>77</v>
      </c>
      <c r="N701" s="18" t="s">
        <v>2</v>
      </c>
      <c r="O701" s="19">
        <v>1</v>
      </c>
      <c r="P701" s="19">
        <v>1</v>
      </c>
      <c r="Q701" s="18" t="s">
        <v>66</v>
      </c>
      <c r="R701" s="32"/>
      <c r="S701" s="50"/>
    </row>
    <row r="702" spans="2:19" x14ac:dyDescent="0.25">
      <c r="B702" s="175"/>
      <c r="C702" s="169"/>
      <c r="D702" s="18" t="s">
        <v>3</v>
      </c>
      <c r="E702" s="19">
        <v>2</v>
      </c>
      <c r="F702" s="19">
        <v>2</v>
      </c>
      <c r="G702" s="18" t="s">
        <v>66</v>
      </c>
      <c r="H702" s="32"/>
      <c r="I702" s="50"/>
      <c r="L702" s="175"/>
      <c r="M702" s="169"/>
      <c r="N702" s="18" t="s">
        <v>3</v>
      </c>
      <c r="O702" s="19">
        <v>2</v>
      </c>
      <c r="P702" s="19">
        <v>2</v>
      </c>
      <c r="Q702" s="18" t="s">
        <v>66</v>
      </c>
      <c r="R702" s="32"/>
      <c r="S702" s="50"/>
    </row>
    <row r="703" spans="2:19" x14ac:dyDescent="0.25">
      <c r="B703" s="175"/>
      <c r="C703" s="169"/>
      <c r="D703" s="18" t="s">
        <v>80</v>
      </c>
      <c r="E703" s="20">
        <v>3</v>
      </c>
      <c r="F703" s="20">
        <v>3</v>
      </c>
      <c r="G703" s="18" t="s">
        <v>66</v>
      </c>
      <c r="H703" s="32"/>
      <c r="I703" s="50"/>
      <c r="L703" s="175"/>
      <c r="M703" s="169"/>
      <c r="N703" s="18" t="s">
        <v>80</v>
      </c>
      <c r="O703" s="20">
        <v>3</v>
      </c>
      <c r="P703" s="20">
        <v>3</v>
      </c>
      <c r="Q703" s="18" t="s">
        <v>66</v>
      </c>
      <c r="R703" s="32"/>
      <c r="S703" s="50"/>
    </row>
    <row r="704" spans="2:19" x14ac:dyDescent="0.25">
      <c r="B704" s="175"/>
      <c r="C704" s="169"/>
      <c r="D704" s="18" t="s">
        <v>81</v>
      </c>
      <c r="E704" s="20">
        <v>4</v>
      </c>
      <c r="F704" s="20">
        <v>4</v>
      </c>
      <c r="G704" s="18" t="s">
        <v>66</v>
      </c>
      <c r="H704" s="32"/>
      <c r="I704" s="50"/>
      <c r="L704" s="175"/>
      <c r="M704" s="169"/>
      <c r="N704" s="18" t="s">
        <v>81</v>
      </c>
      <c r="O704" s="20">
        <v>4</v>
      </c>
      <c r="P704" s="20">
        <v>4</v>
      </c>
      <c r="Q704" s="18" t="s">
        <v>66</v>
      </c>
      <c r="R704" s="32"/>
      <c r="S704" s="50"/>
    </row>
    <row r="705" spans="2:19" x14ac:dyDescent="0.25">
      <c r="B705" s="175"/>
      <c r="C705" s="169"/>
      <c r="D705" s="18" t="s">
        <v>82</v>
      </c>
      <c r="E705" s="20">
        <v>5</v>
      </c>
      <c r="F705" s="20">
        <v>5</v>
      </c>
      <c r="G705" s="18" t="s">
        <v>66</v>
      </c>
      <c r="H705" s="32"/>
      <c r="I705" s="50"/>
      <c r="L705" s="175"/>
      <c r="M705" s="169"/>
      <c r="N705" s="18" t="s">
        <v>82</v>
      </c>
      <c r="O705" s="20">
        <v>5</v>
      </c>
      <c r="P705" s="20">
        <v>5</v>
      </c>
      <c r="Q705" s="18" t="s">
        <v>66</v>
      </c>
      <c r="R705" s="32"/>
      <c r="S705" s="50"/>
    </row>
    <row r="706" spans="2:19" ht="15.75" thickBot="1" x14ac:dyDescent="0.3">
      <c r="B706" s="175"/>
      <c r="C706" s="170"/>
      <c r="D706" s="18" t="s">
        <v>83</v>
      </c>
      <c r="E706" s="20">
        <v>6</v>
      </c>
      <c r="F706" s="20">
        <v>6</v>
      </c>
      <c r="G706" s="18" t="s">
        <v>66</v>
      </c>
      <c r="H706" s="32"/>
      <c r="I706" s="50"/>
      <c r="L706" s="175"/>
      <c r="M706" s="170"/>
      <c r="N706" s="18" t="s">
        <v>83</v>
      </c>
      <c r="O706" s="20">
        <v>6</v>
      </c>
      <c r="P706" s="20">
        <v>6</v>
      </c>
      <c r="Q706" s="18" t="s">
        <v>66</v>
      </c>
      <c r="R706" s="32"/>
      <c r="S706" s="50"/>
    </row>
    <row r="707" spans="2:19" x14ac:dyDescent="0.25">
      <c r="B707" s="175"/>
      <c r="C707" s="168" t="s">
        <v>84</v>
      </c>
      <c r="D707" s="18" t="s">
        <v>2</v>
      </c>
      <c r="E707" s="19">
        <v>1</v>
      </c>
      <c r="F707" s="19">
        <v>7</v>
      </c>
      <c r="G707" s="18" t="s">
        <v>78</v>
      </c>
      <c r="H707" s="156" t="s">
        <v>140</v>
      </c>
      <c r="I707" s="165" t="s">
        <v>187</v>
      </c>
      <c r="L707" s="175"/>
      <c r="M707" s="168" t="s">
        <v>84</v>
      </c>
      <c r="N707" s="18" t="s">
        <v>2</v>
      </c>
      <c r="O707" s="19">
        <v>1</v>
      </c>
      <c r="P707" s="19">
        <v>7</v>
      </c>
      <c r="Q707" s="18" t="s">
        <v>78</v>
      </c>
      <c r="R707" s="156" t="s">
        <v>140</v>
      </c>
      <c r="S707" s="165" t="s">
        <v>189</v>
      </c>
    </row>
    <row r="708" spans="2:19" x14ac:dyDescent="0.25">
      <c r="B708" s="175"/>
      <c r="C708" s="169"/>
      <c r="D708" s="18" t="s">
        <v>3</v>
      </c>
      <c r="E708" s="19">
        <v>2</v>
      </c>
      <c r="F708" s="19">
        <v>8</v>
      </c>
      <c r="G708" s="18" t="s">
        <v>78</v>
      </c>
      <c r="H708" s="157"/>
      <c r="I708" s="166"/>
      <c r="L708" s="175"/>
      <c r="M708" s="169"/>
      <c r="N708" s="18" t="s">
        <v>3</v>
      </c>
      <c r="O708" s="19">
        <v>2</v>
      </c>
      <c r="P708" s="19">
        <v>8</v>
      </c>
      <c r="Q708" s="18" t="s">
        <v>78</v>
      </c>
      <c r="R708" s="157"/>
      <c r="S708" s="166"/>
    </row>
    <row r="709" spans="2:19" x14ac:dyDescent="0.25">
      <c r="B709" s="175"/>
      <c r="C709" s="169"/>
      <c r="D709" s="18" t="s">
        <v>80</v>
      </c>
      <c r="E709" s="20">
        <v>3</v>
      </c>
      <c r="F709" s="20">
        <v>9</v>
      </c>
      <c r="G709" s="18" t="s">
        <v>66</v>
      </c>
      <c r="H709" s="157"/>
      <c r="I709" s="166"/>
      <c r="L709" s="175"/>
      <c r="M709" s="169"/>
      <c r="N709" s="18" t="s">
        <v>80</v>
      </c>
      <c r="O709" s="20">
        <v>3</v>
      </c>
      <c r="P709" s="20">
        <v>9</v>
      </c>
      <c r="Q709" s="18" t="s">
        <v>66</v>
      </c>
      <c r="R709" s="157"/>
      <c r="S709" s="166"/>
    </row>
    <row r="710" spans="2:19" x14ac:dyDescent="0.25">
      <c r="B710" s="175"/>
      <c r="C710" s="169"/>
      <c r="D710" s="18" t="s">
        <v>81</v>
      </c>
      <c r="E710" s="20">
        <v>4</v>
      </c>
      <c r="F710" s="20">
        <v>10</v>
      </c>
      <c r="G710" s="18" t="s">
        <v>66</v>
      </c>
      <c r="H710" s="157"/>
      <c r="I710" s="166"/>
      <c r="L710" s="175"/>
      <c r="M710" s="169"/>
      <c r="N710" s="18" t="s">
        <v>81</v>
      </c>
      <c r="O710" s="20">
        <v>4</v>
      </c>
      <c r="P710" s="20">
        <v>10</v>
      </c>
      <c r="Q710" s="18" t="s">
        <v>66</v>
      </c>
      <c r="R710" s="157"/>
      <c r="S710" s="166"/>
    </row>
    <row r="711" spans="2:19" x14ac:dyDescent="0.25">
      <c r="B711" s="175"/>
      <c r="C711" s="169"/>
      <c r="D711" s="18" t="s">
        <v>82</v>
      </c>
      <c r="E711" s="20">
        <v>5</v>
      </c>
      <c r="F711" s="20">
        <v>11</v>
      </c>
      <c r="G711" s="18" t="s">
        <v>66</v>
      </c>
      <c r="H711" s="157"/>
      <c r="I711" s="166"/>
      <c r="L711" s="175"/>
      <c r="M711" s="169"/>
      <c r="N711" s="18" t="s">
        <v>82</v>
      </c>
      <c r="O711" s="20">
        <v>5</v>
      </c>
      <c r="P711" s="20">
        <v>11</v>
      </c>
      <c r="Q711" s="18" t="s">
        <v>66</v>
      </c>
      <c r="R711" s="157"/>
      <c r="S711" s="166"/>
    </row>
    <row r="712" spans="2:19" ht="15.75" thickBot="1" x14ac:dyDescent="0.3">
      <c r="B712" s="176"/>
      <c r="C712" s="170"/>
      <c r="D712" s="18" t="s">
        <v>83</v>
      </c>
      <c r="E712" s="20">
        <v>6</v>
      </c>
      <c r="F712" s="20">
        <v>12</v>
      </c>
      <c r="G712" s="18" t="s">
        <v>66</v>
      </c>
      <c r="H712" s="158"/>
      <c r="I712" s="167"/>
      <c r="L712" s="176"/>
      <c r="M712" s="170"/>
      <c r="N712" s="18" t="s">
        <v>83</v>
      </c>
      <c r="O712" s="20">
        <v>6</v>
      </c>
      <c r="P712" s="20">
        <v>12</v>
      </c>
      <c r="Q712" s="18" t="s">
        <v>66</v>
      </c>
      <c r="R712" s="158"/>
      <c r="S712" s="167"/>
    </row>
    <row r="713" spans="2:19" x14ac:dyDescent="0.25">
      <c r="B713" s="180" t="s">
        <v>3</v>
      </c>
      <c r="C713" s="177" t="s">
        <v>77</v>
      </c>
      <c r="D713" s="21" t="s">
        <v>2</v>
      </c>
      <c r="E713" s="22">
        <v>1</v>
      </c>
      <c r="F713" s="22">
        <v>13</v>
      </c>
      <c r="G713" s="21" t="s">
        <v>66</v>
      </c>
      <c r="H713" s="21"/>
      <c r="I713" s="51"/>
      <c r="L713" s="180" t="s">
        <v>3</v>
      </c>
      <c r="M713" s="177" t="s">
        <v>77</v>
      </c>
      <c r="N713" s="21" t="s">
        <v>2</v>
      </c>
      <c r="O713" s="22">
        <v>1</v>
      </c>
      <c r="P713" s="22">
        <v>13</v>
      </c>
      <c r="Q713" s="21" t="s">
        <v>66</v>
      </c>
      <c r="R713" s="21"/>
      <c r="S713" s="51"/>
    </row>
    <row r="714" spans="2:19" x14ac:dyDescent="0.25">
      <c r="B714" s="181"/>
      <c r="C714" s="178"/>
      <c r="D714" s="23" t="s">
        <v>3</v>
      </c>
      <c r="E714" s="24">
        <v>2</v>
      </c>
      <c r="F714" s="24">
        <v>14</v>
      </c>
      <c r="G714" s="23" t="s">
        <v>66</v>
      </c>
      <c r="H714" s="23"/>
      <c r="I714" s="47"/>
      <c r="L714" s="181"/>
      <c r="M714" s="178"/>
      <c r="N714" s="23" t="s">
        <v>3</v>
      </c>
      <c r="O714" s="24">
        <v>2</v>
      </c>
      <c r="P714" s="24">
        <v>14</v>
      </c>
      <c r="Q714" s="23" t="s">
        <v>66</v>
      </c>
      <c r="R714" s="23"/>
      <c r="S714" s="47"/>
    </row>
    <row r="715" spans="2:19" x14ac:dyDescent="0.25">
      <c r="B715" s="181"/>
      <c r="C715" s="178"/>
      <c r="D715" s="23" t="s">
        <v>80</v>
      </c>
      <c r="E715" s="24">
        <v>3</v>
      </c>
      <c r="F715" s="24">
        <v>15</v>
      </c>
      <c r="G715" s="23" t="s">
        <v>66</v>
      </c>
      <c r="H715" s="23"/>
      <c r="I715" s="47"/>
      <c r="L715" s="181"/>
      <c r="M715" s="178"/>
      <c r="N715" s="23" t="s">
        <v>80</v>
      </c>
      <c r="O715" s="24">
        <v>3</v>
      </c>
      <c r="P715" s="24">
        <v>15</v>
      </c>
      <c r="Q715" s="23" t="s">
        <v>66</v>
      </c>
      <c r="R715" s="23"/>
      <c r="S715" s="47"/>
    </row>
    <row r="716" spans="2:19" x14ac:dyDescent="0.25">
      <c r="B716" s="181"/>
      <c r="C716" s="178"/>
      <c r="D716" s="23" t="s">
        <v>81</v>
      </c>
      <c r="E716" s="24">
        <v>4</v>
      </c>
      <c r="F716" s="24">
        <v>16</v>
      </c>
      <c r="G716" s="23" t="s">
        <v>66</v>
      </c>
      <c r="H716" s="23"/>
      <c r="I716" s="47"/>
      <c r="L716" s="181"/>
      <c r="M716" s="178"/>
      <c r="N716" s="23" t="s">
        <v>81</v>
      </c>
      <c r="O716" s="24">
        <v>4</v>
      </c>
      <c r="P716" s="24">
        <v>16</v>
      </c>
      <c r="Q716" s="23" t="s">
        <v>66</v>
      </c>
      <c r="R716" s="23"/>
      <c r="S716" s="47"/>
    </row>
    <row r="717" spans="2:19" x14ac:dyDescent="0.25">
      <c r="B717" s="181"/>
      <c r="C717" s="178"/>
      <c r="D717" s="23" t="s">
        <v>82</v>
      </c>
      <c r="E717" s="24">
        <v>5</v>
      </c>
      <c r="F717" s="24">
        <v>17</v>
      </c>
      <c r="G717" s="23" t="s">
        <v>66</v>
      </c>
      <c r="H717" s="23"/>
      <c r="I717" s="47"/>
      <c r="L717" s="181"/>
      <c r="M717" s="178"/>
      <c r="N717" s="23" t="s">
        <v>82</v>
      </c>
      <c r="O717" s="24">
        <v>5</v>
      </c>
      <c r="P717" s="24">
        <v>17</v>
      </c>
      <c r="Q717" s="23" t="s">
        <v>66</v>
      </c>
      <c r="R717" s="23"/>
      <c r="S717" s="47"/>
    </row>
    <row r="718" spans="2:19" ht="15.75" thickBot="1" x14ac:dyDescent="0.3">
      <c r="B718" s="181"/>
      <c r="C718" s="179"/>
      <c r="D718" s="23" t="s">
        <v>83</v>
      </c>
      <c r="E718" s="24">
        <v>6</v>
      </c>
      <c r="F718" s="24">
        <v>18</v>
      </c>
      <c r="G718" s="23" t="s">
        <v>66</v>
      </c>
      <c r="H718" s="23"/>
      <c r="I718" s="47"/>
      <c r="L718" s="181"/>
      <c r="M718" s="179"/>
      <c r="N718" s="23" t="s">
        <v>83</v>
      </c>
      <c r="O718" s="24">
        <v>6</v>
      </c>
      <c r="P718" s="24">
        <v>18</v>
      </c>
      <c r="Q718" s="23" t="s">
        <v>66</v>
      </c>
      <c r="R718" s="23"/>
      <c r="S718" s="47"/>
    </row>
    <row r="719" spans="2:19" x14ac:dyDescent="0.25">
      <c r="B719" s="181"/>
      <c r="C719" s="177" t="s">
        <v>84</v>
      </c>
      <c r="D719" s="23" t="s">
        <v>2</v>
      </c>
      <c r="E719" s="24">
        <v>1</v>
      </c>
      <c r="F719" s="24">
        <v>19</v>
      </c>
      <c r="G719" s="23" t="s">
        <v>66</v>
      </c>
      <c r="H719" s="23"/>
      <c r="I719" s="47"/>
      <c r="L719" s="181"/>
      <c r="M719" s="177" t="s">
        <v>84</v>
      </c>
      <c r="N719" s="23" t="s">
        <v>2</v>
      </c>
      <c r="O719" s="24">
        <v>1</v>
      </c>
      <c r="P719" s="24">
        <v>19</v>
      </c>
      <c r="Q719" s="23" t="s">
        <v>66</v>
      </c>
      <c r="R719" s="23"/>
      <c r="S719" s="47"/>
    </row>
    <row r="720" spans="2:19" x14ac:dyDescent="0.25">
      <c r="B720" s="181"/>
      <c r="C720" s="178"/>
      <c r="D720" s="23" t="s">
        <v>3</v>
      </c>
      <c r="E720" s="24">
        <v>2</v>
      </c>
      <c r="F720" s="24">
        <v>20</v>
      </c>
      <c r="G720" s="23" t="s">
        <v>66</v>
      </c>
      <c r="H720" s="23"/>
      <c r="I720" s="47"/>
      <c r="L720" s="181"/>
      <c r="M720" s="178"/>
      <c r="N720" s="23" t="s">
        <v>3</v>
      </c>
      <c r="O720" s="24">
        <v>2</v>
      </c>
      <c r="P720" s="24">
        <v>20</v>
      </c>
      <c r="Q720" s="23" t="s">
        <v>66</v>
      </c>
      <c r="R720" s="23"/>
      <c r="S720" s="47"/>
    </row>
    <row r="721" spans="2:19" x14ac:dyDescent="0.25">
      <c r="B721" s="181"/>
      <c r="C721" s="178"/>
      <c r="D721" s="23" t="s">
        <v>80</v>
      </c>
      <c r="E721" s="26">
        <v>3</v>
      </c>
      <c r="F721" s="24">
        <v>21</v>
      </c>
      <c r="G721" s="23" t="s">
        <v>66</v>
      </c>
      <c r="H721" s="23"/>
      <c r="I721" s="47"/>
      <c r="L721" s="181"/>
      <c r="M721" s="178"/>
      <c r="N721" s="23" t="s">
        <v>80</v>
      </c>
      <c r="O721" s="26">
        <v>3</v>
      </c>
      <c r="P721" s="24">
        <v>21</v>
      </c>
      <c r="Q721" s="23" t="s">
        <v>66</v>
      </c>
      <c r="R721" s="23"/>
      <c r="S721" s="47"/>
    </row>
    <row r="722" spans="2:19" x14ac:dyDescent="0.25">
      <c r="B722" s="181"/>
      <c r="C722" s="178"/>
      <c r="D722" s="23" t="s">
        <v>81</v>
      </c>
      <c r="E722" s="24">
        <v>4</v>
      </c>
      <c r="F722" s="24">
        <v>22</v>
      </c>
      <c r="G722" s="23" t="s">
        <v>66</v>
      </c>
      <c r="H722" s="23"/>
      <c r="I722" s="47"/>
      <c r="L722" s="181"/>
      <c r="M722" s="178"/>
      <c r="N722" s="23" t="s">
        <v>81</v>
      </c>
      <c r="O722" s="24">
        <v>4</v>
      </c>
      <c r="P722" s="24">
        <v>22</v>
      </c>
      <c r="Q722" s="23" t="s">
        <v>66</v>
      </c>
      <c r="R722" s="23"/>
      <c r="S722" s="47"/>
    </row>
    <row r="723" spans="2:19" x14ac:dyDescent="0.25">
      <c r="B723" s="181"/>
      <c r="C723" s="178"/>
      <c r="D723" s="23" t="s">
        <v>82</v>
      </c>
      <c r="E723" s="24">
        <v>5</v>
      </c>
      <c r="F723" s="24">
        <v>23</v>
      </c>
      <c r="G723" s="23" t="s">
        <v>66</v>
      </c>
      <c r="H723" s="23"/>
      <c r="I723" s="47"/>
      <c r="L723" s="181"/>
      <c r="M723" s="178"/>
      <c r="N723" s="23" t="s">
        <v>82</v>
      </c>
      <c r="O723" s="24">
        <v>5</v>
      </c>
      <c r="P723" s="24">
        <v>23</v>
      </c>
      <c r="Q723" s="23" t="s">
        <v>66</v>
      </c>
      <c r="R723" s="23"/>
      <c r="S723" s="47"/>
    </row>
    <row r="724" spans="2:19" ht="15.75" thickBot="1" x14ac:dyDescent="0.3">
      <c r="B724" s="182"/>
      <c r="C724" s="179"/>
      <c r="D724" s="23" t="s">
        <v>83</v>
      </c>
      <c r="E724" s="24">
        <v>6</v>
      </c>
      <c r="F724" s="24">
        <v>24</v>
      </c>
      <c r="G724" s="23" t="s">
        <v>66</v>
      </c>
      <c r="H724" s="23"/>
      <c r="I724" s="47"/>
      <c r="L724" s="182"/>
      <c r="M724" s="179"/>
      <c r="N724" s="23" t="s">
        <v>83</v>
      </c>
      <c r="O724" s="24">
        <v>6</v>
      </c>
      <c r="P724" s="24">
        <v>24</v>
      </c>
      <c r="Q724" s="23" t="s">
        <v>66</v>
      </c>
      <c r="R724" s="23"/>
      <c r="S724" s="47"/>
    </row>
    <row r="725" spans="2:19" x14ac:dyDescent="0.25">
      <c r="B725" s="189" t="s">
        <v>80</v>
      </c>
      <c r="C725" s="192" t="s">
        <v>77</v>
      </c>
      <c r="D725" s="27" t="s">
        <v>2</v>
      </c>
      <c r="E725" s="28">
        <v>1</v>
      </c>
      <c r="F725" s="28">
        <v>25</v>
      </c>
      <c r="G725" s="27" t="s">
        <v>66</v>
      </c>
      <c r="H725" s="27"/>
      <c r="I725" s="48"/>
      <c r="L725" s="189" t="s">
        <v>80</v>
      </c>
      <c r="M725" s="192" t="s">
        <v>77</v>
      </c>
      <c r="N725" s="27" t="s">
        <v>2</v>
      </c>
      <c r="O725" s="28">
        <v>1</v>
      </c>
      <c r="P725" s="28">
        <v>25</v>
      </c>
      <c r="Q725" s="27" t="s">
        <v>66</v>
      </c>
      <c r="R725" s="27"/>
      <c r="S725" s="48"/>
    </row>
    <row r="726" spans="2:19" x14ac:dyDescent="0.25">
      <c r="B726" s="190"/>
      <c r="C726" s="193"/>
      <c r="D726" s="27" t="s">
        <v>3</v>
      </c>
      <c r="E726" s="28">
        <v>2</v>
      </c>
      <c r="F726" s="28">
        <v>26</v>
      </c>
      <c r="G726" s="27" t="s">
        <v>66</v>
      </c>
      <c r="H726" s="27"/>
      <c r="I726" s="48"/>
      <c r="L726" s="190"/>
      <c r="M726" s="193"/>
      <c r="N726" s="27" t="s">
        <v>3</v>
      </c>
      <c r="O726" s="28">
        <v>2</v>
      </c>
      <c r="P726" s="28">
        <v>26</v>
      </c>
      <c r="Q726" s="27" t="s">
        <v>66</v>
      </c>
      <c r="R726" s="27"/>
      <c r="S726" s="48"/>
    </row>
    <row r="727" spans="2:19" x14ac:dyDescent="0.25">
      <c r="B727" s="190"/>
      <c r="C727" s="193"/>
      <c r="D727" s="27" t="s">
        <v>80</v>
      </c>
      <c r="E727" s="28">
        <v>3</v>
      </c>
      <c r="F727" s="28">
        <v>27</v>
      </c>
      <c r="G727" s="27" t="s">
        <v>66</v>
      </c>
      <c r="H727" s="27"/>
      <c r="I727" s="48"/>
      <c r="L727" s="190"/>
      <c r="M727" s="193"/>
      <c r="N727" s="27" t="s">
        <v>80</v>
      </c>
      <c r="O727" s="28">
        <v>3</v>
      </c>
      <c r="P727" s="28">
        <v>27</v>
      </c>
      <c r="Q727" s="27" t="s">
        <v>66</v>
      </c>
      <c r="R727" s="27"/>
      <c r="S727" s="48"/>
    </row>
    <row r="728" spans="2:19" x14ac:dyDescent="0.25">
      <c r="B728" s="190"/>
      <c r="C728" s="193"/>
      <c r="D728" s="27" t="s">
        <v>81</v>
      </c>
      <c r="E728" s="28">
        <v>4</v>
      </c>
      <c r="F728" s="28">
        <v>28</v>
      </c>
      <c r="G728" s="27" t="s">
        <v>66</v>
      </c>
      <c r="H728" s="27"/>
      <c r="I728" s="48"/>
      <c r="L728" s="190"/>
      <c r="M728" s="193"/>
      <c r="N728" s="27" t="s">
        <v>81</v>
      </c>
      <c r="O728" s="28">
        <v>4</v>
      </c>
      <c r="P728" s="28">
        <v>28</v>
      </c>
      <c r="Q728" s="27" t="s">
        <v>66</v>
      </c>
      <c r="R728" s="27"/>
      <c r="S728" s="48"/>
    </row>
    <row r="729" spans="2:19" x14ac:dyDescent="0.25">
      <c r="B729" s="190"/>
      <c r="C729" s="193"/>
      <c r="D729" s="27" t="s">
        <v>82</v>
      </c>
      <c r="E729" s="28">
        <v>5</v>
      </c>
      <c r="F729" s="28">
        <v>29</v>
      </c>
      <c r="G729" s="27" t="s">
        <v>66</v>
      </c>
      <c r="H729" s="27"/>
      <c r="I729" s="48"/>
      <c r="L729" s="190"/>
      <c r="M729" s="193"/>
      <c r="N729" s="27" t="s">
        <v>82</v>
      </c>
      <c r="O729" s="28">
        <v>5</v>
      </c>
      <c r="P729" s="28">
        <v>29</v>
      </c>
      <c r="Q729" s="27" t="s">
        <v>66</v>
      </c>
      <c r="R729" s="27"/>
      <c r="S729" s="48"/>
    </row>
    <row r="730" spans="2:19" ht="15.75" thickBot="1" x14ac:dyDescent="0.3">
      <c r="B730" s="190"/>
      <c r="C730" s="194"/>
      <c r="D730" s="27" t="s">
        <v>83</v>
      </c>
      <c r="E730" s="28">
        <v>6</v>
      </c>
      <c r="F730" s="28">
        <v>30</v>
      </c>
      <c r="G730" s="27" t="s">
        <v>66</v>
      </c>
      <c r="H730" s="27"/>
      <c r="I730" s="48"/>
      <c r="L730" s="190"/>
      <c r="M730" s="194"/>
      <c r="N730" s="27" t="s">
        <v>83</v>
      </c>
      <c r="O730" s="28">
        <v>6</v>
      </c>
      <c r="P730" s="28">
        <v>30</v>
      </c>
      <c r="Q730" s="27" t="s">
        <v>66</v>
      </c>
      <c r="R730" s="27"/>
      <c r="S730" s="48"/>
    </row>
    <row r="731" spans="2:19" x14ac:dyDescent="0.25">
      <c r="B731" s="190"/>
      <c r="C731" s="192" t="s">
        <v>84</v>
      </c>
      <c r="D731" s="27" t="s">
        <v>2</v>
      </c>
      <c r="E731" s="28">
        <v>1</v>
      </c>
      <c r="F731" s="28">
        <v>31</v>
      </c>
      <c r="G731" s="27" t="s">
        <v>66</v>
      </c>
      <c r="H731" s="27"/>
      <c r="I731" s="48"/>
      <c r="L731" s="190"/>
      <c r="M731" s="192" t="s">
        <v>84</v>
      </c>
      <c r="N731" s="27" t="s">
        <v>2</v>
      </c>
      <c r="O731" s="28">
        <v>1</v>
      </c>
      <c r="P731" s="28">
        <v>31</v>
      </c>
      <c r="Q731" s="27" t="s">
        <v>66</v>
      </c>
      <c r="R731" s="27"/>
      <c r="S731" s="48"/>
    </row>
    <row r="732" spans="2:19" x14ac:dyDescent="0.25">
      <c r="B732" s="190"/>
      <c r="C732" s="193"/>
      <c r="D732" s="27" t="s">
        <v>3</v>
      </c>
      <c r="E732" s="28">
        <v>2</v>
      </c>
      <c r="F732" s="28">
        <v>32</v>
      </c>
      <c r="G732" s="27" t="s">
        <v>66</v>
      </c>
      <c r="H732" s="27"/>
      <c r="I732" s="48"/>
      <c r="L732" s="190"/>
      <c r="M732" s="193"/>
      <c r="N732" s="27" t="s">
        <v>3</v>
      </c>
      <c r="O732" s="28">
        <v>2</v>
      </c>
      <c r="P732" s="28">
        <v>32</v>
      </c>
      <c r="Q732" s="27" t="s">
        <v>66</v>
      </c>
      <c r="R732" s="27"/>
      <c r="S732" s="48"/>
    </row>
    <row r="733" spans="2:19" x14ac:dyDescent="0.25">
      <c r="B733" s="190"/>
      <c r="C733" s="193"/>
      <c r="D733" s="27" t="s">
        <v>80</v>
      </c>
      <c r="E733" s="28">
        <v>3</v>
      </c>
      <c r="F733" s="28">
        <v>33</v>
      </c>
      <c r="G733" s="27" t="s">
        <v>66</v>
      </c>
      <c r="H733" s="27"/>
      <c r="I733" s="48"/>
      <c r="L733" s="190"/>
      <c r="M733" s="193"/>
      <c r="N733" s="27" t="s">
        <v>80</v>
      </c>
      <c r="O733" s="28">
        <v>3</v>
      </c>
      <c r="P733" s="28">
        <v>33</v>
      </c>
      <c r="Q733" s="27" t="s">
        <v>66</v>
      </c>
      <c r="R733" s="27"/>
      <c r="S733" s="48"/>
    </row>
    <row r="734" spans="2:19" x14ac:dyDescent="0.25">
      <c r="B734" s="190"/>
      <c r="C734" s="193"/>
      <c r="D734" s="27" t="s">
        <v>81</v>
      </c>
      <c r="E734" s="28">
        <v>4</v>
      </c>
      <c r="F734" s="28">
        <v>34</v>
      </c>
      <c r="G734" s="27" t="s">
        <v>66</v>
      </c>
      <c r="H734" s="27"/>
      <c r="I734" s="48"/>
      <c r="L734" s="190"/>
      <c r="M734" s="193"/>
      <c r="N734" s="27" t="s">
        <v>81</v>
      </c>
      <c r="O734" s="28">
        <v>4</v>
      </c>
      <c r="P734" s="28">
        <v>34</v>
      </c>
      <c r="Q734" s="27" t="s">
        <v>66</v>
      </c>
      <c r="R734" s="27"/>
      <c r="S734" s="48"/>
    </row>
    <row r="735" spans="2:19" x14ac:dyDescent="0.25">
      <c r="B735" s="190"/>
      <c r="C735" s="193"/>
      <c r="D735" s="27" t="s">
        <v>82</v>
      </c>
      <c r="E735" s="28">
        <v>5</v>
      </c>
      <c r="F735" s="28">
        <v>35</v>
      </c>
      <c r="G735" s="27" t="s">
        <v>66</v>
      </c>
      <c r="H735" s="27"/>
      <c r="I735" s="48"/>
      <c r="L735" s="190"/>
      <c r="M735" s="193"/>
      <c r="N735" s="27" t="s">
        <v>82</v>
      </c>
      <c r="O735" s="28">
        <v>5</v>
      </c>
      <c r="P735" s="28">
        <v>35</v>
      </c>
      <c r="Q735" s="27" t="s">
        <v>66</v>
      </c>
      <c r="R735" s="27"/>
      <c r="S735" s="48"/>
    </row>
    <row r="736" spans="2:19" ht="15.75" thickBot="1" x14ac:dyDescent="0.3">
      <c r="B736" s="191"/>
      <c r="C736" s="194"/>
      <c r="D736" s="27" t="s">
        <v>83</v>
      </c>
      <c r="E736" s="28">
        <v>6</v>
      </c>
      <c r="F736" s="28">
        <v>36</v>
      </c>
      <c r="G736" s="27" t="s">
        <v>66</v>
      </c>
      <c r="H736" s="27"/>
      <c r="I736" s="48"/>
      <c r="L736" s="191"/>
      <c r="M736" s="194"/>
      <c r="N736" s="27" t="s">
        <v>83</v>
      </c>
      <c r="O736" s="28">
        <v>6</v>
      </c>
      <c r="P736" s="28">
        <v>36</v>
      </c>
      <c r="Q736" s="27" t="s">
        <v>66</v>
      </c>
      <c r="R736" s="27"/>
      <c r="S736" s="48"/>
    </row>
    <row r="737" spans="2:19" x14ac:dyDescent="0.25">
      <c r="B737" s="183" t="s">
        <v>81</v>
      </c>
      <c r="C737" s="186" t="s">
        <v>77</v>
      </c>
      <c r="D737" s="29" t="s">
        <v>2</v>
      </c>
      <c r="E737" s="30">
        <v>1</v>
      </c>
      <c r="F737" s="30">
        <v>37</v>
      </c>
      <c r="G737" s="29" t="s">
        <v>66</v>
      </c>
      <c r="H737" s="29"/>
      <c r="I737" s="49"/>
      <c r="L737" s="183" t="s">
        <v>81</v>
      </c>
      <c r="M737" s="186" t="s">
        <v>77</v>
      </c>
      <c r="N737" s="29" t="s">
        <v>2</v>
      </c>
      <c r="O737" s="30">
        <v>1</v>
      </c>
      <c r="P737" s="30">
        <v>37</v>
      </c>
      <c r="Q737" s="29" t="s">
        <v>66</v>
      </c>
      <c r="R737" s="29"/>
      <c r="S737" s="49"/>
    </row>
    <row r="738" spans="2:19" x14ac:dyDescent="0.25">
      <c r="B738" s="184"/>
      <c r="C738" s="187"/>
      <c r="D738" s="29" t="s">
        <v>3</v>
      </c>
      <c r="E738" s="30">
        <v>2</v>
      </c>
      <c r="F738" s="30">
        <v>38</v>
      </c>
      <c r="G738" s="29" t="s">
        <v>66</v>
      </c>
      <c r="H738" s="29"/>
      <c r="I738" s="49"/>
      <c r="L738" s="184"/>
      <c r="M738" s="187"/>
      <c r="N738" s="29" t="s">
        <v>3</v>
      </c>
      <c r="O738" s="30">
        <v>2</v>
      </c>
      <c r="P738" s="30">
        <v>38</v>
      </c>
      <c r="Q738" s="29" t="s">
        <v>66</v>
      </c>
      <c r="R738" s="29"/>
      <c r="S738" s="49"/>
    </row>
    <row r="739" spans="2:19" x14ac:dyDescent="0.25">
      <c r="B739" s="184"/>
      <c r="C739" s="187"/>
      <c r="D739" s="29" t="s">
        <v>80</v>
      </c>
      <c r="E739" s="30">
        <v>3</v>
      </c>
      <c r="F739" s="30">
        <v>39</v>
      </c>
      <c r="G739" s="29" t="s">
        <v>66</v>
      </c>
      <c r="H739" s="29"/>
      <c r="I739" s="49"/>
      <c r="L739" s="184"/>
      <c r="M739" s="187"/>
      <c r="N739" s="29" t="s">
        <v>80</v>
      </c>
      <c r="O739" s="30">
        <v>3</v>
      </c>
      <c r="P739" s="30">
        <v>39</v>
      </c>
      <c r="Q739" s="29" t="s">
        <v>66</v>
      </c>
      <c r="R739" s="29"/>
      <c r="S739" s="49"/>
    </row>
    <row r="740" spans="2:19" x14ac:dyDescent="0.25">
      <c r="B740" s="184"/>
      <c r="C740" s="187"/>
      <c r="D740" s="29" t="s">
        <v>81</v>
      </c>
      <c r="E740" s="30">
        <v>4</v>
      </c>
      <c r="F740" s="30">
        <v>40</v>
      </c>
      <c r="G740" s="29" t="s">
        <v>66</v>
      </c>
      <c r="H740" s="29"/>
      <c r="I740" s="49"/>
      <c r="L740" s="184"/>
      <c r="M740" s="187"/>
      <c r="N740" s="29" t="s">
        <v>81</v>
      </c>
      <c r="O740" s="30">
        <v>4</v>
      </c>
      <c r="P740" s="30">
        <v>40</v>
      </c>
      <c r="Q740" s="29" t="s">
        <v>66</v>
      </c>
      <c r="R740" s="29"/>
      <c r="S740" s="49"/>
    </row>
    <row r="741" spans="2:19" x14ac:dyDescent="0.25">
      <c r="B741" s="184"/>
      <c r="C741" s="187"/>
      <c r="D741" s="29" t="s">
        <v>82</v>
      </c>
      <c r="E741" s="30">
        <v>5</v>
      </c>
      <c r="F741" s="30">
        <v>41</v>
      </c>
      <c r="G741" s="29" t="s">
        <v>66</v>
      </c>
      <c r="H741" s="29"/>
      <c r="I741" s="49"/>
      <c r="L741" s="184"/>
      <c r="M741" s="187"/>
      <c r="N741" s="29" t="s">
        <v>82</v>
      </c>
      <c r="O741" s="30">
        <v>5</v>
      </c>
      <c r="P741" s="30">
        <v>41</v>
      </c>
      <c r="Q741" s="29" t="s">
        <v>66</v>
      </c>
      <c r="R741" s="29"/>
      <c r="S741" s="49"/>
    </row>
    <row r="742" spans="2:19" ht="15.75" thickBot="1" x14ac:dyDescent="0.3">
      <c r="B742" s="184"/>
      <c r="C742" s="188"/>
      <c r="D742" s="29" t="s">
        <v>83</v>
      </c>
      <c r="E742" s="30">
        <v>6</v>
      </c>
      <c r="F742" s="30">
        <v>42</v>
      </c>
      <c r="G742" s="29" t="s">
        <v>66</v>
      </c>
      <c r="H742" s="29"/>
      <c r="I742" s="49"/>
      <c r="L742" s="184"/>
      <c r="M742" s="188"/>
      <c r="N742" s="29" t="s">
        <v>83</v>
      </c>
      <c r="O742" s="30">
        <v>6</v>
      </c>
      <c r="P742" s="30">
        <v>42</v>
      </c>
      <c r="Q742" s="29" t="s">
        <v>66</v>
      </c>
      <c r="R742" s="29"/>
      <c r="S742" s="49"/>
    </row>
    <row r="743" spans="2:19" x14ac:dyDescent="0.25">
      <c r="B743" s="184"/>
      <c r="C743" s="186" t="s">
        <v>84</v>
      </c>
      <c r="D743" s="29" t="s">
        <v>2</v>
      </c>
      <c r="E743" s="30">
        <v>1</v>
      </c>
      <c r="F743" s="30">
        <v>43</v>
      </c>
      <c r="G743" s="29" t="s">
        <v>66</v>
      </c>
      <c r="H743" s="29"/>
      <c r="I743" s="49"/>
      <c r="L743" s="184"/>
      <c r="M743" s="186" t="s">
        <v>84</v>
      </c>
      <c r="N743" s="29" t="s">
        <v>2</v>
      </c>
      <c r="O743" s="30">
        <v>1</v>
      </c>
      <c r="P743" s="30">
        <v>43</v>
      </c>
      <c r="Q743" s="29" t="s">
        <v>66</v>
      </c>
      <c r="R743" s="29"/>
      <c r="S743" s="49"/>
    </row>
    <row r="744" spans="2:19" x14ac:dyDescent="0.25">
      <c r="B744" s="184"/>
      <c r="C744" s="187"/>
      <c r="D744" s="29" t="s">
        <v>3</v>
      </c>
      <c r="E744" s="30">
        <v>2</v>
      </c>
      <c r="F744" s="30">
        <v>44</v>
      </c>
      <c r="G744" s="29" t="s">
        <v>66</v>
      </c>
      <c r="H744" s="29"/>
      <c r="I744" s="49"/>
      <c r="L744" s="184"/>
      <c r="M744" s="187"/>
      <c r="N744" s="29" t="s">
        <v>3</v>
      </c>
      <c r="O744" s="30">
        <v>2</v>
      </c>
      <c r="P744" s="30">
        <v>44</v>
      </c>
      <c r="Q744" s="29" t="s">
        <v>66</v>
      </c>
      <c r="R744" s="29"/>
      <c r="S744" s="49"/>
    </row>
    <row r="745" spans="2:19" x14ac:dyDescent="0.25">
      <c r="B745" s="184"/>
      <c r="C745" s="187"/>
      <c r="D745" s="29" t="s">
        <v>80</v>
      </c>
      <c r="E745" s="30">
        <v>3</v>
      </c>
      <c r="F745" s="30">
        <v>45</v>
      </c>
      <c r="G745" s="29" t="s">
        <v>66</v>
      </c>
      <c r="H745" s="29"/>
      <c r="I745" s="49"/>
      <c r="L745" s="184"/>
      <c r="M745" s="187"/>
      <c r="N745" s="29" t="s">
        <v>80</v>
      </c>
      <c r="O745" s="30">
        <v>3</v>
      </c>
      <c r="P745" s="30">
        <v>45</v>
      </c>
      <c r="Q745" s="29" t="s">
        <v>66</v>
      </c>
      <c r="R745" s="29"/>
      <c r="S745" s="49"/>
    </row>
    <row r="746" spans="2:19" x14ac:dyDescent="0.25">
      <c r="B746" s="184"/>
      <c r="C746" s="187"/>
      <c r="D746" s="29" t="s">
        <v>81</v>
      </c>
      <c r="E746" s="30">
        <v>4</v>
      </c>
      <c r="F746" s="30">
        <v>46</v>
      </c>
      <c r="G746" s="29" t="s">
        <v>66</v>
      </c>
      <c r="H746" s="29"/>
      <c r="I746" s="49"/>
      <c r="L746" s="184"/>
      <c r="M746" s="187"/>
      <c r="N746" s="29" t="s">
        <v>81</v>
      </c>
      <c r="O746" s="30">
        <v>4</v>
      </c>
      <c r="P746" s="30">
        <v>46</v>
      </c>
      <c r="Q746" s="29" t="s">
        <v>66</v>
      </c>
      <c r="R746" s="29"/>
      <c r="S746" s="49"/>
    </row>
    <row r="747" spans="2:19" x14ac:dyDescent="0.25">
      <c r="B747" s="184"/>
      <c r="C747" s="187"/>
      <c r="D747" s="29" t="s">
        <v>82</v>
      </c>
      <c r="E747" s="30">
        <v>5</v>
      </c>
      <c r="F747" s="30">
        <v>47</v>
      </c>
      <c r="G747" s="29" t="s">
        <v>66</v>
      </c>
      <c r="H747" s="29"/>
      <c r="I747" s="49"/>
      <c r="L747" s="184"/>
      <c r="M747" s="187"/>
      <c r="N747" s="29" t="s">
        <v>82</v>
      </c>
      <c r="O747" s="30">
        <v>5</v>
      </c>
      <c r="P747" s="30">
        <v>47</v>
      </c>
      <c r="Q747" s="29" t="s">
        <v>66</v>
      </c>
      <c r="R747" s="29"/>
      <c r="S747" s="49"/>
    </row>
    <row r="748" spans="2:19" ht="15.75" thickBot="1" x14ac:dyDescent="0.3">
      <c r="B748" s="185"/>
      <c r="C748" s="188"/>
      <c r="D748" s="29" t="s">
        <v>83</v>
      </c>
      <c r="E748" s="30">
        <v>6</v>
      </c>
      <c r="F748" s="30">
        <v>48</v>
      </c>
      <c r="G748" s="29" t="s">
        <v>66</v>
      </c>
      <c r="H748" s="29"/>
      <c r="I748" s="49"/>
      <c r="L748" s="185"/>
      <c r="M748" s="188"/>
      <c r="N748" s="29" t="s">
        <v>83</v>
      </c>
      <c r="O748" s="30">
        <v>6</v>
      </c>
      <c r="P748" s="30">
        <v>48</v>
      </c>
      <c r="Q748" s="29" t="s">
        <v>66</v>
      </c>
      <c r="R748" s="29"/>
      <c r="S748" s="49"/>
    </row>
    <row r="750" spans="2:19" ht="15.75" thickBot="1" x14ac:dyDescent="0.3"/>
    <row r="751" spans="2:19" ht="15.75" thickBot="1" x14ac:dyDescent="0.3">
      <c r="B751" s="171" t="s">
        <v>327</v>
      </c>
      <c r="C751" s="172"/>
      <c r="D751" s="172"/>
      <c r="E751" s="172"/>
      <c r="F751" s="172"/>
      <c r="G751" s="172"/>
      <c r="H751" s="172"/>
      <c r="I751" s="173"/>
      <c r="L751" s="171" t="s">
        <v>328</v>
      </c>
      <c r="M751" s="172"/>
      <c r="N751" s="172"/>
      <c r="O751" s="172"/>
      <c r="P751" s="172"/>
      <c r="Q751" s="172"/>
      <c r="R751" s="172"/>
      <c r="S751" s="173"/>
    </row>
    <row r="753" spans="2:19" ht="26.25" thickBot="1" x14ac:dyDescent="0.3">
      <c r="B753" s="15" t="s">
        <v>70</v>
      </c>
      <c r="C753" s="16" t="s">
        <v>71</v>
      </c>
      <c r="D753" s="15" t="s">
        <v>72</v>
      </c>
      <c r="E753" s="17" t="s">
        <v>73</v>
      </c>
      <c r="F753" s="17" t="s">
        <v>74</v>
      </c>
      <c r="G753" s="15" t="s">
        <v>75</v>
      </c>
      <c r="H753" s="15" t="s">
        <v>55</v>
      </c>
      <c r="I753" s="15" t="s">
        <v>76</v>
      </c>
      <c r="L753" s="15" t="s">
        <v>70</v>
      </c>
      <c r="M753" s="16" t="s">
        <v>71</v>
      </c>
      <c r="N753" s="15" t="s">
        <v>72</v>
      </c>
      <c r="O753" s="17" t="s">
        <v>73</v>
      </c>
      <c r="P753" s="17" t="s">
        <v>74</v>
      </c>
      <c r="Q753" s="15" t="s">
        <v>75</v>
      </c>
      <c r="R753" s="15" t="s">
        <v>55</v>
      </c>
      <c r="S753" s="15" t="s">
        <v>76</v>
      </c>
    </row>
    <row r="754" spans="2:19" ht="15" customHeight="1" x14ac:dyDescent="0.25">
      <c r="B754" s="174" t="s">
        <v>2</v>
      </c>
      <c r="C754" s="168" t="s">
        <v>77</v>
      </c>
      <c r="D754" s="18" t="s">
        <v>2</v>
      </c>
      <c r="E754" s="19">
        <v>1</v>
      </c>
      <c r="F754" s="19">
        <v>1</v>
      </c>
      <c r="G754" s="18" t="s">
        <v>66</v>
      </c>
      <c r="H754" s="32"/>
      <c r="I754" s="50"/>
      <c r="L754" s="174" t="s">
        <v>2</v>
      </c>
      <c r="M754" s="168" t="s">
        <v>77</v>
      </c>
      <c r="N754" s="18" t="s">
        <v>2</v>
      </c>
      <c r="O754" s="19">
        <v>1</v>
      </c>
      <c r="P754" s="19">
        <v>1</v>
      </c>
      <c r="Q754" s="18" t="s">
        <v>66</v>
      </c>
      <c r="R754" s="32"/>
      <c r="S754" s="33"/>
    </row>
    <row r="755" spans="2:19" x14ac:dyDescent="0.25">
      <c r="B755" s="175"/>
      <c r="C755" s="169"/>
      <c r="D755" s="18" t="s">
        <v>3</v>
      </c>
      <c r="E755" s="19">
        <v>2</v>
      </c>
      <c r="F755" s="19">
        <v>2</v>
      </c>
      <c r="G755" s="18" t="s">
        <v>66</v>
      </c>
      <c r="H755" s="32"/>
      <c r="I755" s="50"/>
      <c r="L755" s="175"/>
      <c r="M755" s="169"/>
      <c r="N755" s="18" t="s">
        <v>3</v>
      </c>
      <c r="O755" s="19">
        <v>2</v>
      </c>
      <c r="P755" s="19">
        <v>2</v>
      </c>
      <c r="Q755" s="18" t="s">
        <v>66</v>
      </c>
      <c r="R755" s="32"/>
      <c r="S755" s="33"/>
    </row>
    <row r="756" spans="2:19" x14ac:dyDescent="0.25">
      <c r="B756" s="175"/>
      <c r="C756" s="169"/>
      <c r="D756" s="18" t="s">
        <v>80</v>
      </c>
      <c r="E756" s="20">
        <v>3</v>
      </c>
      <c r="F756" s="20">
        <v>3</v>
      </c>
      <c r="G756" s="18" t="s">
        <v>66</v>
      </c>
      <c r="H756" s="32"/>
      <c r="I756" s="50"/>
      <c r="L756" s="175"/>
      <c r="M756" s="169"/>
      <c r="N756" s="18" t="s">
        <v>80</v>
      </c>
      <c r="O756" s="20">
        <v>3</v>
      </c>
      <c r="P756" s="20">
        <v>3</v>
      </c>
      <c r="Q756" s="18" t="s">
        <v>66</v>
      </c>
      <c r="R756" s="32"/>
      <c r="S756" s="33"/>
    </row>
    <row r="757" spans="2:19" x14ac:dyDescent="0.25">
      <c r="B757" s="175"/>
      <c r="C757" s="169"/>
      <c r="D757" s="18" t="s">
        <v>81</v>
      </c>
      <c r="E757" s="20">
        <v>4</v>
      </c>
      <c r="F757" s="20">
        <v>4</v>
      </c>
      <c r="G757" s="18" t="s">
        <v>66</v>
      </c>
      <c r="H757" s="32"/>
      <c r="I757" s="50"/>
      <c r="L757" s="175"/>
      <c r="M757" s="169"/>
      <c r="N757" s="18" t="s">
        <v>81</v>
      </c>
      <c r="O757" s="20">
        <v>4</v>
      </c>
      <c r="P757" s="20">
        <v>4</v>
      </c>
      <c r="Q757" s="18" t="s">
        <v>66</v>
      </c>
      <c r="R757" s="32"/>
      <c r="S757" s="33"/>
    </row>
    <row r="758" spans="2:19" x14ac:dyDescent="0.25">
      <c r="B758" s="175"/>
      <c r="C758" s="169"/>
      <c r="D758" s="18" t="s">
        <v>82</v>
      </c>
      <c r="E758" s="20">
        <v>5</v>
      </c>
      <c r="F758" s="20">
        <v>5</v>
      </c>
      <c r="G758" s="18" t="s">
        <v>66</v>
      </c>
      <c r="H758" s="32"/>
      <c r="I758" s="50"/>
      <c r="L758" s="175"/>
      <c r="M758" s="169"/>
      <c r="N758" s="18" t="s">
        <v>82</v>
      </c>
      <c r="O758" s="20">
        <v>5</v>
      </c>
      <c r="P758" s="20">
        <v>5</v>
      </c>
      <c r="Q758" s="18" t="s">
        <v>66</v>
      </c>
      <c r="R758" s="32"/>
      <c r="S758" s="33"/>
    </row>
    <row r="759" spans="2:19" ht="15.75" thickBot="1" x14ac:dyDescent="0.3">
      <c r="B759" s="175"/>
      <c r="C759" s="170"/>
      <c r="D759" s="18" t="s">
        <v>83</v>
      </c>
      <c r="E759" s="20">
        <v>6</v>
      </c>
      <c r="F759" s="20">
        <v>6</v>
      </c>
      <c r="G759" s="18" t="s">
        <v>66</v>
      </c>
      <c r="H759" s="32"/>
      <c r="I759" s="50"/>
      <c r="L759" s="175"/>
      <c r="M759" s="170"/>
      <c r="N759" s="18" t="s">
        <v>83</v>
      </c>
      <c r="O759" s="20">
        <v>6</v>
      </c>
      <c r="P759" s="20">
        <v>6</v>
      </c>
      <c r="Q759" s="18" t="s">
        <v>66</v>
      </c>
      <c r="R759" s="32"/>
      <c r="S759" s="33"/>
    </row>
    <row r="760" spans="2:19" x14ac:dyDescent="0.25">
      <c r="B760" s="175"/>
      <c r="C760" s="168" t="s">
        <v>84</v>
      </c>
      <c r="D760" s="18" t="s">
        <v>2</v>
      </c>
      <c r="E760" s="19">
        <v>1</v>
      </c>
      <c r="F760" s="19">
        <v>7</v>
      </c>
      <c r="G760" s="18" t="s">
        <v>78</v>
      </c>
      <c r="H760" s="156" t="s">
        <v>140</v>
      </c>
      <c r="I760" s="165" t="s">
        <v>188</v>
      </c>
      <c r="L760" s="175"/>
      <c r="M760" s="168" t="s">
        <v>84</v>
      </c>
      <c r="N760" s="18" t="s">
        <v>2</v>
      </c>
      <c r="O760" s="19">
        <v>1</v>
      </c>
      <c r="P760" s="19">
        <v>7</v>
      </c>
      <c r="Q760" s="18" t="s">
        <v>78</v>
      </c>
      <c r="R760" s="156" t="s">
        <v>140</v>
      </c>
      <c r="S760" s="195" t="s">
        <v>190</v>
      </c>
    </row>
    <row r="761" spans="2:19" x14ac:dyDescent="0.25">
      <c r="B761" s="175"/>
      <c r="C761" s="169"/>
      <c r="D761" s="18" t="s">
        <v>3</v>
      </c>
      <c r="E761" s="19">
        <v>2</v>
      </c>
      <c r="F761" s="19">
        <v>8</v>
      </c>
      <c r="G761" s="18" t="s">
        <v>78</v>
      </c>
      <c r="H761" s="157"/>
      <c r="I761" s="166"/>
      <c r="L761" s="175"/>
      <c r="M761" s="169"/>
      <c r="N761" s="18" t="s">
        <v>3</v>
      </c>
      <c r="O761" s="19">
        <v>2</v>
      </c>
      <c r="P761" s="19">
        <v>8</v>
      </c>
      <c r="Q761" s="18" t="s">
        <v>78</v>
      </c>
      <c r="R761" s="157"/>
      <c r="S761" s="196"/>
    </row>
    <row r="762" spans="2:19" x14ac:dyDescent="0.25">
      <c r="B762" s="175"/>
      <c r="C762" s="169"/>
      <c r="D762" s="18" t="s">
        <v>80</v>
      </c>
      <c r="E762" s="20">
        <v>3</v>
      </c>
      <c r="F762" s="20">
        <v>9</v>
      </c>
      <c r="G762" s="18" t="s">
        <v>66</v>
      </c>
      <c r="H762" s="157"/>
      <c r="I762" s="166"/>
      <c r="L762" s="175"/>
      <c r="M762" s="169"/>
      <c r="N762" s="18" t="s">
        <v>80</v>
      </c>
      <c r="O762" s="20">
        <v>3</v>
      </c>
      <c r="P762" s="20">
        <v>9</v>
      </c>
      <c r="Q762" s="18" t="s">
        <v>66</v>
      </c>
      <c r="R762" s="157"/>
      <c r="S762" s="196"/>
    </row>
    <row r="763" spans="2:19" x14ac:dyDescent="0.25">
      <c r="B763" s="175"/>
      <c r="C763" s="169"/>
      <c r="D763" s="18" t="s">
        <v>81</v>
      </c>
      <c r="E763" s="20">
        <v>4</v>
      </c>
      <c r="F763" s="20">
        <v>10</v>
      </c>
      <c r="G763" s="18" t="s">
        <v>66</v>
      </c>
      <c r="H763" s="157"/>
      <c r="I763" s="166"/>
      <c r="L763" s="175"/>
      <c r="M763" s="169"/>
      <c r="N763" s="18" t="s">
        <v>81</v>
      </c>
      <c r="O763" s="20">
        <v>4</v>
      </c>
      <c r="P763" s="20">
        <v>10</v>
      </c>
      <c r="Q763" s="18" t="s">
        <v>66</v>
      </c>
      <c r="R763" s="157"/>
      <c r="S763" s="196"/>
    </row>
    <row r="764" spans="2:19" x14ac:dyDescent="0.25">
      <c r="B764" s="175"/>
      <c r="C764" s="169"/>
      <c r="D764" s="18" t="s">
        <v>82</v>
      </c>
      <c r="E764" s="20">
        <v>5</v>
      </c>
      <c r="F764" s="20">
        <v>11</v>
      </c>
      <c r="G764" s="18" t="s">
        <v>66</v>
      </c>
      <c r="H764" s="157"/>
      <c r="I764" s="166"/>
      <c r="L764" s="175"/>
      <c r="M764" s="169"/>
      <c r="N764" s="18" t="s">
        <v>82</v>
      </c>
      <c r="O764" s="20">
        <v>5</v>
      </c>
      <c r="P764" s="20">
        <v>11</v>
      </c>
      <c r="Q764" s="18" t="s">
        <v>66</v>
      </c>
      <c r="R764" s="157"/>
      <c r="S764" s="196"/>
    </row>
    <row r="765" spans="2:19" ht="15.75" thickBot="1" x14ac:dyDescent="0.3">
      <c r="B765" s="176"/>
      <c r="C765" s="170"/>
      <c r="D765" s="18" t="s">
        <v>83</v>
      </c>
      <c r="E765" s="20">
        <v>6</v>
      </c>
      <c r="F765" s="20">
        <v>12</v>
      </c>
      <c r="G765" s="18" t="s">
        <v>66</v>
      </c>
      <c r="H765" s="158"/>
      <c r="I765" s="167"/>
      <c r="L765" s="176"/>
      <c r="M765" s="170"/>
      <c r="N765" s="18" t="s">
        <v>83</v>
      </c>
      <c r="O765" s="20">
        <v>6</v>
      </c>
      <c r="P765" s="20">
        <v>12</v>
      </c>
      <c r="Q765" s="18" t="s">
        <v>66</v>
      </c>
      <c r="R765" s="158"/>
      <c r="S765" s="197"/>
    </row>
    <row r="766" spans="2:19" ht="15" customHeight="1" x14ac:dyDescent="0.25">
      <c r="B766" s="180" t="s">
        <v>3</v>
      </c>
      <c r="C766" s="177" t="s">
        <v>77</v>
      </c>
      <c r="D766" s="21" t="s">
        <v>2</v>
      </c>
      <c r="E766" s="22">
        <v>1</v>
      </c>
      <c r="F766" s="22">
        <v>13</v>
      </c>
      <c r="G766" s="21" t="s">
        <v>66</v>
      </c>
      <c r="H766" s="21"/>
      <c r="I766" s="51"/>
      <c r="L766" s="180" t="s">
        <v>3</v>
      </c>
      <c r="M766" s="177" t="s">
        <v>77</v>
      </c>
      <c r="N766" s="21" t="s">
        <v>2</v>
      </c>
      <c r="O766" s="22">
        <v>1</v>
      </c>
      <c r="P766" s="22">
        <v>13</v>
      </c>
      <c r="Q766" s="21" t="s">
        <v>66</v>
      </c>
      <c r="R766" s="21"/>
      <c r="S766" s="34"/>
    </row>
    <row r="767" spans="2:19" x14ac:dyDescent="0.25">
      <c r="B767" s="181"/>
      <c r="C767" s="178"/>
      <c r="D767" s="23" t="s">
        <v>3</v>
      </c>
      <c r="E767" s="24">
        <v>2</v>
      </c>
      <c r="F767" s="24">
        <v>14</v>
      </c>
      <c r="G767" s="23" t="s">
        <v>66</v>
      </c>
      <c r="H767" s="23"/>
      <c r="I767" s="47"/>
      <c r="L767" s="181"/>
      <c r="M767" s="178"/>
      <c r="N767" s="23" t="s">
        <v>3</v>
      </c>
      <c r="O767" s="24">
        <v>2</v>
      </c>
      <c r="P767" s="24">
        <v>14</v>
      </c>
      <c r="Q767" s="23" t="s">
        <v>66</v>
      </c>
      <c r="R767" s="23"/>
      <c r="S767" s="25"/>
    </row>
    <row r="768" spans="2:19" x14ac:dyDescent="0.25">
      <c r="B768" s="181"/>
      <c r="C768" s="178"/>
      <c r="D768" s="23" t="s">
        <v>80</v>
      </c>
      <c r="E768" s="24">
        <v>3</v>
      </c>
      <c r="F768" s="24">
        <v>15</v>
      </c>
      <c r="G768" s="23" t="s">
        <v>66</v>
      </c>
      <c r="H768" s="23"/>
      <c r="I768" s="47"/>
      <c r="L768" s="181"/>
      <c r="M768" s="178"/>
      <c r="N768" s="23" t="s">
        <v>80</v>
      </c>
      <c r="O768" s="24">
        <v>3</v>
      </c>
      <c r="P768" s="24">
        <v>15</v>
      </c>
      <c r="Q768" s="23" t="s">
        <v>66</v>
      </c>
      <c r="R768" s="23"/>
      <c r="S768" s="25"/>
    </row>
    <row r="769" spans="2:19" x14ac:dyDescent="0.25">
      <c r="B769" s="181"/>
      <c r="C769" s="178"/>
      <c r="D769" s="23" t="s">
        <v>81</v>
      </c>
      <c r="E769" s="24">
        <v>4</v>
      </c>
      <c r="F769" s="24">
        <v>16</v>
      </c>
      <c r="G769" s="23" t="s">
        <v>66</v>
      </c>
      <c r="H769" s="23"/>
      <c r="I769" s="47"/>
      <c r="L769" s="181"/>
      <c r="M769" s="178"/>
      <c r="N769" s="23" t="s">
        <v>81</v>
      </c>
      <c r="O769" s="24">
        <v>4</v>
      </c>
      <c r="P769" s="24">
        <v>16</v>
      </c>
      <c r="Q769" s="23" t="s">
        <v>66</v>
      </c>
      <c r="R769" s="23"/>
      <c r="S769" s="25"/>
    </row>
    <row r="770" spans="2:19" x14ac:dyDescent="0.25">
      <c r="B770" s="181"/>
      <c r="C770" s="178"/>
      <c r="D770" s="23" t="s">
        <v>82</v>
      </c>
      <c r="E770" s="24">
        <v>5</v>
      </c>
      <c r="F770" s="24">
        <v>17</v>
      </c>
      <c r="G770" s="23" t="s">
        <v>66</v>
      </c>
      <c r="H770" s="23"/>
      <c r="I770" s="47"/>
      <c r="L770" s="181"/>
      <c r="M770" s="178"/>
      <c r="N770" s="23" t="s">
        <v>82</v>
      </c>
      <c r="O770" s="24">
        <v>5</v>
      </c>
      <c r="P770" s="24">
        <v>17</v>
      </c>
      <c r="Q770" s="23" t="s">
        <v>66</v>
      </c>
      <c r="R770" s="23"/>
      <c r="S770" s="25"/>
    </row>
    <row r="771" spans="2:19" ht="15.75" thickBot="1" x14ac:dyDescent="0.3">
      <c r="B771" s="181"/>
      <c r="C771" s="179"/>
      <c r="D771" s="23" t="s">
        <v>83</v>
      </c>
      <c r="E771" s="24">
        <v>6</v>
      </c>
      <c r="F771" s="24">
        <v>18</v>
      </c>
      <c r="G771" s="23" t="s">
        <v>66</v>
      </c>
      <c r="H771" s="23"/>
      <c r="I771" s="47"/>
      <c r="L771" s="181"/>
      <c r="M771" s="179"/>
      <c r="N771" s="23" t="s">
        <v>83</v>
      </c>
      <c r="O771" s="24">
        <v>6</v>
      </c>
      <c r="P771" s="24">
        <v>18</v>
      </c>
      <c r="Q771" s="23" t="s">
        <v>66</v>
      </c>
      <c r="R771" s="23"/>
      <c r="S771" s="25"/>
    </row>
    <row r="772" spans="2:19" x14ac:dyDescent="0.25">
      <c r="B772" s="181"/>
      <c r="C772" s="177" t="s">
        <v>84</v>
      </c>
      <c r="D772" s="23" t="s">
        <v>2</v>
      </c>
      <c r="E772" s="24">
        <v>1</v>
      </c>
      <c r="F772" s="24">
        <v>19</v>
      </c>
      <c r="G772" s="23" t="s">
        <v>66</v>
      </c>
      <c r="H772" s="23"/>
      <c r="I772" s="47"/>
      <c r="L772" s="181"/>
      <c r="M772" s="177" t="s">
        <v>84</v>
      </c>
      <c r="N772" s="23" t="s">
        <v>2</v>
      </c>
      <c r="O772" s="24">
        <v>1</v>
      </c>
      <c r="P772" s="24">
        <v>19</v>
      </c>
      <c r="Q772" s="23" t="s">
        <v>66</v>
      </c>
      <c r="R772" s="23"/>
      <c r="S772" s="47"/>
    </row>
    <row r="773" spans="2:19" x14ac:dyDescent="0.25">
      <c r="B773" s="181"/>
      <c r="C773" s="178"/>
      <c r="D773" s="23" t="s">
        <v>3</v>
      </c>
      <c r="E773" s="24">
        <v>2</v>
      </c>
      <c r="F773" s="24">
        <v>20</v>
      </c>
      <c r="G773" s="23" t="s">
        <v>66</v>
      </c>
      <c r="H773" s="23"/>
      <c r="I773" s="47"/>
      <c r="L773" s="181"/>
      <c r="M773" s="178"/>
      <c r="N773" s="23" t="s">
        <v>3</v>
      </c>
      <c r="O773" s="24">
        <v>2</v>
      </c>
      <c r="P773" s="24">
        <v>20</v>
      </c>
      <c r="Q773" s="23" t="s">
        <v>66</v>
      </c>
      <c r="R773" s="23"/>
      <c r="S773" s="47"/>
    </row>
    <row r="774" spans="2:19" x14ac:dyDescent="0.25">
      <c r="B774" s="181"/>
      <c r="C774" s="178"/>
      <c r="D774" s="23" t="s">
        <v>80</v>
      </c>
      <c r="E774" s="26">
        <v>3</v>
      </c>
      <c r="F774" s="24">
        <v>21</v>
      </c>
      <c r="G774" s="23" t="s">
        <v>66</v>
      </c>
      <c r="H774" s="23"/>
      <c r="I774" s="47"/>
      <c r="L774" s="181"/>
      <c r="M774" s="178"/>
      <c r="N774" s="23" t="s">
        <v>80</v>
      </c>
      <c r="O774" s="26">
        <v>3</v>
      </c>
      <c r="P774" s="24">
        <v>21</v>
      </c>
      <c r="Q774" s="23" t="s">
        <v>66</v>
      </c>
      <c r="R774" s="23"/>
      <c r="S774" s="47"/>
    </row>
    <row r="775" spans="2:19" x14ac:dyDescent="0.25">
      <c r="B775" s="181"/>
      <c r="C775" s="178"/>
      <c r="D775" s="23" t="s">
        <v>81</v>
      </c>
      <c r="E775" s="24">
        <v>4</v>
      </c>
      <c r="F775" s="24">
        <v>22</v>
      </c>
      <c r="G775" s="23" t="s">
        <v>66</v>
      </c>
      <c r="H775" s="23"/>
      <c r="I775" s="47"/>
      <c r="L775" s="181"/>
      <c r="M775" s="178"/>
      <c r="N775" s="23" t="s">
        <v>81</v>
      </c>
      <c r="O775" s="24">
        <v>4</v>
      </c>
      <c r="P775" s="24">
        <v>22</v>
      </c>
      <c r="Q775" s="23" t="s">
        <v>66</v>
      </c>
      <c r="R775" s="23"/>
      <c r="S775" s="47"/>
    </row>
    <row r="776" spans="2:19" x14ac:dyDescent="0.25">
      <c r="B776" s="181"/>
      <c r="C776" s="178"/>
      <c r="D776" s="23" t="s">
        <v>82</v>
      </c>
      <c r="E776" s="24">
        <v>5</v>
      </c>
      <c r="F776" s="24">
        <v>23</v>
      </c>
      <c r="G776" s="23" t="s">
        <v>66</v>
      </c>
      <c r="H776" s="23"/>
      <c r="I776" s="47"/>
      <c r="L776" s="181"/>
      <c r="M776" s="178"/>
      <c r="N776" s="23" t="s">
        <v>82</v>
      </c>
      <c r="O776" s="24">
        <v>5</v>
      </c>
      <c r="P776" s="24">
        <v>23</v>
      </c>
      <c r="Q776" s="23" t="s">
        <v>66</v>
      </c>
      <c r="R776" s="23"/>
      <c r="S776" s="47"/>
    </row>
    <row r="777" spans="2:19" ht="15.75" thickBot="1" x14ac:dyDescent="0.3">
      <c r="B777" s="182"/>
      <c r="C777" s="179"/>
      <c r="D777" s="23" t="s">
        <v>83</v>
      </c>
      <c r="E777" s="24">
        <v>6</v>
      </c>
      <c r="F777" s="24">
        <v>24</v>
      </c>
      <c r="G777" s="23" t="s">
        <v>66</v>
      </c>
      <c r="H777" s="23"/>
      <c r="I777" s="47"/>
      <c r="L777" s="182"/>
      <c r="M777" s="179"/>
      <c r="N777" s="23" t="s">
        <v>83</v>
      </c>
      <c r="O777" s="24">
        <v>6</v>
      </c>
      <c r="P777" s="24">
        <v>24</v>
      </c>
      <c r="Q777" s="23" t="s">
        <v>66</v>
      </c>
      <c r="R777" s="23"/>
      <c r="S777" s="47"/>
    </row>
    <row r="778" spans="2:19" x14ac:dyDescent="0.25">
      <c r="B778" s="189" t="s">
        <v>80</v>
      </c>
      <c r="C778" s="192" t="s">
        <v>77</v>
      </c>
      <c r="D778" s="27" t="s">
        <v>2</v>
      </c>
      <c r="E778" s="28">
        <v>1</v>
      </c>
      <c r="F778" s="28">
        <v>25</v>
      </c>
      <c r="G778" s="27" t="s">
        <v>66</v>
      </c>
      <c r="H778" s="27"/>
      <c r="I778" s="48"/>
      <c r="L778" s="189" t="s">
        <v>80</v>
      </c>
      <c r="M778" s="192" t="s">
        <v>77</v>
      </c>
      <c r="N778" s="27" t="s">
        <v>2</v>
      </c>
      <c r="O778" s="28">
        <v>1</v>
      </c>
      <c r="P778" s="28">
        <v>25</v>
      </c>
      <c r="Q778" s="27" t="s">
        <v>66</v>
      </c>
      <c r="R778" s="27"/>
      <c r="S778" s="48"/>
    </row>
    <row r="779" spans="2:19" x14ac:dyDescent="0.25">
      <c r="B779" s="190"/>
      <c r="C779" s="193"/>
      <c r="D779" s="27" t="s">
        <v>3</v>
      </c>
      <c r="E779" s="28">
        <v>2</v>
      </c>
      <c r="F779" s="28">
        <v>26</v>
      </c>
      <c r="G779" s="27" t="s">
        <v>66</v>
      </c>
      <c r="H779" s="27"/>
      <c r="I779" s="48"/>
      <c r="L779" s="190"/>
      <c r="M779" s="193"/>
      <c r="N779" s="27" t="s">
        <v>3</v>
      </c>
      <c r="O779" s="28">
        <v>2</v>
      </c>
      <c r="P779" s="28">
        <v>26</v>
      </c>
      <c r="Q779" s="27" t="s">
        <v>66</v>
      </c>
      <c r="R779" s="27"/>
      <c r="S779" s="48"/>
    </row>
    <row r="780" spans="2:19" x14ac:dyDescent="0.25">
      <c r="B780" s="190"/>
      <c r="C780" s="193"/>
      <c r="D780" s="27" t="s">
        <v>80</v>
      </c>
      <c r="E780" s="28">
        <v>3</v>
      </c>
      <c r="F780" s="28">
        <v>27</v>
      </c>
      <c r="G780" s="27" t="s">
        <v>66</v>
      </c>
      <c r="H780" s="27"/>
      <c r="I780" s="48"/>
      <c r="L780" s="190"/>
      <c r="M780" s="193"/>
      <c r="N780" s="27" t="s">
        <v>80</v>
      </c>
      <c r="O780" s="28">
        <v>3</v>
      </c>
      <c r="P780" s="28">
        <v>27</v>
      </c>
      <c r="Q780" s="27" t="s">
        <v>66</v>
      </c>
      <c r="R780" s="27"/>
      <c r="S780" s="48"/>
    </row>
    <row r="781" spans="2:19" x14ac:dyDescent="0.25">
      <c r="B781" s="190"/>
      <c r="C781" s="193"/>
      <c r="D781" s="27" t="s">
        <v>81</v>
      </c>
      <c r="E781" s="28">
        <v>4</v>
      </c>
      <c r="F781" s="28">
        <v>28</v>
      </c>
      <c r="G781" s="27" t="s">
        <v>66</v>
      </c>
      <c r="H781" s="27"/>
      <c r="I781" s="48"/>
      <c r="L781" s="190"/>
      <c r="M781" s="193"/>
      <c r="N781" s="27" t="s">
        <v>81</v>
      </c>
      <c r="O781" s="28">
        <v>4</v>
      </c>
      <c r="P781" s="28">
        <v>28</v>
      </c>
      <c r="Q781" s="27" t="s">
        <v>66</v>
      </c>
      <c r="R781" s="27"/>
      <c r="S781" s="48"/>
    </row>
    <row r="782" spans="2:19" x14ac:dyDescent="0.25">
      <c r="B782" s="190"/>
      <c r="C782" s="193"/>
      <c r="D782" s="27" t="s">
        <v>82</v>
      </c>
      <c r="E782" s="28">
        <v>5</v>
      </c>
      <c r="F782" s="28">
        <v>29</v>
      </c>
      <c r="G782" s="27" t="s">
        <v>66</v>
      </c>
      <c r="H782" s="27"/>
      <c r="I782" s="48"/>
      <c r="L782" s="190"/>
      <c r="M782" s="193"/>
      <c r="N782" s="27" t="s">
        <v>82</v>
      </c>
      <c r="O782" s="28">
        <v>5</v>
      </c>
      <c r="P782" s="28">
        <v>29</v>
      </c>
      <c r="Q782" s="27" t="s">
        <v>66</v>
      </c>
      <c r="R782" s="27"/>
      <c r="S782" s="48"/>
    </row>
    <row r="783" spans="2:19" ht="15.75" thickBot="1" x14ac:dyDescent="0.3">
      <c r="B783" s="190"/>
      <c r="C783" s="194"/>
      <c r="D783" s="27" t="s">
        <v>83</v>
      </c>
      <c r="E783" s="28">
        <v>6</v>
      </c>
      <c r="F783" s="28">
        <v>30</v>
      </c>
      <c r="G783" s="27" t="s">
        <v>66</v>
      </c>
      <c r="H783" s="27"/>
      <c r="I783" s="48"/>
      <c r="L783" s="190"/>
      <c r="M783" s="194"/>
      <c r="N783" s="27" t="s">
        <v>83</v>
      </c>
      <c r="O783" s="28">
        <v>6</v>
      </c>
      <c r="P783" s="28">
        <v>30</v>
      </c>
      <c r="Q783" s="27" t="s">
        <v>66</v>
      </c>
      <c r="R783" s="27"/>
      <c r="S783" s="48"/>
    </row>
    <row r="784" spans="2:19" x14ac:dyDescent="0.25">
      <c r="B784" s="190"/>
      <c r="C784" s="192" t="s">
        <v>84</v>
      </c>
      <c r="D784" s="27" t="s">
        <v>2</v>
      </c>
      <c r="E784" s="28">
        <v>1</v>
      </c>
      <c r="F784" s="28">
        <v>31</v>
      </c>
      <c r="G784" s="27" t="s">
        <v>66</v>
      </c>
      <c r="H784" s="27"/>
      <c r="I784" s="48"/>
      <c r="L784" s="190"/>
      <c r="M784" s="192" t="s">
        <v>84</v>
      </c>
      <c r="N784" s="27" t="s">
        <v>2</v>
      </c>
      <c r="O784" s="28">
        <v>1</v>
      </c>
      <c r="P784" s="28">
        <v>31</v>
      </c>
      <c r="Q784" s="27" t="s">
        <v>66</v>
      </c>
      <c r="R784" s="27"/>
      <c r="S784" s="48"/>
    </row>
    <row r="785" spans="2:19" x14ac:dyDescent="0.25">
      <c r="B785" s="190"/>
      <c r="C785" s="193"/>
      <c r="D785" s="27" t="s">
        <v>3</v>
      </c>
      <c r="E785" s="28">
        <v>2</v>
      </c>
      <c r="F785" s="28">
        <v>32</v>
      </c>
      <c r="G785" s="27" t="s">
        <v>66</v>
      </c>
      <c r="H785" s="27"/>
      <c r="I785" s="48"/>
      <c r="L785" s="190"/>
      <c r="M785" s="193"/>
      <c r="N785" s="27" t="s">
        <v>3</v>
      </c>
      <c r="O785" s="28">
        <v>2</v>
      </c>
      <c r="P785" s="28">
        <v>32</v>
      </c>
      <c r="Q785" s="27" t="s">
        <v>66</v>
      </c>
      <c r="R785" s="27"/>
      <c r="S785" s="48"/>
    </row>
    <row r="786" spans="2:19" x14ac:dyDescent="0.25">
      <c r="B786" s="190"/>
      <c r="C786" s="193"/>
      <c r="D786" s="27" t="s">
        <v>80</v>
      </c>
      <c r="E786" s="28">
        <v>3</v>
      </c>
      <c r="F786" s="28">
        <v>33</v>
      </c>
      <c r="G786" s="27" t="s">
        <v>66</v>
      </c>
      <c r="H786" s="27"/>
      <c r="I786" s="48"/>
      <c r="L786" s="190"/>
      <c r="M786" s="193"/>
      <c r="N786" s="27" t="s">
        <v>80</v>
      </c>
      <c r="O786" s="28">
        <v>3</v>
      </c>
      <c r="P786" s="28">
        <v>33</v>
      </c>
      <c r="Q786" s="27" t="s">
        <v>66</v>
      </c>
      <c r="R786" s="27"/>
      <c r="S786" s="48"/>
    </row>
    <row r="787" spans="2:19" x14ac:dyDescent="0.25">
      <c r="B787" s="190"/>
      <c r="C787" s="193"/>
      <c r="D787" s="27" t="s">
        <v>81</v>
      </c>
      <c r="E787" s="28">
        <v>4</v>
      </c>
      <c r="F787" s="28">
        <v>34</v>
      </c>
      <c r="G787" s="27" t="s">
        <v>66</v>
      </c>
      <c r="H787" s="27"/>
      <c r="I787" s="48"/>
      <c r="L787" s="190"/>
      <c r="M787" s="193"/>
      <c r="N787" s="27" t="s">
        <v>81</v>
      </c>
      <c r="O787" s="28">
        <v>4</v>
      </c>
      <c r="P787" s="28">
        <v>34</v>
      </c>
      <c r="Q787" s="27" t="s">
        <v>66</v>
      </c>
      <c r="R787" s="27"/>
      <c r="S787" s="48"/>
    </row>
    <row r="788" spans="2:19" x14ac:dyDescent="0.25">
      <c r="B788" s="190"/>
      <c r="C788" s="193"/>
      <c r="D788" s="27" t="s">
        <v>82</v>
      </c>
      <c r="E788" s="28">
        <v>5</v>
      </c>
      <c r="F788" s="28">
        <v>35</v>
      </c>
      <c r="G788" s="27" t="s">
        <v>66</v>
      </c>
      <c r="H788" s="27"/>
      <c r="I788" s="48"/>
      <c r="L788" s="190"/>
      <c r="M788" s="193"/>
      <c r="N788" s="27" t="s">
        <v>82</v>
      </c>
      <c r="O788" s="28">
        <v>5</v>
      </c>
      <c r="P788" s="28">
        <v>35</v>
      </c>
      <c r="Q788" s="27" t="s">
        <v>66</v>
      </c>
      <c r="R788" s="27"/>
      <c r="S788" s="48"/>
    </row>
    <row r="789" spans="2:19" ht="15.75" thickBot="1" x14ac:dyDescent="0.3">
      <c r="B789" s="191"/>
      <c r="C789" s="194"/>
      <c r="D789" s="27" t="s">
        <v>83</v>
      </c>
      <c r="E789" s="28">
        <v>6</v>
      </c>
      <c r="F789" s="28">
        <v>36</v>
      </c>
      <c r="G789" s="27" t="s">
        <v>66</v>
      </c>
      <c r="H789" s="27"/>
      <c r="I789" s="48"/>
      <c r="L789" s="191"/>
      <c r="M789" s="194"/>
      <c r="N789" s="27" t="s">
        <v>83</v>
      </c>
      <c r="O789" s="28">
        <v>6</v>
      </c>
      <c r="P789" s="28">
        <v>36</v>
      </c>
      <c r="Q789" s="27" t="s">
        <v>66</v>
      </c>
      <c r="R789" s="27"/>
      <c r="S789" s="48"/>
    </row>
    <row r="790" spans="2:19" x14ac:dyDescent="0.25">
      <c r="B790" s="183" t="s">
        <v>81</v>
      </c>
      <c r="C790" s="186" t="s">
        <v>77</v>
      </c>
      <c r="D790" s="29" t="s">
        <v>2</v>
      </c>
      <c r="E790" s="30">
        <v>1</v>
      </c>
      <c r="F790" s="30">
        <v>37</v>
      </c>
      <c r="G790" s="29" t="s">
        <v>66</v>
      </c>
      <c r="H790" s="29"/>
      <c r="I790" s="49"/>
      <c r="L790" s="183" t="s">
        <v>81</v>
      </c>
      <c r="M790" s="186" t="s">
        <v>77</v>
      </c>
      <c r="N790" s="29" t="s">
        <v>2</v>
      </c>
      <c r="O790" s="30">
        <v>1</v>
      </c>
      <c r="P790" s="30">
        <v>37</v>
      </c>
      <c r="Q790" s="29" t="s">
        <v>66</v>
      </c>
      <c r="R790" s="29"/>
      <c r="S790" s="49"/>
    </row>
    <row r="791" spans="2:19" x14ac:dyDescent="0.25">
      <c r="B791" s="184"/>
      <c r="C791" s="187"/>
      <c r="D791" s="29" t="s">
        <v>3</v>
      </c>
      <c r="E791" s="30">
        <v>2</v>
      </c>
      <c r="F791" s="30">
        <v>38</v>
      </c>
      <c r="G791" s="29" t="s">
        <v>66</v>
      </c>
      <c r="H791" s="29"/>
      <c r="I791" s="49"/>
      <c r="L791" s="184"/>
      <c r="M791" s="187"/>
      <c r="N791" s="29" t="s">
        <v>3</v>
      </c>
      <c r="O791" s="30">
        <v>2</v>
      </c>
      <c r="P791" s="30">
        <v>38</v>
      </c>
      <c r="Q791" s="29" t="s">
        <v>66</v>
      </c>
      <c r="R791" s="29"/>
      <c r="S791" s="49"/>
    </row>
    <row r="792" spans="2:19" x14ac:dyDescent="0.25">
      <c r="B792" s="184"/>
      <c r="C792" s="187"/>
      <c r="D792" s="29" t="s">
        <v>80</v>
      </c>
      <c r="E792" s="30">
        <v>3</v>
      </c>
      <c r="F792" s="30">
        <v>39</v>
      </c>
      <c r="G792" s="29" t="s">
        <v>66</v>
      </c>
      <c r="H792" s="29"/>
      <c r="I792" s="49"/>
      <c r="L792" s="184"/>
      <c r="M792" s="187"/>
      <c r="N792" s="29" t="s">
        <v>80</v>
      </c>
      <c r="O792" s="30">
        <v>3</v>
      </c>
      <c r="P792" s="30">
        <v>39</v>
      </c>
      <c r="Q792" s="29" t="s">
        <v>66</v>
      </c>
      <c r="R792" s="29"/>
      <c r="S792" s="49"/>
    </row>
    <row r="793" spans="2:19" x14ac:dyDescent="0.25">
      <c r="B793" s="184"/>
      <c r="C793" s="187"/>
      <c r="D793" s="29" t="s">
        <v>81</v>
      </c>
      <c r="E793" s="30">
        <v>4</v>
      </c>
      <c r="F793" s="30">
        <v>40</v>
      </c>
      <c r="G793" s="29" t="s">
        <v>66</v>
      </c>
      <c r="H793" s="29"/>
      <c r="I793" s="49"/>
      <c r="L793" s="184"/>
      <c r="M793" s="187"/>
      <c r="N793" s="29" t="s">
        <v>81</v>
      </c>
      <c r="O793" s="30">
        <v>4</v>
      </c>
      <c r="P793" s="30">
        <v>40</v>
      </c>
      <c r="Q793" s="29" t="s">
        <v>66</v>
      </c>
      <c r="R793" s="29"/>
      <c r="S793" s="49"/>
    </row>
    <row r="794" spans="2:19" x14ac:dyDescent="0.25">
      <c r="B794" s="184"/>
      <c r="C794" s="187"/>
      <c r="D794" s="29" t="s">
        <v>82</v>
      </c>
      <c r="E794" s="30">
        <v>5</v>
      </c>
      <c r="F794" s="30">
        <v>41</v>
      </c>
      <c r="G794" s="29" t="s">
        <v>66</v>
      </c>
      <c r="H794" s="29"/>
      <c r="I794" s="49"/>
      <c r="L794" s="184"/>
      <c r="M794" s="187"/>
      <c r="N794" s="29" t="s">
        <v>82</v>
      </c>
      <c r="O794" s="30">
        <v>5</v>
      </c>
      <c r="P794" s="30">
        <v>41</v>
      </c>
      <c r="Q794" s="29" t="s">
        <v>66</v>
      </c>
      <c r="R794" s="29"/>
      <c r="S794" s="49"/>
    </row>
    <row r="795" spans="2:19" ht="15.75" thickBot="1" x14ac:dyDescent="0.3">
      <c r="B795" s="184"/>
      <c r="C795" s="188"/>
      <c r="D795" s="29" t="s">
        <v>83</v>
      </c>
      <c r="E795" s="30">
        <v>6</v>
      </c>
      <c r="F795" s="30">
        <v>42</v>
      </c>
      <c r="G795" s="29" t="s">
        <v>66</v>
      </c>
      <c r="H795" s="29"/>
      <c r="I795" s="49"/>
      <c r="L795" s="184"/>
      <c r="M795" s="188"/>
      <c r="N795" s="29" t="s">
        <v>83</v>
      </c>
      <c r="O795" s="30">
        <v>6</v>
      </c>
      <c r="P795" s="30">
        <v>42</v>
      </c>
      <c r="Q795" s="29" t="s">
        <v>66</v>
      </c>
      <c r="R795" s="29"/>
      <c r="S795" s="49"/>
    </row>
    <row r="796" spans="2:19" x14ac:dyDescent="0.25">
      <c r="B796" s="184"/>
      <c r="C796" s="186" t="s">
        <v>84</v>
      </c>
      <c r="D796" s="29" t="s">
        <v>2</v>
      </c>
      <c r="E796" s="30">
        <v>1</v>
      </c>
      <c r="F796" s="30">
        <v>43</v>
      </c>
      <c r="G796" s="29" t="s">
        <v>66</v>
      </c>
      <c r="H796" s="29"/>
      <c r="I796" s="49"/>
      <c r="L796" s="184"/>
      <c r="M796" s="186" t="s">
        <v>84</v>
      </c>
      <c r="N796" s="29" t="s">
        <v>2</v>
      </c>
      <c r="O796" s="30">
        <v>1</v>
      </c>
      <c r="P796" s="30">
        <v>43</v>
      </c>
      <c r="Q796" s="29" t="s">
        <v>66</v>
      </c>
      <c r="R796" s="29"/>
      <c r="S796" s="49"/>
    </row>
    <row r="797" spans="2:19" x14ac:dyDescent="0.25">
      <c r="B797" s="184"/>
      <c r="C797" s="187"/>
      <c r="D797" s="29" t="s">
        <v>3</v>
      </c>
      <c r="E797" s="30">
        <v>2</v>
      </c>
      <c r="F797" s="30">
        <v>44</v>
      </c>
      <c r="G797" s="29" t="s">
        <v>66</v>
      </c>
      <c r="H797" s="29"/>
      <c r="I797" s="49"/>
      <c r="L797" s="184"/>
      <c r="M797" s="187"/>
      <c r="N797" s="29" t="s">
        <v>3</v>
      </c>
      <c r="O797" s="30">
        <v>2</v>
      </c>
      <c r="P797" s="30">
        <v>44</v>
      </c>
      <c r="Q797" s="29" t="s">
        <v>66</v>
      </c>
      <c r="R797" s="29"/>
      <c r="S797" s="49"/>
    </row>
    <row r="798" spans="2:19" x14ac:dyDescent="0.25">
      <c r="B798" s="184"/>
      <c r="C798" s="187"/>
      <c r="D798" s="29" t="s">
        <v>80</v>
      </c>
      <c r="E798" s="30">
        <v>3</v>
      </c>
      <c r="F798" s="30">
        <v>45</v>
      </c>
      <c r="G798" s="29" t="s">
        <v>66</v>
      </c>
      <c r="H798" s="29"/>
      <c r="I798" s="49"/>
      <c r="L798" s="184"/>
      <c r="M798" s="187"/>
      <c r="N798" s="29" t="s">
        <v>80</v>
      </c>
      <c r="O798" s="30">
        <v>3</v>
      </c>
      <c r="P798" s="30">
        <v>45</v>
      </c>
      <c r="Q798" s="29" t="s">
        <v>66</v>
      </c>
      <c r="R798" s="29"/>
      <c r="S798" s="49"/>
    </row>
    <row r="799" spans="2:19" x14ac:dyDescent="0.25">
      <c r="B799" s="184"/>
      <c r="C799" s="187"/>
      <c r="D799" s="29" t="s">
        <v>81</v>
      </c>
      <c r="E799" s="30">
        <v>4</v>
      </c>
      <c r="F799" s="30">
        <v>46</v>
      </c>
      <c r="G799" s="29" t="s">
        <v>66</v>
      </c>
      <c r="H799" s="29"/>
      <c r="I799" s="49"/>
      <c r="L799" s="184"/>
      <c r="M799" s="187"/>
      <c r="N799" s="29" t="s">
        <v>81</v>
      </c>
      <c r="O799" s="30">
        <v>4</v>
      </c>
      <c r="P799" s="30">
        <v>46</v>
      </c>
      <c r="Q799" s="29" t="s">
        <v>66</v>
      </c>
      <c r="R799" s="29"/>
      <c r="S799" s="49"/>
    </row>
    <row r="800" spans="2:19" x14ac:dyDescent="0.25">
      <c r="B800" s="184"/>
      <c r="C800" s="187"/>
      <c r="D800" s="29" t="s">
        <v>82</v>
      </c>
      <c r="E800" s="30">
        <v>5</v>
      </c>
      <c r="F800" s="30">
        <v>47</v>
      </c>
      <c r="G800" s="29" t="s">
        <v>66</v>
      </c>
      <c r="H800" s="29"/>
      <c r="I800" s="49"/>
      <c r="L800" s="184"/>
      <c r="M800" s="187"/>
      <c r="N800" s="29" t="s">
        <v>82</v>
      </c>
      <c r="O800" s="30">
        <v>5</v>
      </c>
      <c r="P800" s="30">
        <v>47</v>
      </c>
      <c r="Q800" s="29" t="s">
        <v>66</v>
      </c>
      <c r="R800" s="29"/>
      <c r="S800" s="49"/>
    </row>
    <row r="801" spans="2:19" ht="15.75" thickBot="1" x14ac:dyDescent="0.3">
      <c r="B801" s="185"/>
      <c r="C801" s="188"/>
      <c r="D801" s="29" t="s">
        <v>83</v>
      </c>
      <c r="E801" s="30">
        <v>6</v>
      </c>
      <c r="F801" s="30">
        <v>48</v>
      </c>
      <c r="G801" s="29" t="s">
        <v>66</v>
      </c>
      <c r="H801" s="29"/>
      <c r="I801" s="49"/>
      <c r="L801" s="185"/>
      <c r="M801" s="188"/>
      <c r="N801" s="29" t="s">
        <v>83</v>
      </c>
      <c r="O801" s="30">
        <v>6</v>
      </c>
      <c r="P801" s="30">
        <v>48</v>
      </c>
      <c r="Q801" s="29" t="s">
        <v>66</v>
      </c>
      <c r="R801" s="29"/>
      <c r="S801" s="49"/>
    </row>
    <row r="812" spans="2:19" ht="15.75" thickBot="1" x14ac:dyDescent="0.3"/>
    <row r="813" spans="2:19" ht="15.75" thickBot="1" x14ac:dyDescent="0.3">
      <c r="B813" s="171" t="s">
        <v>329</v>
      </c>
      <c r="C813" s="172"/>
      <c r="D813" s="172"/>
      <c r="E813" s="172"/>
      <c r="F813" s="172"/>
      <c r="G813" s="172"/>
      <c r="H813" s="172"/>
      <c r="I813" s="173"/>
      <c r="L813" s="171" t="s">
        <v>330</v>
      </c>
      <c r="M813" s="172"/>
      <c r="N813" s="172"/>
      <c r="O813" s="172"/>
      <c r="P813" s="172"/>
      <c r="Q813" s="172"/>
      <c r="R813" s="172"/>
      <c r="S813" s="173"/>
    </row>
    <row r="815" spans="2:19" ht="26.25" thickBot="1" x14ac:dyDescent="0.3">
      <c r="B815" s="15" t="s">
        <v>70</v>
      </c>
      <c r="C815" s="16" t="s">
        <v>71</v>
      </c>
      <c r="D815" s="15" t="s">
        <v>72</v>
      </c>
      <c r="E815" s="17" t="s">
        <v>73</v>
      </c>
      <c r="F815" s="17" t="s">
        <v>74</v>
      </c>
      <c r="G815" s="15" t="s">
        <v>75</v>
      </c>
      <c r="H815" s="15" t="s">
        <v>55</v>
      </c>
      <c r="I815" s="15" t="s">
        <v>76</v>
      </c>
      <c r="L815" s="15" t="s">
        <v>70</v>
      </c>
      <c r="M815" s="16" t="s">
        <v>71</v>
      </c>
      <c r="N815" s="15" t="s">
        <v>72</v>
      </c>
      <c r="O815" s="17" t="s">
        <v>73</v>
      </c>
      <c r="P815" s="17" t="s">
        <v>74</v>
      </c>
      <c r="Q815" s="15" t="s">
        <v>75</v>
      </c>
      <c r="R815" s="15" t="s">
        <v>55</v>
      </c>
      <c r="S815" s="15" t="s">
        <v>76</v>
      </c>
    </row>
    <row r="816" spans="2:19" x14ac:dyDescent="0.25">
      <c r="B816" s="174" t="s">
        <v>2</v>
      </c>
      <c r="C816" s="168" t="s">
        <v>77</v>
      </c>
      <c r="D816" s="18" t="s">
        <v>2</v>
      </c>
      <c r="E816" s="19">
        <v>1</v>
      </c>
      <c r="F816" s="19">
        <v>1</v>
      </c>
      <c r="G816" s="18" t="s">
        <v>66</v>
      </c>
      <c r="H816" s="32"/>
      <c r="I816" s="50"/>
      <c r="L816" s="174" t="s">
        <v>2</v>
      </c>
      <c r="M816" s="168" t="s">
        <v>77</v>
      </c>
      <c r="N816" s="18" t="s">
        <v>2</v>
      </c>
      <c r="O816" s="19">
        <v>1</v>
      </c>
      <c r="P816" s="19">
        <v>1</v>
      </c>
      <c r="Q816" s="18" t="s">
        <v>66</v>
      </c>
      <c r="R816" s="32"/>
      <c r="S816" s="33"/>
    </row>
    <row r="817" spans="2:19" x14ac:dyDescent="0.25">
      <c r="B817" s="175"/>
      <c r="C817" s="169"/>
      <c r="D817" s="18" t="s">
        <v>3</v>
      </c>
      <c r="E817" s="19">
        <v>2</v>
      </c>
      <c r="F817" s="19">
        <v>2</v>
      </c>
      <c r="G817" s="18" t="s">
        <v>66</v>
      </c>
      <c r="H817" s="32"/>
      <c r="I817" s="50"/>
      <c r="L817" s="175"/>
      <c r="M817" s="169"/>
      <c r="N817" s="18" t="s">
        <v>3</v>
      </c>
      <c r="O817" s="19">
        <v>2</v>
      </c>
      <c r="P817" s="19">
        <v>2</v>
      </c>
      <c r="Q817" s="18" t="s">
        <v>66</v>
      </c>
      <c r="R817" s="32"/>
      <c r="S817" s="33"/>
    </row>
    <row r="818" spans="2:19" x14ac:dyDescent="0.25">
      <c r="B818" s="175"/>
      <c r="C818" s="169"/>
      <c r="D818" s="18" t="s">
        <v>80</v>
      </c>
      <c r="E818" s="20">
        <v>3</v>
      </c>
      <c r="F818" s="20">
        <v>3</v>
      </c>
      <c r="G818" s="18" t="s">
        <v>66</v>
      </c>
      <c r="H818" s="32"/>
      <c r="I818" s="50"/>
      <c r="L818" s="175"/>
      <c r="M818" s="169"/>
      <c r="N818" s="18" t="s">
        <v>80</v>
      </c>
      <c r="O818" s="20">
        <v>3</v>
      </c>
      <c r="P818" s="20">
        <v>3</v>
      </c>
      <c r="Q818" s="18" t="s">
        <v>66</v>
      </c>
      <c r="R818" s="32"/>
      <c r="S818" s="33"/>
    </row>
    <row r="819" spans="2:19" x14ac:dyDescent="0.25">
      <c r="B819" s="175"/>
      <c r="C819" s="169"/>
      <c r="D819" s="18" t="s">
        <v>81</v>
      </c>
      <c r="E819" s="20">
        <v>4</v>
      </c>
      <c r="F819" s="20">
        <v>4</v>
      </c>
      <c r="G819" s="18" t="s">
        <v>66</v>
      </c>
      <c r="H819" s="32"/>
      <c r="I819" s="50"/>
      <c r="L819" s="175"/>
      <c r="M819" s="169"/>
      <c r="N819" s="18" t="s">
        <v>81</v>
      </c>
      <c r="O819" s="20">
        <v>4</v>
      </c>
      <c r="P819" s="20">
        <v>4</v>
      </c>
      <c r="Q819" s="18" t="s">
        <v>66</v>
      </c>
      <c r="R819" s="32"/>
      <c r="S819" s="33"/>
    </row>
    <row r="820" spans="2:19" x14ac:dyDescent="0.25">
      <c r="B820" s="175"/>
      <c r="C820" s="169"/>
      <c r="D820" s="18" t="s">
        <v>82</v>
      </c>
      <c r="E820" s="20">
        <v>5</v>
      </c>
      <c r="F820" s="20">
        <v>5</v>
      </c>
      <c r="G820" s="18" t="s">
        <v>66</v>
      </c>
      <c r="H820" s="32"/>
      <c r="I820" s="50"/>
      <c r="L820" s="175"/>
      <c r="M820" s="169"/>
      <c r="N820" s="18" t="s">
        <v>82</v>
      </c>
      <c r="O820" s="20">
        <v>5</v>
      </c>
      <c r="P820" s="20">
        <v>5</v>
      </c>
      <c r="Q820" s="18" t="s">
        <v>66</v>
      </c>
      <c r="R820" s="32"/>
      <c r="S820" s="33"/>
    </row>
    <row r="821" spans="2:19" ht="15.75" thickBot="1" x14ac:dyDescent="0.3">
      <c r="B821" s="175"/>
      <c r="C821" s="170"/>
      <c r="D821" s="18" t="s">
        <v>83</v>
      </c>
      <c r="E821" s="20">
        <v>6</v>
      </c>
      <c r="F821" s="20">
        <v>6</v>
      </c>
      <c r="G821" s="18" t="s">
        <v>66</v>
      </c>
      <c r="H821" s="32"/>
      <c r="I821" s="50"/>
      <c r="L821" s="175"/>
      <c r="M821" s="170"/>
      <c r="N821" s="18" t="s">
        <v>83</v>
      </c>
      <c r="O821" s="20">
        <v>6</v>
      </c>
      <c r="P821" s="20">
        <v>6</v>
      </c>
      <c r="Q821" s="18" t="s">
        <v>66</v>
      </c>
      <c r="R821" s="32"/>
      <c r="S821" s="33"/>
    </row>
    <row r="822" spans="2:19" x14ac:dyDescent="0.25">
      <c r="B822" s="175"/>
      <c r="C822" s="168" t="s">
        <v>84</v>
      </c>
      <c r="D822" s="18" t="s">
        <v>2</v>
      </c>
      <c r="E822" s="19">
        <v>1</v>
      </c>
      <c r="F822" s="19">
        <v>7</v>
      </c>
      <c r="G822" s="18" t="s">
        <v>78</v>
      </c>
      <c r="H822" s="156" t="s">
        <v>140</v>
      </c>
      <c r="I822" s="165" t="s">
        <v>189</v>
      </c>
      <c r="L822" s="175"/>
      <c r="M822" s="168" t="s">
        <v>84</v>
      </c>
      <c r="N822" s="18" t="s">
        <v>2</v>
      </c>
      <c r="O822" s="19">
        <v>1</v>
      </c>
      <c r="P822" s="19">
        <v>7</v>
      </c>
      <c r="Q822" s="18" t="s">
        <v>78</v>
      </c>
      <c r="R822" s="156" t="s">
        <v>140</v>
      </c>
      <c r="S822" s="195" t="s">
        <v>191</v>
      </c>
    </row>
    <row r="823" spans="2:19" x14ac:dyDescent="0.25">
      <c r="B823" s="175"/>
      <c r="C823" s="169"/>
      <c r="D823" s="18" t="s">
        <v>3</v>
      </c>
      <c r="E823" s="19">
        <v>2</v>
      </c>
      <c r="F823" s="19">
        <v>8</v>
      </c>
      <c r="G823" s="18" t="s">
        <v>78</v>
      </c>
      <c r="H823" s="157"/>
      <c r="I823" s="166"/>
      <c r="L823" s="175"/>
      <c r="M823" s="169"/>
      <c r="N823" s="18" t="s">
        <v>3</v>
      </c>
      <c r="O823" s="19">
        <v>2</v>
      </c>
      <c r="P823" s="19">
        <v>8</v>
      </c>
      <c r="Q823" s="18" t="s">
        <v>78</v>
      </c>
      <c r="R823" s="157"/>
      <c r="S823" s="196"/>
    </row>
    <row r="824" spans="2:19" x14ac:dyDescent="0.25">
      <c r="B824" s="175"/>
      <c r="C824" s="169"/>
      <c r="D824" s="18" t="s">
        <v>80</v>
      </c>
      <c r="E824" s="20">
        <v>3</v>
      </c>
      <c r="F824" s="20">
        <v>9</v>
      </c>
      <c r="G824" s="18" t="s">
        <v>66</v>
      </c>
      <c r="H824" s="157"/>
      <c r="I824" s="166"/>
      <c r="L824" s="175"/>
      <c r="M824" s="169"/>
      <c r="N824" s="18" t="s">
        <v>80</v>
      </c>
      <c r="O824" s="20">
        <v>3</v>
      </c>
      <c r="P824" s="20">
        <v>9</v>
      </c>
      <c r="Q824" s="18" t="s">
        <v>66</v>
      </c>
      <c r="R824" s="157"/>
      <c r="S824" s="196"/>
    </row>
    <row r="825" spans="2:19" x14ac:dyDescent="0.25">
      <c r="B825" s="175"/>
      <c r="C825" s="169"/>
      <c r="D825" s="18" t="s">
        <v>81</v>
      </c>
      <c r="E825" s="20">
        <v>4</v>
      </c>
      <c r="F825" s="20">
        <v>10</v>
      </c>
      <c r="G825" s="18" t="s">
        <v>66</v>
      </c>
      <c r="H825" s="157"/>
      <c r="I825" s="166"/>
      <c r="L825" s="175"/>
      <c r="M825" s="169"/>
      <c r="N825" s="18" t="s">
        <v>81</v>
      </c>
      <c r="O825" s="20">
        <v>4</v>
      </c>
      <c r="P825" s="20">
        <v>10</v>
      </c>
      <c r="Q825" s="18" t="s">
        <v>66</v>
      </c>
      <c r="R825" s="157"/>
      <c r="S825" s="196"/>
    </row>
    <row r="826" spans="2:19" x14ac:dyDescent="0.25">
      <c r="B826" s="175"/>
      <c r="C826" s="169"/>
      <c r="D826" s="18" t="s">
        <v>82</v>
      </c>
      <c r="E826" s="20">
        <v>5</v>
      </c>
      <c r="F826" s="20">
        <v>11</v>
      </c>
      <c r="G826" s="18" t="s">
        <v>66</v>
      </c>
      <c r="H826" s="157"/>
      <c r="I826" s="166"/>
      <c r="L826" s="175"/>
      <c r="M826" s="169"/>
      <c r="N826" s="18" t="s">
        <v>82</v>
      </c>
      <c r="O826" s="20">
        <v>5</v>
      </c>
      <c r="P826" s="20">
        <v>11</v>
      </c>
      <c r="Q826" s="18" t="s">
        <v>66</v>
      </c>
      <c r="R826" s="157"/>
      <c r="S826" s="196"/>
    </row>
    <row r="827" spans="2:19" ht="15.75" thickBot="1" x14ac:dyDescent="0.3">
      <c r="B827" s="176"/>
      <c r="C827" s="170"/>
      <c r="D827" s="18" t="s">
        <v>83</v>
      </c>
      <c r="E827" s="20">
        <v>6</v>
      </c>
      <c r="F827" s="20">
        <v>12</v>
      </c>
      <c r="G827" s="18" t="s">
        <v>66</v>
      </c>
      <c r="H827" s="158"/>
      <c r="I827" s="167"/>
      <c r="L827" s="176"/>
      <c r="M827" s="170"/>
      <c r="N827" s="18" t="s">
        <v>83</v>
      </c>
      <c r="O827" s="20">
        <v>6</v>
      </c>
      <c r="P827" s="20">
        <v>12</v>
      </c>
      <c r="Q827" s="18" t="s">
        <v>66</v>
      </c>
      <c r="R827" s="158"/>
      <c r="S827" s="197"/>
    </row>
    <row r="828" spans="2:19" x14ac:dyDescent="0.25">
      <c r="B828" s="180" t="s">
        <v>3</v>
      </c>
      <c r="C828" s="177" t="s">
        <v>77</v>
      </c>
      <c r="D828" s="21" t="s">
        <v>2</v>
      </c>
      <c r="E828" s="22">
        <v>1</v>
      </c>
      <c r="F828" s="22">
        <v>13</v>
      </c>
      <c r="G828" s="21" t="s">
        <v>66</v>
      </c>
      <c r="H828" s="21"/>
      <c r="I828" s="51"/>
      <c r="L828" s="180" t="s">
        <v>3</v>
      </c>
      <c r="M828" s="177" t="s">
        <v>77</v>
      </c>
      <c r="N828" s="21" t="s">
        <v>2</v>
      </c>
      <c r="O828" s="22">
        <v>1</v>
      </c>
      <c r="P828" s="22">
        <v>13</v>
      </c>
      <c r="Q828" s="21" t="s">
        <v>66</v>
      </c>
      <c r="R828" s="21"/>
      <c r="S828" s="34"/>
    </row>
    <row r="829" spans="2:19" x14ac:dyDescent="0.25">
      <c r="B829" s="181"/>
      <c r="C829" s="178"/>
      <c r="D829" s="23" t="s">
        <v>3</v>
      </c>
      <c r="E829" s="24">
        <v>2</v>
      </c>
      <c r="F829" s="24">
        <v>14</v>
      </c>
      <c r="G829" s="23" t="s">
        <v>66</v>
      </c>
      <c r="H829" s="23"/>
      <c r="I829" s="47"/>
      <c r="L829" s="181"/>
      <c r="M829" s="178"/>
      <c r="N829" s="23" t="s">
        <v>3</v>
      </c>
      <c r="O829" s="24">
        <v>2</v>
      </c>
      <c r="P829" s="24">
        <v>14</v>
      </c>
      <c r="Q829" s="23" t="s">
        <v>66</v>
      </c>
      <c r="R829" s="23"/>
      <c r="S829" s="25"/>
    </row>
    <row r="830" spans="2:19" x14ac:dyDescent="0.25">
      <c r="B830" s="181"/>
      <c r="C830" s="178"/>
      <c r="D830" s="23" t="s">
        <v>80</v>
      </c>
      <c r="E830" s="24">
        <v>3</v>
      </c>
      <c r="F830" s="24">
        <v>15</v>
      </c>
      <c r="G830" s="23" t="s">
        <v>66</v>
      </c>
      <c r="H830" s="23"/>
      <c r="I830" s="47"/>
      <c r="L830" s="181"/>
      <c r="M830" s="178"/>
      <c r="N830" s="23" t="s">
        <v>80</v>
      </c>
      <c r="O830" s="24">
        <v>3</v>
      </c>
      <c r="P830" s="24">
        <v>15</v>
      </c>
      <c r="Q830" s="23" t="s">
        <v>66</v>
      </c>
      <c r="R830" s="23"/>
      <c r="S830" s="25"/>
    </row>
    <row r="831" spans="2:19" x14ac:dyDescent="0.25">
      <c r="B831" s="181"/>
      <c r="C831" s="178"/>
      <c r="D831" s="23" t="s">
        <v>81</v>
      </c>
      <c r="E831" s="24">
        <v>4</v>
      </c>
      <c r="F831" s="24">
        <v>16</v>
      </c>
      <c r="G831" s="23" t="s">
        <v>66</v>
      </c>
      <c r="H831" s="23"/>
      <c r="I831" s="47"/>
      <c r="L831" s="181"/>
      <c r="M831" s="178"/>
      <c r="N831" s="23" t="s">
        <v>81</v>
      </c>
      <c r="O831" s="24">
        <v>4</v>
      </c>
      <c r="P831" s="24">
        <v>16</v>
      </c>
      <c r="Q831" s="23" t="s">
        <v>66</v>
      </c>
      <c r="R831" s="23"/>
      <c r="S831" s="25"/>
    </row>
    <row r="832" spans="2:19" x14ac:dyDescent="0.25">
      <c r="B832" s="181"/>
      <c r="C832" s="178"/>
      <c r="D832" s="23" t="s">
        <v>82</v>
      </c>
      <c r="E832" s="24">
        <v>5</v>
      </c>
      <c r="F832" s="24">
        <v>17</v>
      </c>
      <c r="G832" s="23" t="s">
        <v>66</v>
      </c>
      <c r="H832" s="23"/>
      <c r="I832" s="47"/>
      <c r="L832" s="181"/>
      <c r="M832" s="178"/>
      <c r="N832" s="23" t="s">
        <v>82</v>
      </c>
      <c r="O832" s="24">
        <v>5</v>
      </c>
      <c r="P832" s="24">
        <v>17</v>
      </c>
      <c r="Q832" s="23" t="s">
        <v>66</v>
      </c>
      <c r="R832" s="23"/>
      <c r="S832" s="25"/>
    </row>
    <row r="833" spans="2:19" ht="15.75" thickBot="1" x14ac:dyDescent="0.3">
      <c r="B833" s="181"/>
      <c r="C833" s="179"/>
      <c r="D833" s="23" t="s">
        <v>83</v>
      </c>
      <c r="E833" s="24">
        <v>6</v>
      </c>
      <c r="F833" s="24">
        <v>18</v>
      </c>
      <c r="G833" s="23" t="s">
        <v>66</v>
      </c>
      <c r="H833" s="23"/>
      <c r="I833" s="47"/>
      <c r="L833" s="181"/>
      <c r="M833" s="179"/>
      <c r="N833" s="23" t="s">
        <v>83</v>
      </c>
      <c r="O833" s="24">
        <v>6</v>
      </c>
      <c r="P833" s="24">
        <v>18</v>
      </c>
      <c r="Q833" s="23" t="s">
        <v>66</v>
      </c>
      <c r="R833" s="23"/>
      <c r="S833" s="25"/>
    </row>
    <row r="834" spans="2:19" x14ac:dyDescent="0.25">
      <c r="B834" s="181"/>
      <c r="C834" s="177" t="s">
        <v>84</v>
      </c>
      <c r="D834" s="23" t="s">
        <v>2</v>
      </c>
      <c r="E834" s="24">
        <v>1</v>
      </c>
      <c r="F834" s="24">
        <v>19</v>
      </c>
      <c r="G834" s="23" t="s">
        <v>66</v>
      </c>
      <c r="H834" s="23"/>
      <c r="I834" s="47"/>
      <c r="L834" s="181"/>
      <c r="M834" s="177" t="s">
        <v>84</v>
      </c>
      <c r="N834" s="23" t="s">
        <v>2</v>
      </c>
      <c r="O834" s="24">
        <v>1</v>
      </c>
      <c r="P834" s="24">
        <v>19</v>
      </c>
      <c r="Q834" s="23" t="s">
        <v>66</v>
      </c>
      <c r="R834" s="23"/>
      <c r="S834" s="47"/>
    </row>
    <row r="835" spans="2:19" x14ac:dyDescent="0.25">
      <c r="B835" s="181"/>
      <c r="C835" s="178"/>
      <c r="D835" s="23" t="s">
        <v>3</v>
      </c>
      <c r="E835" s="24">
        <v>2</v>
      </c>
      <c r="F835" s="24">
        <v>20</v>
      </c>
      <c r="G835" s="23" t="s">
        <v>66</v>
      </c>
      <c r="H835" s="23"/>
      <c r="I835" s="47"/>
      <c r="L835" s="181"/>
      <c r="M835" s="178"/>
      <c r="N835" s="23" t="s">
        <v>3</v>
      </c>
      <c r="O835" s="24">
        <v>2</v>
      </c>
      <c r="P835" s="24">
        <v>20</v>
      </c>
      <c r="Q835" s="23" t="s">
        <v>66</v>
      </c>
      <c r="R835" s="23"/>
      <c r="S835" s="47"/>
    </row>
    <row r="836" spans="2:19" x14ac:dyDescent="0.25">
      <c r="B836" s="181"/>
      <c r="C836" s="178"/>
      <c r="D836" s="23" t="s">
        <v>80</v>
      </c>
      <c r="E836" s="26">
        <v>3</v>
      </c>
      <c r="F836" s="24">
        <v>21</v>
      </c>
      <c r="G836" s="23" t="s">
        <v>66</v>
      </c>
      <c r="H836" s="23"/>
      <c r="I836" s="47"/>
      <c r="L836" s="181"/>
      <c r="M836" s="178"/>
      <c r="N836" s="23" t="s">
        <v>80</v>
      </c>
      <c r="O836" s="26">
        <v>3</v>
      </c>
      <c r="P836" s="24">
        <v>21</v>
      </c>
      <c r="Q836" s="23" t="s">
        <v>66</v>
      </c>
      <c r="R836" s="23"/>
      <c r="S836" s="47"/>
    </row>
    <row r="837" spans="2:19" x14ac:dyDescent="0.25">
      <c r="B837" s="181"/>
      <c r="C837" s="178"/>
      <c r="D837" s="23" t="s">
        <v>81</v>
      </c>
      <c r="E837" s="24">
        <v>4</v>
      </c>
      <c r="F837" s="24">
        <v>22</v>
      </c>
      <c r="G837" s="23" t="s">
        <v>66</v>
      </c>
      <c r="H837" s="23"/>
      <c r="I837" s="47"/>
      <c r="L837" s="181"/>
      <c r="M837" s="178"/>
      <c r="N837" s="23" t="s">
        <v>81</v>
      </c>
      <c r="O837" s="24">
        <v>4</v>
      </c>
      <c r="P837" s="24">
        <v>22</v>
      </c>
      <c r="Q837" s="23" t="s">
        <v>66</v>
      </c>
      <c r="R837" s="23"/>
      <c r="S837" s="47"/>
    </row>
    <row r="838" spans="2:19" x14ac:dyDescent="0.25">
      <c r="B838" s="181"/>
      <c r="C838" s="178"/>
      <c r="D838" s="23" t="s">
        <v>82</v>
      </c>
      <c r="E838" s="24">
        <v>5</v>
      </c>
      <c r="F838" s="24">
        <v>23</v>
      </c>
      <c r="G838" s="23" t="s">
        <v>66</v>
      </c>
      <c r="H838" s="23"/>
      <c r="I838" s="47"/>
      <c r="L838" s="181"/>
      <c r="M838" s="178"/>
      <c r="N838" s="23" t="s">
        <v>82</v>
      </c>
      <c r="O838" s="24">
        <v>5</v>
      </c>
      <c r="P838" s="24">
        <v>23</v>
      </c>
      <c r="Q838" s="23" t="s">
        <v>66</v>
      </c>
      <c r="R838" s="23"/>
      <c r="S838" s="47"/>
    </row>
    <row r="839" spans="2:19" ht="15.75" thickBot="1" x14ac:dyDescent="0.3">
      <c r="B839" s="182"/>
      <c r="C839" s="179"/>
      <c r="D839" s="23" t="s">
        <v>83</v>
      </c>
      <c r="E839" s="24">
        <v>6</v>
      </c>
      <c r="F839" s="24">
        <v>24</v>
      </c>
      <c r="G839" s="23" t="s">
        <v>66</v>
      </c>
      <c r="H839" s="23"/>
      <c r="I839" s="47"/>
      <c r="L839" s="182"/>
      <c r="M839" s="179"/>
      <c r="N839" s="23" t="s">
        <v>83</v>
      </c>
      <c r="O839" s="24">
        <v>6</v>
      </c>
      <c r="P839" s="24">
        <v>24</v>
      </c>
      <c r="Q839" s="23" t="s">
        <v>66</v>
      </c>
      <c r="R839" s="23"/>
      <c r="S839" s="47"/>
    </row>
    <row r="840" spans="2:19" x14ac:dyDescent="0.25">
      <c r="B840" s="189" t="s">
        <v>80</v>
      </c>
      <c r="C840" s="192" t="s">
        <v>77</v>
      </c>
      <c r="D840" s="27" t="s">
        <v>2</v>
      </c>
      <c r="E840" s="28">
        <v>1</v>
      </c>
      <c r="F840" s="28">
        <v>25</v>
      </c>
      <c r="G840" s="27" t="s">
        <v>66</v>
      </c>
      <c r="H840" s="27"/>
      <c r="I840" s="48"/>
      <c r="L840" s="189" t="s">
        <v>80</v>
      </c>
      <c r="M840" s="192" t="s">
        <v>77</v>
      </c>
      <c r="N840" s="27" t="s">
        <v>2</v>
      </c>
      <c r="O840" s="28">
        <v>1</v>
      </c>
      <c r="P840" s="28">
        <v>25</v>
      </c>
      <c r="Q840" s="27" t="s">
        <v>66</v>
      </c>
      <c r="R840" s="27"/>
      <c r="S840" s="48"/>
    </row>
    <row r="841" spans="2:19" x14ac:dyDescent="0.25">
      <c r="B841" s="190"/>
      <c r="C841" s="193"/>
      <c r="D841" s="27" t="s">
        <v>3</v>
      </c>
      <c r="E841" s="28">
        <v>2</v>
      </c>
      <c r="F841" s="28">
        <v>26</v>
      </c>
      <c r="G841" s="27" t="s">
        <v>66</v>
      </c>
      <c r="H841" s="27"/>
      <c r="I841" s="48"/>
      <c r="L841" s="190"/>
      <c r="M841" s="193"/>
      <c r="N841" s="27" t="s">
        <v>3</v>
      </c>
      <c r="O841" s="28">
        <v>2</v>
      </c>
      <c r="P841" s="28">
        <v>26</v>
      </c>
      <c r="Q841" s="27" t="s">
        <v>66</v>
      </c>
      <c r="R841" s="27"/>
      <c r="S841" s="48"/>
    </row>
    <row r="842" spans="2:19" x14ac:dyDescent="0.25">
      <c r="B842" s="190"/>
      <c r="C842" s="193"/>
      <c r="D842" s="27" t="s">
        <v>80</v>
      </c>
      <c r="E842" s="28">
        <v>3</v>
      </c>
      <c r="F842" s="28">
        <v>27</v>
      </c>
      <c r="G842" s="27" t="s">
        <v>66</v>
      </c>
      <c r="H842" s="27"/>
      <c r="I842" s="48"/>
      <c r="L842" s="190"/>
      <c r="M842" s="193"/>
      <c r="N842" s="27" t="s">
        <v>80</v>
      </c>
      <c r="O842" s="28">
        <v>3</v>
      </c>
      <c r="P842" s="28">
        <v>27</v>
      </c>
      <c r="Q842" s="27" t="s">
        <v>66</v>
      </c>
      <c r="R842" s="27"/>
      <c r="S842" s="48"/>
    </row>
    <row r="843" spans="2:19" x14ac:dyDescent="0.25">
      <c r="B843" s="190"/>
      <c r="C843" s="193"/>
      <c r="D843" s="27" t="s">
        <v>81</v>
      </c>
      <c r="E843" s="28">
        <v>4</v>
      </c>
      <c r="F843" s="28">
        <v>28</v>
      </c>
      <c r="G843" s="27" t="s">
        <v>66</v>
      </c>
      <c r="H843" s="27"/>
      <c r="I843" s="48"/>
      <c r="L843" s="190"/>
      <c r="M843" s="193"/>
      <c r="N843" s="27" t="s">
        <v>81</v>
      </c>
      <c r="O843" s="28">
        <v>4</v>
      </c>
      <c r="P843" s="28">
        <v>28</v>
      </c>
      <c r="Q843" s="27" t="s">
        <v>66</v>
      </c>
      <c r="R843" s="27"/>
      <c r="S843" s="48"/>
    </row>
    <row r="844" spans="2:19" x14ac:dyDescent="0.25">
      <c r="B844" s="190"/>
      <c r="C844" s="193"/>
      <c r="D844" s="27" t="s">
        <v>82</v>
      </c>
      <c r="E844" s="28">
        <v>5</v>
      </c>
      <c r="F844" s="28">
        <v>29</v>
      </c>
      <c r="G844" s="27" t="s">
        <v>66</v>
      </c>
      <c r="H844" s="27"/>
      <c r="I844" s="48"/>
      <c r="L844" s="190"/>
      <c r="M844" s="193"/>
      <c r="N844" s="27" t="s">
        <v>82</v>
      </c>
      <c r="O844" s="28">
        <v>5</v>
      </c>
      <c r="P844" s="28">
        <v>29</v>
      </c>
      <c r="Q844" s="27" t="s">
        <v>66</v>
      </c>
      <c r="R844" s="27"/>
      <c r="S844" s="48"/>
    </row>
    <row r="845" spans="2:19" ht="15.75" thickBot="1" x14ac:dyDescent="0.3">
      <c r="B845" s="190"/>
      <c r="C845" s="194"/>
      <c r="D845" s="27" t="s">
        <v>83</v>
      </c>
      <c r="E845" s="28">
        <v>6</v>
      </c>
      <c r="F845" s="28">
        <v>30</v>
      </c>
      <c r="G845" s="27" t="s">
        <v>66</v>
      </c>
      <c r="H845" s="27"/>
      <c r="I845" s="48"/>
      <c r="L845" s="190"/>
      <c r="M845" s="194"/>
      <c r="N845" s="27" t="s">
        <v>83</v>
      </c>
      <c r="O845" s="28">
        <v>6</v>
      </c>
      <c r="P845" s="28">
        <v>30</v>
      </c>
      <c r="Q845" s="27" t="s">
        <v>66</v>
      </c>
      <c r="R845" s="27"/>
      <c r="S845" s="48"/>
    </row>
    <row r="846" spans="2:19" x14ac:dyDescent="0.25">
      <c r="B846" s="190"/>
      <c r="C846" s="192" t="s">
        <v>84</v>
      </c>
      <c r="D846" s="27" t="s">
        <v>2</v>
      </c>
      <c r="E846" s="28">
        <v>1</v>
      </c>
      <c r="F846" s="28">
        <v>31</v>
      </c>
      <c r="G846" s="27" t="s">
        <v>66</v>
      </c>
      <c r="H846" s="27"/>
      <c r="I846" s="48"/>
      <c r="L846" s="190"/>
      <c r="M846" s="192" t="s">
        <v>84</v>
      </c>
      <c r="N846" s="27" t="s">
        <v>2</v>
      </c>
      <c r="O846" s="28">
        <v>1</v>
      </c>
      <c r="P846" s="28">
        <v>31</v>
      </c>
      <c r="Q846" s="27" t="s">
        <v>66</v>
      </c>
      <c r="R846" s="27"/>
      <c r="S846" s="48"/>
    </row>
    <row r="847" spans="2:19" x14ac:dyDescent="0.25">
      <c r="B847" s="190"/>
      <c r="C847" s="193"/>
      <c r="D847" s="27" t="s">
        <v>3</v>
      </c>
      <c r="E847" s="28">
        <v>2</v>
      </c>
      <c r="F847" s="28">
        <v>32</v>
      </c>
      <c r="G847" s="27" t="s">
        <v>66</v>
      </c>
      <c r="H847" s="27"/>
      <c r="I847" s="48"/>
      <c r="L847" s="190"/>
      <c r="M847" s="193"/>
      <c r="N847" s="27" t="s">
        <v>3</v>
      </c>
      <c r="O847" s="28">
        <v>2</v>
      </c>
      <c r="P847" s="28">
        <v>32</v>
      </c>
      <c r="Q847" s="27" t="s">
        <v>66</v>
      </c>
      <c r="R847" s="27"/>
      <c r="S847" s="48"/>
    </row>
    <row r="848" spans="2:19" x14ac:dyDescent="0.25">
      <c r="B848" s="190"/>
      <c r="C848" s="193"/>
      <c r="D848" s="27" t="s">
        <v>80</v>
      </c>
      <c r="E848" s="28">
        <v>3</v>
      </c>
      <c r="F848" s="28">
        <v>33</v>
      </c>
      <c r="G848" s="27" t="s">
        <v>66</v>
      </c>
      <c r="H848" s="27"/>
      <c r="I848" s="48"/>
      <c r="L848" s="190"/>
      <c r="M848" s="193"/>
      <c r="N848" s="27" t="s">
        <v>80</v>
      </c>
      <c r="O848" s="28">
        <v>3</v>
      </c>
      <c r="P848" s="28">
        <v>33</v>
      </c>
      <c r="Q848" s="27" t="s">
        <v>66</v>
      </c>
      <c r="R848" s="27"/>
      <c r="S848" s="48"/>
    </row>
    <row r="849" spans="2:19" x14ac:dyDescent="0.25">
      <c r="B849" s="190"/>
      <c r="C849" s="193"/>
      <c r="D849" s="27" t="s">
        <v>81</v>
      </c>
      <c r="E849" s="28">
        <v>4</v>
      </c>
      <c r="F849" s="28">
        <v>34</v>
      </c>
      <c r="G849" s="27" t="s">
        <v>66</v>
      </c>
      <c r="H849" s="27"/>
      <c r="I849" s="48"/>
      <c r="L849" s="190"/>
      <c r="M849" s="193"/>
      <c r="N849" s="27" t="s">
        <v>81</v>
      </c>
      <c r="O849" s="28">
        <v>4</v>
      </c>
      <c r="P849" s="28">
        <v>34</v>
      </c>
      <c r="Q849" s="27" t="s">
        <v>66</v>
      </c>
      <c r="R849" s="27"/>
      <c r="S849" s="48"/>
    </row>
    <row r="850" spans="2:19" x14ac:dyDescent="0.25">
      <c r="B850" s="190"/>
      <c r="C850" s="193"/>
      <c r="D850" s="27" t="s">
        <v>82</v>
      </c>
      <c r="E850" s="28">
        <v>5</v>
      </c>
      <c r="F850" s="28">
        <v>35</v>
      </c>
      <c r="G850" s="27" t="s">
        <v>66</v>
      </c>
      <c r="H850" s="27"/>
      <c r="I850" s="48"/>
      <c r="L850" s="190"/>
      <c r="M850" s="193"/>
      <c r="N850" s="27" t="s">
        <v>82</v>
      </c>
      <c r="O850" s="28">
        <v>5</v>
      </c>
      <c r="P850" s="28">
        <v>35</v>
      </c>
      <c r="Q850" s="27" t="s">
        <v>66</v>
      </c>
      <c r="R850" s="27"/>
      <c r="S850" s="48"/>
    </row>
    <row r="851" spans="2:19" ht="15.75" thickBot="1" x14ac:dyDescent="0.3">
      <c r="B851" s="191"/>
      <c r="C851" s="194"/>
      <c r="D851" s="27" t="s">
        <v>83</v>
      </c>
      <c r="E851" s="28">
        <v>6</v>
      </c>
      <c r="F851" s="28">
        <v>36</v>
      </c>
      <c r="G851" s="27" t="s">
        <v>66</v>
      </c>
      <c r="H851" s="27"/>
      <c r="I851" s="48"/>
      <c r="L851" s="191"/>
      <c r="M851" s="194"/>
      <c r="N851" s="27" t="s">
        <v>83</v>
      </c>
      <c r="O851" s="28">
        <v>6</v>
      </c>
      <c r="P851" s="28">
        <v>36</v>
      </c>
      <c r="Q851" s="27" t="s">
        <v>66</v>
      </c>
      <c r="R851" s="27"/>
      <c r="S851" s="48"/>
    </row>
    <row r="852" spans="2:19" x14ac:dyDescent="0.25">
      <c r="B852" s="183" t="s">
        <v>81</v>
      </c>
      <c r="C852" s="186" t="s">
        <v>77</v>
      </c>
      <c r="D852" s="29" t="s">
        <v>2</v>
      </c>
      <c r="E852" s="30">
        <v>1</v>
      </c>
      <c r="F852" s="30">
        <v>37</v>
      </c>
      <c r="G852" s="29" t="s">
        <v>66</v>
      </c>
      <c r="H852" s="29"/>
      <c r="I852" s="49"/>
      <c r="L852" s="183" t="s">
        <v>81</v>
      </c>
      <c r="M852" s="186" t="s">
        <v>77</v>
      </c>
      <c r="N852" s="29" t="s">
        <v>2</v>
      </c>
      <c r="O852" s="30">
        <v>1</v>
      </c>
      <c r="P852" s="30">
        <v>37</v>
      </c>
      <c r="Q852" s="29" t="s">
        <v>66</v>
      </c>
      <c r="R852" s="29"/>
      <c r="S852" s="49"/>
    </row>
    <row r="853" spans="2:19" x14ac:dyDescent="0.25">
      <c r="B853" s="184"/>
      <c r="C853" s="187"/>
      <c r="D853" s="29" t="s">
        <v>3</v>
      </c>
      <c r="E853" s="30">
        <v>2</v>
      </c>
      <c r="F853" s="30">
        <v>38</v>
      </c>
      <c r="G853" s="29" t="s">
        <v>66</v>
      </c>
      <c r="H853" s="29"/>
      <c r="I853" s="49"/>
      <c r="L853" s="184"/>
      <c r="M853" s="187"/>
      <c r="N853" s="29" t="s">
        <v>3</v>
      </c>
      <c r="O853" s="30">
        <v>2</v>
      </c>
      <c r="P853" s="30">
        <v>38</v>
      </c>
      <c r="Q853" s="29" t="s">
        <v>66</v>
      </c>
      <c r="R853" s="29"/>
      <c r="S853" s="49"/>
    </row>
    <row r="854" spans="2:19" x14ac:dyDescent="0.25">
      <c r="B854" s="184"/>
      <c r="C854" s="187"/>
      <c r="D854" s="29" t="s">
        <v>80</v>
      </c>
      <c r="E854" s="30">
        <v>3</v>
      </c>
      <c r="F854" s="30">
        <v>39</v>
      </c>
      <c r="G854" s="29" t="s">
        <v>66</v>
      </c>
      <c r="H854" s="29"/>
      <c r="I854" s="49"/>
      <c r="L854" s="184"/>
      <c r="M854" s="187"/>
      <c r="N854" s="29" t="s">
        <v>80</v>
      </c>
      <c r="O854" s="30">
        <v>3</v>
      </c>
      <c r="P854" s="30">
        <v>39</v>
      </c>
      <c r="Q854" s="29" t="s">
        <v>66</v>
      </c>
      <c r="R854" s="29"/>
      <c r="S854" s="49"/>
    </row>
    <row r="855" spans="2:19" x14ac:dyDescent="0.25">
      <c r="B855" s="184"/>
      <c r="C855" s="187"/>
      <c r="D855" s="29" t="s">
        <v>81</v>
      </c>
      <c r="E855" s="30">
        <v>4</v>
      </c>
      <c r="F855" s="30">
        <v>40</v>
      </c>
      <c r="G855" s="29" t="s">
        <v>66</v>
      </c>
      <c r="H855" s="29"/>
      <c r="I855" s="49"/>
      <c r="L855" s="184"/>
      <c r="M855" s="187"/>
      <c r="N855" s="29" t="s">
        <v>81</v>
      </c>
      <c r="O855" s="30">
        <v>4</v>
      </c>
      <c r="P855" s="30">
        <v>40</v>
      </c>
      <c r="Q855" s="29" t="s">
        <v>66</v>
      </c>
      <c r="R855" s="29"/>
      <c r="S855" s="49"/>
    </row>
    <row r="856" spans="2:19" x14ac:dyDescent="0.25">
      <c r="B856" s="184"/>
      <c r="C856" s="187"/>
      <c r="D856" s="29" t="s">
        <v>82</v>
      </c>
      <c r="E856" s="30">
        <v>5</v>
      </c>
      <c r="F856" s="30">
        <v>41</v>
      </c>
      <c r="G856" s="29" t="s">
        <v>66</v>
      </c>
      <c r="H856" s="29"/>
      <c r="I856" s="49"/>
      <c r="L856" s="184"/>
      <c r="M856" s="187"/>
      <c r="N856" s="29" t="s">
        <v>82</v>
      </c>
      <c r="O856" s="30">
        <v>5</v>
      </c>
      <c r="P856" s="30">
        <v>41</v>
      </c>
      <c r="Q856" s="29" t="s">
        <v>66</v>
      </c>
      <c r="R856" s="29"/>
      <c r="S856" s="49"/>
    </row>
    <row r="857" spans="2:19" ht="15.75" thickBot="1" x14ac:dyDescent="0.3">
      <c r="B857" s="184"/>
      <c r="C857" s="188"/>
      <c r="D857" s="29" t="s">
        <v>83</v>
      </c>
      <c r="E857" s="30">
        <v>6</v>
      </c>
      <c r="F857" s="30">
        <v>42</v>
      </c>
      <c r="G857" s="29" t="s">
        <v>66</v>
      </c>
      <c r="H857" s="29"/>
      <c r="I857" s="49"/>
      <c r="L857" s="184"/>
      <c r="M857" s="188"/>
      <c r="N857" s="29" t="s">
        <v>83</v>
      </c>
      <c r="O857" s="30">
        <v>6</v>
      </c>
      <c r="P857" s="30">
        <v>42</v>
      </c>
      <c r="Q857" s="29" t="s">
        <v>66</v>
      </c>
      <c r="R857" s="29"/>
      <c r="S857" s="49"/>
    </row>
    <row r="858" spans="2:19" x14ac:dyDescent="0.25">
      <c r="B858" s="184"/>
      <c r="C858" s="186" t="s">
        <v>84</v>
      </c>
      <c r="D858" s="29" t="s">
        <v>2</v>
      </c>
      <c r="E858" s="30">
        <v>1</v>
      </c>
      <c r="F858" s="30">
        <v>43</v>
      </c>
      <c r="G858" s="29" t="s">
        <v>66</v>
      </c>
      <c r="H858" s="29"/>
      <c r="I858" s="49"/>
      <c r="L858" s="184"/>
      <c r="M858" s="186" t="s">
        <v>84</v>
      </c>
      <c r="N858" s="29" t="s">
        <v>2</v>
      </c>
      <c r="O858" s="30">
        <v>1</v>
      </c>
      <c r="P858" s="30">
        <v>43</v>
      </c>
      <c r="Q858" s="29" t="s">
        <v>66</v>
      </c>
      <c r="R858" s="29"/>
      <c r="S858" s="49"/>
    </row>
    <row r="859" spans="2:19" x14ac:dyDescent="0.25">
      <c r="B859" s="184"/>
      <c r="C859" s="187"/>
      <c r="D859" s="29" t="s">
        <v>3</v>
      </c>
      <c r="E859" s="30">
        <v>2</v>
      </c>
      <c r="F859" s="30">
        <v>44</v>
      </c>
      <c r="G859" s="29" t="s">
        <v>66</v>
      </c>
      <c r="H859" s="29"/>
      <c r="I859" s="49"/>
      <c r="L859" s="184"/>
      <c r="M859" s="187"/>
      <c r="N859" s="29" t="s">
        <v>3</v>
      </c>
      <c r="O859" s="30">
        <v>2</v>
      </c>
      <c r="P859" s="30">
        <v>44</v>
      </c>
      <c r="Q859" s="29" t="s">
        <v>66</v>
      </c>
      <c r="R859" s="29"/>
      <c r="S859" s="49"/>
    </row>
    <row r="860" spans="2:19" x14ac:dyDescent="0.25">
      <c r="B860" s="184"/>
      <c r="C860" s="187"/>
      <c r="D860" s="29" t="s">
        <v>80</v>
      </c>
      <c r="E860" s="30">
        <v>3</v>
      </c>
      <c r="F860" s="30">
        <v>45</v>
      </c>
      <c r="G860" s="29" t="s">
        <v>66</v>
      </c>
      <c r="H860" s="29"/>
      <c r="I860" s="49"/>
      <c r="L860" s="184"/>
      <c r="M860" s="187"/>
      <c r="N860" s="29" t="s">
        <v>80</v>
      </c>
      <c r="O860" s="30">
        <v>3</v>
      </c>
      <c r="P860" s="30">
        <v>45</v>
      </c>
      <c r="Q860" s="29" t="s">
        <v>66</v>
      </c>
      <c r="R860" s="29"/>
      <c r="S860" s="49"/>
    </row>
    <row r="861" spans="2:19" x14ac:dyDescent="0.25">
      <c r="B861" s="184"/>
      <c r="C861" s="187"/>
      <c r="D861" s="29" t="s">
        <v>81</v>
      </c>
      <c r="E861" s="30">
        <v>4</v>
      </c>
      <c r="F861" s="30">
        <v>46</v>
      </c>
      <c r="G861" s="29" t="s">
        <v>66</v>
      </c>
      <c r="H861" s="29"/>
      <c r="I861" s="49"/>
      <c r="L861" s="184"/>
      <c r="M861" s="187"/>
      <c r="N861" s="29" t="s">
        <v>81</v>
      </c>
      <c r="O861" s="30">
        <v>4</v>
      </c>
      <c r="P861" s="30">
        <v>46</v>
      </c>
      <c r="Q861" s="29" t="s">
        <v>66</v>
      </c>
      <c r="R861" s="29"/>
      <c r="S861" s="49"/>
    </row>
    <row r="862" spans="2:19" x14ac:dyDescent="0.25">
      <c r="B862" s="184"/>
      <c r="C862" s="187"/>
      <c r="D862" s="29" t="s">
        <v>82</v>
      </c>
      <c r="E862" s="30">
        <v>5</v>
      </c>
      <c r="F862" s="30">
        <v>47</v>
      </c>
      <c r="G862" s="29" t="s">
        <v>66</v>
      </c>
      <c r="H862" s="29"/>
      <c r="I862" s="49"/>
      <c r="L862" s="184"/>
      <c r="M862" s="187"/>
      <c r="N862" s="29" t="s">
        <v>82</v>
      </c>
      <c r="O862" s="30">
        <v>5</v>
      </c>
      <c r="P862" s="30">
        <v>47</v>
      </c>
      <c r="Q862" s="29" t="s">
        <v>66</v>
      </c>
      <c r="R862" s="29"/>
      <c r="S862" s="49"/>
    </row>
    <row r="863" spans="2:19" ht="15.75" thickBot="1" x14ac:dyDescent="0.3">
      <c r="B863" s="185"/>
      <c r="C863" s="188"/>
      <c r="D863" s="29" t="s">
        <v>83</v>
      </c>
      <c r="E863" s="30">
        <v>6</v>
      </c>
      <c r="F863" s="30">
        <v>48</v>
      </c>
      <c r="G863" s="29" t="s">
        <v>66</v>
      </c>
      <c r="H863" s="29"/>
      <c r="I863" s="49"/>
      <c r="L863" s="185"/>
      <c r="M863" s="188"/>
      <c r="N863" s="29" t="s">
        <v>83</v>
      </c>
      <c r="O863" s="30">
        <v>6</v>
      </c>
      <c r="P863" s="30">
        <v>48</v>
      </c>
      <c r="Q863" s="29" t="s">
        <v>66</v>
      </c>
      <c r="R863" s="29"/>
      <c r="S863" s="49"/>
    </row>
    <row r="864" spans="2:19" ht="15.75" thickBot="1" x14ac:dyDescent="0.3"/>
    <row r="865" spans="2:19" ht="15.75" thickBot="1" x14ac:dyDescent="0.3">
      <c r="B865" s="171" t="s">
        <v>331</v>
      </c>
      <c r="C865" s="172"/>
      <c r="D865" s="172"/>
      <c r="E865" s="172"/>
      <c r="F865" s="172"/>
      <c r="G865" s="172"/>
      <c r="H865" s="172"/>
      <c r="I865" s="173"/>
      <c r="L865" s="171" t="s">
        <v>332</v>
      </c>
      <c r="M865" s="172"/>
      <c r="N865" s="172"/>
      <c r="O865" s="172"/>
      <c r="P865" s="172"/>
      <c r="Q865" s="172"/>
      <c r="R865" s="172"/>
      <c r="S865" s="173"/>
    </row>
    <row r="867" spans="2:19" ht="26.25" thickBot="1" x14ac:dyDescent="0.3">
      <c r="B867" s="15" t="s">
        <v>70</v>
      </c>
      <c r="C867" s="16" t="s">
        <v>71</v>
      </c>
      <c r="D867" s="15" t="s">
        <v>72</v>
      </c>
      <c r="E867" s="17" t="s">
        <v>73</v>
      </c>
      <c r="F867" s="17" t="s">
        <v>74</v>
      </c>
      <c r="G867" s="15" t="s">
        <v>75</v>
      </c>
      <c r="H867" s="15" t="s">
        <v>55</v>
      </c>
      <c r="I867" s="15" t="s">
        <v>76</v>
      </c>
      <c r="L867" s="15" t="s">
        <v>70</v>
      </c>
      <c r="M867" s="16" t="s">
        <v>71</v>
      </c>
      <c r="N867" s="15" t="s">
        <v>72</v>
      </c>
      <c r="O867" s="17" t="s">
        <v>73</v>
      </c>
      <c r="P867" s="17" t="s">
        <v>74</v>
      </c>
      <c r="Q867" s="15" t="s">
        <v>75</v>
      </c>
      <c r="R867" s="15" t="s">
        <v>55</v>
      </c>
      <c r="S867" s="15" t="s">
        <v>76</v>
      </c>
    </row>
    <row r="868" spans="2:19" x14ac:dyDescent="0.25">
      <c r="B868" s="174" t="s">
        <v>2</v>
      </c>
      <c r="C868" s="168" t="s">
        <v>77</v>
      </c>
      <c r="D868" s="18" t="s">
        <v>2</v>
      </c>
      <c r="E868" s="19">
        <v>1</v>
      </c>
      <c r="F868" s="19">
        <v>1</v>
      </c>
      <c r="G868" s="18" t="s">
        <v>66</v>
      </c>
      <c r="H868" s="32"/>
      <c r="I868" s="50"/>
      <c r="L868" s="174" t="s">
        <v>2</v>
      </c>
      <c r="M868" s="168" t="s">
        <v>77</v>
      </c>
      <c r="N868" s="18" t="s">
        <v>2</v>
      </c>
      <c r="O868" s="19">
        <v>1</v>
      </c>
      <c r="P868" s="19">
        <v>1</v>
      </c>
      <c r="Q868" s="18" t="s">
        <v>66</v>
      </c>
      <c r="R868" s="32"/>
      <c r="S868" s="33"/>
    </row>
    <row r="869" spans="2:19" x14ac:dyDescent="0.25">
      <c r="B869" s="175"/>
      <c r="C869" s="169"/>
      <c r="D869" s="18" t="s">
        <v>3</v>
      </c>
      <c r="E869" s="19">
        <v>2</v>
      </c>
      <c r="F869" s="19">
        <v>2</v>
      </c>
      <c r="G869" s="18" t="s">
        <v>66</v>
      </c>
      <c r="H869" s="32"/>
      <c r="I869" s="50"/>
      <c r="L869" s="175"/>
      <c r="M869" s="169"/>
      <c r="N869" s="18" t="s">
        <v>3</v>
      </c>
      <c r="O869" s="19">
        <v>2</v>
      </c>
      <c r="P869" s="19">
        <v>2</v>
      </c>
      <c r="Q869" s="18" t="s">
        <v>66</v>
      </c>
      <c r="R869" s="32"/>
      <c r="S869" s="33"/>
    </row>
    <row r="870" spans="2:19" x14ac:dyDescent="0.25">
      <c r="B870" s="175"/>
      <c r="C870" s="169"/>
      <c r="D870" s="18" t="s">
        <v>80</v>
      </c>
      <c r="E870" s="20">
        <v>3</v>
      </c>
      <c r="F870" s="20">
        <v>3</v>
      </c>
      <c r="G870" s="18" t="s">
        <v>66</v>
      </c>
      <c r="H870" s="32"/>
      <c r="I870" s="50"/>
      <c r="L870" s="175"/>
      <c r="M870" s="169"/>
      <c r="N870" s="18" t="s">
        <v>80</v>
      </c>
      <c r="O870" s="20">
        <v>3</v>
      </c>
      <c r="P870" s="20">
        <v>3</v>
      </c>
      <c r="Q870" s="18" t="s">
        <v>66</v>
      </c>
      <c r="R870" s="32"/>
      <c r="S870" s="33"/>
    </row>
    <row r="871" spans="2:19" x14ac:dyDescent="0.25">
      <c r="B871" s="175"/>
      <c r="C871" s="169"/>
      <c r="D871" s="18" t="s">
        <v>81</v>
      </c>
      <c r="E871" s="20">
        <v>4</v>
      </c>
      <c r="F871" s="20">
        <v>4</v>
      </c>
      <c r="G871" s="18" t="s">
        <v>66</v>
      </c>
      <c r="H871" s="32"/>
      <c r="I871" s="50"/>
      <c r="L871" s="175"/>
      <c r="M871" s="169"/>
      <c r="N871" s="18" t="s">
        <v>81</v>
      </c>
      <c r="O871" s="20">
        <v>4</v>
      </c>
      <c r="P871" s="20">
        <v>4</v>
      </c>
      <c r="Q871" s="18" t="s">
        <v>66</v>
      </c>
      <c r="R871" s="32"/>
      <c r="S871" s="33"/>
    </row>
    <row r="872" spans="2:19" x14ac:dyDescent="0.25">
      <c r="B872" s="175"/>
      <c r="C872" s="169"/>
      <c r="D872" s="18" t="s">
        <v>82</v>
      </c>
      <c r="E872" s="20">
        <v>5</v>
      </c>
      <c r="F872" s="20">
        <v>5</v>
      </c>
      <c r="G872" s="18" t="s">
        <v>66</v>
      </c>
      <c r="H872" s="32"/>
      <c r="I872" s="50"/>
      <c r="L872" s="175"/>
      <c r="M872" s="169"/>
      <c r="N872" s="18" t="s">
        <v>82</v>
      </c>
      <c r="O872" s="20">
        <v>5</v>
      </c>
      <c r="P872" s="20">
        <v>5</v>
      </c>
      <c r="Q872" s="18" t="s">
        <v>66</v>
      </c>
      <c r="R872" s="32"/>
      <c r="S872" s="33"/>
    </row>
    <row r="873" spans="2:19" ht="15.75" thickBot="1" x14ac:dyDescent="0.3">
      <c r="B873" s="175"/>
      <c r="C873" s="170"/>
      <c r="D873" s="18" t="s">
        <v>83</v>
      </c>
      <c r="E873" s="20">
        <v>6</v>
      </c>
      <c r="F873" s="20">
        <v>6</v>
      </c>
      <c r="G873" s="18" t="s">
        <v>66</v>
      </c>
      <c r="H873" s="32"/>
      <c r="I873" s="50"/>
      <c r="L873" s="175"/>
      <c r="M873" s="170"/>
      <c r="N873" s="18" t="s">
        <v>83</v>
      </c>
      <c r="O873" s="20">
        <v>6</v>
      </c>
      <c r="P873" s="20">
        <v>6</v>
      </c>
      <c r="Q873" s="18" t="s">
        <v>66</v>
      </c>
      <c r="R873" s="32"/>
      <c r="S873" s="33"/>
    </row>
    <row r="874" spans="2:19" x14ac:dyDescent="0.25">
      <c r="B874" s="175"/>
      <c r="C874" s="168" t="s">
        <v>84</v>
      </c>
      <c r="D874" s="18" t="s">
        <v>2</v>
      </c>
      <c r="E874" s="19">
        <v>1</v>
      </c>
      <c r="F874" s="19">
        <v>7</v>
      </c>
      <c r="G874" s="18" t="s">
        <v>78</v>
      </c>
      <c r="H874" s="156" t="s">
        <v>140</v>
      </c>
      <c r="I874" s="165" t="s">
        <v>190</v>
      </c>
      <c r="L874" s="175"/>
      <c r="M874" s="168" t="s">
        <v>84</v>
      </c>
      <c r="N874" s="18" t="s">
        <v>2</v>
      </c>
      <c r="O874" s="19">
        <v>1</v>
      </c>
      <c r="P874" s="19">
        <v>7</v>
      </c>
      <c r="Q874" s="18" t="s">
        <v>78</v>
      </c>
      <c r="R874" s="156" t="s">
        <v>140</v>
      </c>
      <c r="S874" s="195" t="s">
        <v>192</v>
      </c>
    </row>
    <row r="875" spans="2:19" x14ac:dyDescent="0.25">
      <c r="B875" s="175"/>
      <c r="C875" s="169"/>
      <c r="D875" s="18" t="s">
        <v>3</v>
      </c>
      <c r="E875" s="19">
        <v>2</v>
      </c>
      <c r="F875" s="19">
        <v>8</v>
      </c>
      <c r="G875" s="18" t="s">
        <v>78</v>
      </c>
      <c r="H875" s="157"/>
      <c r="I875" s="166"/>
      <c r="L875" s="175"/>
      <c r="M875" s="169"/>
      <c r="N875" s="18" t="s">
        <v>3</v>
      </c>
      <c r="O875" s="19">
        <v>2</v>
      </c>
      <c r="P875" s="19">
        <v>8</v>
      </c>
      <c r="Q875" s="18" t="s">
        <v>78</v>
      </c>
      <c r="R875" s="157"/>
      <c r="S875" s="196"/>
    </row>
    <row r="876" spans="2:19" x14ac:dyDescent="0.25">
      <c r="B876" s="175"/>
      <c r="C876" s="169"/>
      <c r="D876" s="18" t="s">
        <v>80</v>
      </c>
      <c r="E876" s="20">
        <v>3</v>
      </c>
      <c r="F876" s="20">
        <v>9</v>
      </c>
      <c r="G876" s="18" t="s">
        <v>66</v>
      </c>
      <c r="H876" s="157"/>
      <c r="I876" s="166"/>
      <c r="L876" s="175"/>
      <c r="M876" s="169"/>
      <c r="N876" s="18" t="s">
        <v>80</v>
      </c>
      <c r="O876" s="20">
        <v>3</v>
      </c>
      <c r="P876" s="20">
        <v>9</v>
      </c>
      <c r="Q876" s="18" t="s">
        <v>66</v>
      </c>
      <c r="R876" s="157"/>
      <c r="S876" s="196"/>
    </row>
    <row r="877" spans="2:19" x14ac:dyDescent="0.25">
      <c r="B877" s="175"/>
      <c r="C877" s="169"/>
      <c r="D877" s="18" t="s">
        <v>81</v>
      </c>
      <c r="E877" s="20">
        <v>4</v>
      </c>
      <c r="F877" s="20">
        <v>10</v>
      </c>
      <c r="G877" s="18" t="s">
        <v>66</v>
      </c>
      <c r="H877" s="157"/>
      <c r="I877" s="166"/>
      <c r="L877" s="175"/>
      <c r="M877" s="169"/>
      <c r="N877" s="18" t="s">
        <v>81</v>
      </c>
      <c r="O877" s="20">
        <v>4</v>
      </c>
      <c r="P877" s="20">
        <v>10</v>
      </c>
      <c r="Q877" s="18" t="s">
        <v>66</v>
      </c>
      <c r="R877" s="157"/>
      <c r="S877" s="196"/>
    </row>
    <row r="878" spans="2:19" x14ac:dyDescent="0.25">
      <c r="B878" s="175"/>
      <c r="C878" s="169"/>
      <c r="D878" s="18" t="s">
        <v>82</v>
      </c>
      <c r="E878" s="20">
        <v>5</v>
      </c>
      <c r="F878" s="20">
        <v>11</v>
      </c>
      <c r="G878" s="18" t="s">
        <v>66</v>
      </c>
      <c r="H878" s="157"/>
      <c r="I878" s="166"/>
      <c r="L878" s="175"/>
      <c r="M878" s="169"/>
      <c r="N878" s="18" t="s">
        <v>82</v>
      </c>
      <c r="O878" s="20">
        <v>5</v>
      </c>
      <c r="P878" s="20">
        <v>11</v>
      </c>
      <c r="Q878" s="18" t="s">
        <v>66</v>
      </c>
      <c r="R878" s="157"/>
      <c r="S878" s="196"/>
    </row>
    <row r="879" spans="2:19" ht="15.75" thickBot="1" x14ac:dyDescent="0.3">
      <c r="B879" s="176"/>
      <c r="C879" s="170"/>
      <c r="D879" s="18" t="s">
        <v>83</v>
      </c>
      <c r="E879" s="20">
        <v>6</v>
      </c>
      <c r="F879" s="20">
        <v>12</v>
      </c>
      <c r="G879" s="18" t="s">
        <v>66</v>
      </c>
      <c r="H879" s="158"/>
      <c r="I879" s="167"/>
      <c r="L879" s="176"/>
      <c r="M879" s="170"/>
      <c r="N879" s="18" t="s">
        <v>83</v>
      </c>
      <c r="O879" s="20">
        <v>6</v>
      </c>
      <c r="P879" s="20">
        <v>12</v>
      </c>
      <c r="Q879" s="18" t="s">
        <v>66</v>
      </c>
      <c r="R879" s="158"/>
      <c r="S879" s="197"/>
    </row>
    <row r="880" spans="2:19" x14ac:dyDescent="0.25">
      <c r="B880" s="180" t="s">
        <v>3</v>
      </c>
      <c r="C880" s="177" t="s">
        <v>77</v>
      </c>
      <c r="D880" s="21" t="s">
        <v>2</v>
      </c>
      <c r="E880" s="22">
        <v>1</v>
      </c>
      <c r="F880" s="22">
        <v>13</v>
      </c>
      <c r="G880" s="21" t="s">
        <v>66</v>
      </c>
      <c r="H880" s="21"/>
      <c r="I880" s="51"/>
      <c r="L880" s="180" t="s">
        <v>3</v>
      </c>
      <c r="M880" s="177" t="s">
        <v>77</v>
      </c>
      <c r="N880" s="21" t="s">
        <v>2</v>
      </c>
      <c r="O880" s="22">
        <v>1</v>
      </c>
      <c r="P880" s="22">
        <v>13</v>
      </c>
      <c r="Q880" s="21" t="s">
        <v>66</v>
      </c>
      <c r="R880" s="21"/>
      <c r="S880" s="34"/>
    </row>
    <row r="881" spans="2:19" x14ac:dyDescent="0.25">
      <c r="B881" s="181"/>
      <c r="C881" s="178"/>
      <c r="D881" s="23" t="s">
        <v>3</v>
      </c>
      <c r="E881" s="24">
        <v>2</v>
      </c>
      <c r="F881" s="24">
        <v>14</v>
      </c>
      <c r="G881" s="23" t="s">
        <v>66</v>
      </c>
      <c r="H881" s="23"/>
      <c r="I881" s="47"/>
      <c r="L881" s="181"/>
      <c r="M881" s="178"/>
      <c r="N881" s="23" t="s">
        <v>3</v>
      </c>
      <c r="O881" s="24">
        <v>2</v>
      </c>
      <c r="P881" s="24">
        <v>14</v>
      </c>
      <c r="Q881" s="23" t="s">
        <v>66</v>
      </c>
      <c r="R881" s="23"/>
      <c r="S881" s="25"/>
    </row>
    <row r="882" spans="2:19" x14ac:dyDescent="0.25">
      <c r="B882" s="181"/>
      <c r="C882" s="178"/>
      <c r="D882" s="23" t="s">
        <v>80</v>
      </c>
      <c r="E882" s="24">
        <v>3</v>
      </c>
      <c r="F882" s="24">
        <v>15</v>
      </c>
      <c r="G882" s="23" t="s">
        <v>66</v>
      </c>
      <c r="H882" s="23"/>
      <c r="I882" s="47"/>
      <c r="L882" s="181"/>
      <c r="M882" s="178"/>
      <c r="N882" s="23" t="s">
        <v>80</v>
      </c>
      <c r="O882" s="24">
        <v>3</v>
      </c>
      <c r="P882" s="24">
        <v>15</v>
      </c>
      <c r="Q882" s="23" t="s">
        <v>66</v>
      </c>
      <c r="R882" s="23"/>
      <c r="S882" s="25"/>
    </row>
    <row r="883" spans="2:19" x14ac:dyDescent="0.25">
      <c r="B883" s="181"/>
      <c r="C883" s="178"/>
      <c r="D883" s="23" t="s">
        <v>81</v>
      </c>
      <c r="E883" s="24">
        <v>4</v>
      </c>
      <c r="F883" s="24">
        <v>16</v>
      </c>
      <c r="G883" s="23" t="s">
        <v>66</v>
      </c>
      <c r="H883" s="23"/>
      <c r="I883" s="47"/>
      <c r="L883" s="181"/>
      <c r="M883" s="178"/>
      <c r="N883" s="23" t="s">
        <v>81</v>
      </c>
      <c r="O883" s="24">
        <v>4</v>
      </c>
      <c r="P883" s="24">
        <v>16</v>
      </c>
      <c r="Q883" s="23" t="s">
        <v>66</v>
      </c>
      <c r="R883" s="23"/>
      <c r="S883" s="25"/>
    </row>
    <row r="884" spans="2:19" x14ac:dyDescent="0.25">
      <c r="B884" s="181"/>
      <c r="C884" s="178"/>
      <c r="D884" s="23" t="s">
        <v>82</v>
      </c>
      <c r="E884" s="24">
        <v>5</v>
      </c>
      <c r="F884" s="24">
        <v>17</v>
      </c>
      <c r="G884" s="23" t="s">
        <v>66</v>
      </c>
      <c r="H884" s="23"/>
      <c r="I884" s="47"/>
      <c r="L884" s="181"/>
      <c r="M884" s="178"/>
      <c r="N884" s="23" t="s">
        <v>82</v>
      </c>
      <c r="O884" s="24">
        <v>5</v>
      </c>
      <c r="P884" s="24">
        <v>17</v>
      </c>
      <c r="Q884" s="23" t="s">
        <v>66</v>
      </c>
      <c r="R884" s="23"/>
      <c r="S884" s="25"/>
    </row>
    <row r="885" spans="2:19" ht="15.75" thickBot="1" x14ac:dyDescent="0.3">
      <c r="B885" s="181"/>
      <c r="C885" s="179"/>
      <c r="D885" s="23" t="s">
        <v>83</v>
      </c>
      <c r="E885" s="24">
        <v>6</v>
      </c>
      <c r="F885" s="24">
        <v>18</v>
      </c>
      <c r="G885" s="23" t="s">
        <v>66</v>
      </c>
      <c r="H885" s="23"/>
      <c r="I885" s="47"/>
      <c r="L885" s="181"/>
      <c r="M885" s="179"/>
      <c r="N885" s="23" t="s">
        <v>83</v>
      </c>
      <c r="O885" s="24">
        <v>6</v>
      </c>
      <c r="P885" s="24">
        <v>18</v>
      </c>
      <c r="Q885" s="23" t="s">
        <v>66</v>
      </c>
      <c r="R885" s="23"/>
      <c r="S885" s="25"/>
    </row>
    <row r="886" spans="2:19" x14ac:dyDescent="0.25">
      <c r="B886" s="181"/>
      <c r="C886" s="177" t="s">
        <v>84</v>
      </c>
      <c r="D886" s="23" t="s">
        <v>2</v>
      </c>
      <c r="E886" s="24">
        <v>1</v>
      </c>
      <c r="F886" s="24">
        <v>19</v>
      </c>
      <c r="G886" s="23" t="s">
        <v>66</v>
      </c>
      <c r="H886" s="23"/>
      <c r="I886" s="47"/>
      <c r="L886" s="181"/>
      <c r="M886" s="177" t="s">
        <v>84</v>
      </c>
      <c r="N886" s="23" t="s">
        <v>2</v>
      </c>
      <c r="O886" s="24">
        <v>1</v>
      </c>
      <c r="P886" s="24">
        <v>19</v>
      </c>
      <c r="Q886" s="23" t="s">
        <v>66</v>
      </c>
      <c r="R886" s="23"/>
      <c r="S886" s="47"/>
    </row>
    <row r="887" spans="2:19" x14ac:dyDescent="0.25">
      <c r="B887" s="181"/>
      <c r="C887" s="178"/>
      <c r="D887" s="23" t="s">
        <v>3</v>
      </c>
      <c r="E887" s="24">
        <v>2</v>
      </c>
      <c r="F887" s="24">
        <v>20</v>
      </c>
      <c r="G887" s="23" t="s">
        <v>66</v>
      </c>
      <c r="H887" s="23"/>
      <c r="I887" s="47"/>
      <c r="L887" s="181"/>
      <c r="M887" s="178"/>
      <c r="N887" s="23" t="s">
        <v>3</v>
      </c>
      <c r="O887" s="24">
        <v>2</v>
      </c>
      <c r="P887" s="24">
        <v>20</v>
      </c>
      <c r="Q887" s="23" t="s">
        <v>66</v>
      </c>
      <c r="R887" s="23"/>
      <c r="S887" s="47"/>
    </row>
    <row r="888" spans="2:19" x14ac:dyDescent="0.25">
      <c r="B888" s="181"/>
      <c r="C888" s="178"/>
      <c r="D888" s="23" t="s">
        <v>80</v>
      </c>
      <c r="E888" s="26">
        <v>3</v>
      </c>
      <c r="F888" s="24">
        <v>21</v>
      </c>
      <c r="G888" s="23" t="s">
        <v>66</v>
      </c>
      <c r="H888" s="23"/>
      <c r="I888" s="47"/>
      <c r="L888" s="181"/>
      <c r="M888" s="178"/>
      <c r="N888" s="23" t="s">
        <v>80</v>
      </c>
      <c r="O888" s="26">
        <v>3</v>
      </c>
      <c r="P888" s="24">
        <v>21</v>
      </c>
      <c r="Q888" s="23" t="s">
        <v>66</v>
      </c>
      <c r="R888" s="23"/>
      <c r="S888" s="47"/>
    </row>
    <row r="889" spans="2:19" x14ac:dyDescent="0.25">
      <c r="B889" s="181"/>
      <c r="C889" s="178"/>
      <c r="D889" s="23" t="s">
        <v>81</v>
      </c>
      <c r="E889" s="24">
        <v>4</v>
      </c>
      <c r="F889" s="24">
        <v>22</v>
      </c>
      <c r="G889" s="23" t="s">
        <v>66</v>
      </c>
      <c r="H889" s="23"/>
      <c r="I889" s="47"/>
      <c r="L889" s="181"/>
      <c r="M889" s="178"/>
      <c r="N889" s="23" t="s">
        <v>81</v>
      </c>
      <c r="O889" s="24">
        <v>4</v>
      </c>
      <c r="P889" s="24">
        <v>22</v>
      </c>
      <c r="Q889" s="23" t="s">
        <v>66</v>
      </c>
      <c r="R889" s="23"/>
      <c r="S889" s="47"/>
    </row>
    <row r="890" spans="2:19" x14ac:dyDescent="0.25">
      <c r="B890" s="181"/>
      <c r="C890" s="178"/>
      <c r="D890" s="23" t="s">
        <v>82</v>
      </c>
      <c r="E890" s="24">
        <v>5</v>
      </c>
      <c r="F890" s="24">
        <v>23</v>
      </c>
      <c r="G890" s="23" t="s">
        <v>66</v>
      </c>
      <c r="H890" s="23"/>
      <c r="I890" s="47"/>
      <c r="L890" s="181"/>
      <c r="M890" s="178"/>
      <c r="N890" s="23" t="s">
        <v>82</v>
      </c>
      <c r="O890" s="24">
        <v>5</v>
      </c>
      <c r="P890" s="24">
        <v>23</v>
      </c>
      <c r="Q890" s="23" t="s">
        <v>66</v>
      </c>
      <c r="R890" s="23"/>
      <c r="S890" s="47"/>
    </row>
    <row r="891" spans="2:19" ht="15.75" thickBot="1" x14ac:dyDescent="0.3">
      <c r="B891" s="182"/>
      <c r="C891" s="179"/>
      <c r="D891" s="23" t="s">
        <v>83</v>
      </c>
      <c r="E891" s="24">
        <v>6</v>
      </c>
      <c r="F891" s="24">
        <v>24</v>
      </c>
      <c r="G891" s="23" t="s">
        <v>66</v>
      </c>
      <c r="H891" s="23"/>
      <c r="I891" s="47"/>
      <c r="L891" s="182"/>
      <c r="M891" s="179"/>
      <c r="N891" s="23" t="s">
        <v>83</v>
      </c>
      <c r="O891" s="24">
        <v>6</v>
      </c>
      <c r="P891" s="24">
        <v>24</v>
      </c>
      <c r="Q891" s="23" t="s">
        <v>66</v>
      </c>
      <c r="R891" s="23"/>
      <c r="S891" s="47"/>
    </row>
    <row r="892" spans="2:19" x14ac:dyDescent="0.25">
      <c r="B892" s="189" t="s">
        <v>80</v>
      </c>
      <c r="C892" s="192" t="s">
        <v>77</v>
      </c>
      <c r="D892" s="27" t="s">
        <v>2</v>
      </c>
      <c r="E892" s="28">
        <v>1</v>
      </c>
      <c r="F892" s="28">
        <v>25</v>
      </c>
      <c r="G892" s="27" t="s">
        <v>66</v>
      </c>
      <c r="H892" s="27"/>
      <c r="I892" s="48"/>
      <c r="L892" s="189" t="s">
        <v>80</v>
      </c>
      <c r="M892" s="192" t="s">
        <v>77</v>
      </c>
      <c r="N892" s="27" t="s">
        <v>2</v>
      </c>
      <c r="O892" s="28">
        <v>1</v>
      </c>
      <c r="P892" s="28">
        <v>25</v>
      </c>
      <c r="Q892" s="27" t="s">
        <v>66</v>
      </c>
      <c r="R892" s="27"/>
      <c r="S892" s="48"/>
    </row>
    <row r="893" spans="2:19" x14ac:dyDescent="0.25">
      <c r="B893" s="190"/>
      <c r="C893" s="193"/>
      <c r="D893" s="27" t="s">
        <v>3</v>
      </c>
      <c r="E893" s="28">
        <v>2</v>
      </c>
      <c r="F893" s="28">
        <v>26</v>
      </c>
      <c r="G893" s="27" t="s">
        <v>66</v>
      </c>
      <c r="H893" s="27"/>
      <c r="I893" s="48"/>
      <c r="L893" s="190"/>
      <c r="M893" s="193"/>
      <c r="N893" s="27" t="s">
        <v>3</v>
      </c>
      <c r="O893" s="28">
        <v>2</v>
      </c>
      <c r="P893" s="28">
        <v>26</v>
      </c>
      <c r="Q893" s="27" t="s">
        <v>66</v>
      </c>
      <c r="R893" s="27"/>
      <c r="S893" s="48"/>
    </row>
    <row r="894" spans="2:19" x14ac:dyDescent="0.25">
      <c r="B894" s="190"/>
      <c r="C894" s="193"/>
      <c r="D894" s="27" t="s">
        <v>80</v>
      </c>
      <c r="E894" s="28">
        <v>3</v>
      </c>
      <c r="F894" s="28">
        <v>27</v>
      </c>
      <c r="G894" s="27" t="s">
        <v>66</v>
      </c>
      <c r="H894" s="27"/>
      <c r="I894" s="48"/>
      <c r="L894" s="190"/>
      <c r="M894" s="193"/>
      <c r="N894" s="27" t="s">
        <v>80</v>
      </c>
      <c r="O894" s="28">
        <v>3</v>
      </c>
      <c r="P894" s="28">
        <v>27</v>
      </c>
      <c r="Q894" s="27" t="s">
        <v>66</v>
      </c>
      <c r="R894" s="27"/>
      <c r="S894" s="48"/>
    </row>
    <row r="895" spans="2:19" x14ac:dyDescent="0.25">
      <c r="B895" s="190"/>
      <c r="C895" s="193"/>
      <c r="D895" s="27" t="s">
        <v>81</v>
      </c>
      <c r="E895" s="28">
        <v>4</v>
      </c>
      <c r="F895" s="28">
        <v>28</v>
      </c>
      <c r="G895" s="27" t="s">
        <v>66</v>
      </c>
      <c r="H895" s="27"/>
      <c r="I895" s="48"/>
      <c r="L895" s="190"/>
      <c r="M895" s="193"/>
      <c r="N895" s="27" t="s">
        <v>81</v>
      </c>
      <c r="O895" s="28">
        <v>4</v>
      </c>
      <c r="P895" s="28">
        <v>28</v>
      </c>
      <c r="Q895" s="27" t="s">
        <v>66</v>
      </c>
      <c r="R895" s="27"/>
      <c r="S895" s="48"/>
    </row>
    <row r="896" spans="2:19" x14ac:dyDescent="0.25">
      <c r="B896" s="190"/>
      <c r="C896" s="193"/>
      <c r="D896" s="27" t="s">
        <v>82</v>
      </c>
      <c r="E896" s="28">
        <v>5</v>
      </c>
      <c r="F896" s="28">
        <v>29</v>
      </c>
      <c r="G896" s="27" t="s">
        <v>66</v>
      </c>
      <c r="H896" s="27"/>
      <c r="I896" s="48"/>
      <c r="L896" s="190"/>
      <c r="M896" s="193"/>
      <c r="N896" s="27" t="s">
        <v>82</v>
      </c>
      <c r="O896" s="28">
        <v>5</v>
      </c>
      <c r="P896" s="28">
        <v>29</v>
      </c>
      <c r="Q896" s="27" t="s">
        <v>66</v>
      </c>
      <c r="R896" s="27"/>
      <c r="S896" s="48"/>
    </row>
    <row r="897" spans="2:19" ht="15.75" thickBot="1" x14ac:dyDescent="0.3">
      <c r="B897" s="190"/>
      <c r="C897" s="194"/>
      <c r="D897" s="27" t="s">
        <v>83</v>
      </c>
      <c r="E897" s="28">
        <v>6</v>
      </c>
      <c r="F897" s="28">
        <v>30</v>
      </c>
      <c r="G897" s="27" t="s">
        <v>66</v>
      </c>
      <c r="H897" s="27"/>
      <c r="I897" s="48"/>
      <c r="L897" s="190"/>
      <c r="M897" s="194"/>
      <c r="N897" s="27" t="s">
        <v>83</v>
      </c>
      <c r="O897" s="28">
        <v>6</v>
      </c>
      <c r="P897" s="28">
        <v>30</v>
      </c>
      <c r="Q897" s="27" t="s">
        <v>66</v>
      </c>
      <c r="R897" s="27"/>
      <c r="S897" s="48"/>
    </row>
    <row r="898" spans="2:19" x14ac:dyDescent="0.25">
      <c r="B898" s="190"/>
      <c r="C898" s="192" t="s">
        <v>84</v>
      </c>
      <c r="D898" s="27" t="s">
        <v>2</v>
      </c>
      <c r="E898" s="28">
        <v>1</v>
      </c>
      <c r="F898" s="28">
        <v>31</v>
      </c>
      <c r="G898" s="27" t="s">
        <v>66</v>
      </c>
      <c r="H898" s="27"/>
      <c r="I898" s="48"/>
      <c r="L898" s="190"/>
      <c r="M898" s="192" t="s">
        <v>84</v>
      </c>
      <c r="N898" s="27" t="s">
        <v>2</v>
      </c>
      <c r="O898" s="28">
        <v>1</v>
      </c>
      <c r="P898" s="28">
        <v>31</v>
      </c>
      <c r="Q898" s="27" t="s">
        <v>66</v>
      </c>
      <c r="R898" s="27"/>
      <c r="S898" s="48"/>
    </row>
    <row r="899" spans="2:19" x14ac:dyDescent="0.25">
      <c r="B899" s="190"/>
      <c r="C899" s="193"/>
      <c r="D899" s="27" t="s">
        <v>3</v>
      </c>
      <c r="E899" s="28">
        <v>2</v>
      </c>
      <c r="F899" s="28">
        <v>32</v>
      </c>
      <c r="G899" s="27" t="s">
        <v>66</v>
      </c>
      <c r="H899" s="27"/>
      <c r="I899" s="48"/>
      <c r="L899" s="190"/>
      <c r="M899" s="193"/>
      <c r="N899" s="27" t="s">
        <v>3</v>
      </c>
      <c r="O899" s="28">
        <v>2</v>
      </c>
      <c r="P899" s="28">
        <v>32</v>
      </c>
      <c r="Q899" s="27" t="s">
        <v>66</v>
      </c>
      <c r="R899" s="27"/>
      <c r="S899" s="48"/>
    </row>
    <row r="900" spans="2:19" x14ac:dyDescent="0.25">
      <c r="B900" s="190"/>
      <c r="C900" s="193"/>
      <c r="D900" s="27" t="s">
        <v>80</v>
      </c>
      <c r="E900" s="28">
        <v>3</v>
      </c>
      <c r="F900" s="28">
        <v>33</v>
      </c>
      <c r="G900" s="27" t="s">
        <v>66</v>
      </c>
      <c r="H900" s="27"/>
      <c r="I900" s="48"/>
      <c r="L900" s="190"/>
      <c r="M900" s="193"/>
      <c r="N900" s="27" t="s">
        <v>80</v>
      </c>
      <c r="O900" s="28">
        <v>3</v>
      </c>
      <c r="P900" s="28">
        <v>33</v>
      </c>
      <c r="Q900" s="27" t="s">
        <v>66</v>
      </c>
      <c r="R900" s="27"/>
      <c r="S900" s="48"/>
    </row>
    <row r="901" spans="2:19" x14ac:dyDescent="0.25">
      <c r="B901" s="190"/>
      <c r="C901" s="193"/>
      <c r="D901" s="27" t="s">
        <v>81</v>
      </c>
      <c r="E901" s="28">
        <v>4</v>
      </c>
      <c r="F901" s="28">
        <v>34</v>
      </c>
      <c r="G901" s="27" t="s">
        <v>66</v>
      </c>
      <c r="H901" s="27"/>
      <c r="I901" s="48"/>
      <c r="L901" s="190"/>
      <c r="M901" s="193"/>
      <c r="N901" s="27" t="s">
        <v>81</v>
      </c>
      <c r="O901" s="28">
        <v>4</v>
      </c>
      <c r="P901" s="28">
        <v>34</v>
      </c>
      <c r="Q901" s="27" t="s">
        <v>66</v>
      </c>
      <c r="R901" s="27"/>
      <c r="S901" s="48"/>
    </row>
    <row r="902" spans="2:19" x14ac:dyDescent="0.25">
      <c r="B902" s="190"/>
      <c r="C902" s="193"/>
      <c r="D902" s="27" t="s">
        <v>82</v>
      </c>
      <c r="E902" s="28">
        <v>5</v>
      </c>
      <c r="F902" s="28">
        <v>35</v>
      </c>
      <c r="G902" s="27" t="s">
        <v>66</v>
      </c>
      <c r="H902" s="27"/>
      <c r="I902" s="48"/>
      <c r="L902" s="190"/>
      <c r="M902" s="193"/>
      <c r="N902" s="27" t="s">
        <v>82</v>
      </c>
      <c r="O902" s="28">
        <v>5</v>
      </c>
      <c r="P902" s="28">
        <v>35</v>
      </c>
      <c r="Q902" s="27" t="s">
        <v>66</v>
      </c>
      <c r="R902" s="27"/>
      <c r="S902" s="48"/>
    </row>
    <row r="903" spans="2:19" ht="15.75" thickBot="1" x14ac:dyDescent="0.3">
      <c r="B903" s="191"/>
      <c r="C903" s="194"/>
      <c r="D903" s="27" t="s">
        <v>83</v>
      </c>
      <c r="E903" s="28">
        <v>6</v>
      </c>
      <c r="F903" s="28">
        <v>36</v>
      </c>
      <c r="G903" s="27" t="s">
        <v>66</v>
      </c>
      <c r="H903" s="27"/>
      <c r="I903" s="48"/>
      <c r="L903" s="191"/>
      <c r="M903" s="194"/>
      <c r="N903" s="27" t="s">
        <v>83</v>
      </c>
      <c r="O903" s="28">
        <v>6</v>
      </c>
      <c r="P903" s="28">
        <v>36</v>
      </c>
      <c r="Q903" s="27" t="s">
        <v>66</v>
      </c>
      <c r="R903" s="27"/>
      <c r="S903" s="48"/>
    </row>
    <row r="904" spans="2:19" x14ac:dyDescent="0.25">
      <c r="B904" s="183" t="s">
        <v>81</v>
      </c>
      <c r="C904" s="186" t="s">
        <v>77</v>
      </c>
      <c r="D904" s="29" t="s">
        <v>2</v>
      </c>
      <c r="E904" s="30">
        <v>1</v>
      </c>
      <c r="F904" s="30">
        <v>37</v>
      </c>
      <c r="G904" s="29" t="s">
        <v>66</v>
      </c>
      <c r="H904" s="29"/>
      <c r="I904" s="49"/>
      <c r="L904" s="183" t="s">
        <v>81</v>
      </c>
      <c r="M904" s="186" t="s">
        <v>77</v>
      </c>
      <c r="N904" s="29" t="s">
        <v>2</v>
      </c>
      <c r="O904" s="30">
        <v>1</v>
      </c>
      <c r="P904" s="30">
        <v>37</v>
      </c>
      <c r="Q904" s="29" t="s">
        <v>66</v>
      </c>
      <c r="R904" s="29"/>
      <c r="S904" s="49"/>
    </row>
    <row r="905" spans="2:19" x14ac:dyDescent="0.25">
      <c r="B905" s="184"/>
      <c r="C905" s="187"/>
      <c r="D905" s="29" t="s">
        <v>3</v>
      </c>
      <c r="E905" s="30">
        <v>2</v>
      </c>
      <c r="F905" s="30">
        <v>38</v>
      </c>
      <c r="G905" s="29" t="s">
        <v>66</v>
      </c>
      <c r="H905" s="29"/>
      <c r="I905" s="49"/>
      <c r="L905" s="184"/>
      <c r="M905" s="187"/>
      <c r="N905" s="29" t="s">
        <v>3</v>
      </c>
      <c r="O905" s="30">
        <v>2</v>
      </c>
      <c r="P905" s="30">
        <v>38</v>
      </c>
      <c r="Q905" s="29" t="s">
        <v>66</v>
      </c>
      <c r="R905" s="29"/>
      <c r="S905" s="49"/>
    </row>
    <row r="906" spans="2:19" x14ac:dyDescent="0.25">
      <c r="B906" s="184"/>
      <c r="C906" s="187"/>
      <c r="D906" s="29" t="s">
        <v>80</v>
      </c>
      <c r="E906" s="30">
        <v>3</v>
      </c>
      <c r="F906" s="30">
        <v>39</v>
      </c>
      <c r="G906" s="29" t="s">
        <v>66</v>
      </c>
      <c r="H906" s="29"/>
      <c r="I906" s="49"/>
      <c r="L906" s="184"/>
      <c r="M906" s="187"/>
      <c r="N906" s="29" t="s">
        <v>80</v>
      </c>
      <c r="O906" s="30">
        <v>3</v>
      </c>
      <c r="P906" s="30">
        <v>39</v>
      </c>
      <c r="Q906" s="29" t="s">
        <v>66</v>
      </c>
      <c r="R906" s="29"/>
      <c r="S906" s="49"/>
    </row>
    <row r="907" spans="2:19" x14ac:dyDescent="0.25">
      <c r="B907" s="184"/>
      <c r="C907" s="187"/>
      <c r="D907" s="29" t="s">
        <v>81</v>
      </c>
      <c r="E907" s="30">
        <v>4</v>
      </c>
      <c r="F907" s="30">
        <v>40</v>
      </c>
      <c r="G907" s="29" t="s">
        <v>66</v>
      </c>
      <c r="H907" s="29"/>
      <c r="I907" s="49"/>
      <c r="L907" s="184"/>
      <c r="M907" s="187"/>
      <c r="N907" s="29" t="s">
        <v>81</v>
      </c>
      <c r="O907" s="30">
        <v>4</v>
      </c>
      <c r="P907" s="30">
        <v>40</v>
      </c>
      <c r="Q907" s="29" t="s">
        <v>66</v>
      </c>
      <c r="R907" s="29"/>
      <c r="S907" s="49"/>
    </row>
    <row r="908" spans="2:19" x14ac:dyDescent="0.25">
      <c r="B908" s="184"/>
      <c r="C908" s="187"/>
      <c r="D908" s="29" t="s">
        <v>82</v>
      </c>
      <c r="E908" s="30">
        <v>5</v>
      </c>
      <c r="F908" s="30">
        <v>41</v>
      </c>
      <c r="G908" s="29" t="s">
        <v>66</v>
      </c>
      <c r="H908" s="29"/>
      <c r="I908" s="49"/>
      <c r="L908" s="184"/>
      <c r="M908" s="187"/>
      <c r="N908" s="29" t="s">
        <v>82</v>
      </c>
      <c r="O908" s="30">
        <v>5</v>
      </c>
      <c r="P908" s="30">
        <v>41</v>
      </c>
      <c r="Q908" s="29" t="s">
        <v>66</v>
      </c>
      <c r="R908" s="29"/>
      <c r="S908" s="49"/>
    </row>
    <row r="909" spans="2:19" ht="15.75" thickBot="1" x14ac:dyDescent="0.3">
      <c r="B909" s="184"/>
      <c r="C909" s="188"/>
      <c r="D909" s="29" t="s">
        <v>83</v>
      </c>
      <c r="E909" s="30">
        <v>6</v>
      </c>
      <c r="F909" s="30">
        <v>42</v>
      </c>
      <c r="G909" s="29" t="s">
        <v>66</v>
      </c>
      <c r="H909" s="29"/>
      <c r="I909" s="49"/>
      <c r="L909" s="184"/>
      <c r="M909" s="188"/>
      <c r="N909" s="29" t="s">
        <v>83</v>
      </c>
      <c r="O909" s="30">
        <v>6</v>
      </c>
      <c r="P909" s="30">
        <v>42</v>
      </c>
      <c r="Q909" s="29" t="s">
        <v>66</v>
      </c>
      <c r="R909" s="29"/>
      <c r="S909" s="49"/>
    </row>
    <row r="910" spans="2:19" x14ac:dyDescent="0.25">
      <c r="B910" s="184"/>
      <c r="C910" s="186" t="s">
        <v>84</v>
      </c>
      <c r="D910" s="29" t="s">
        <v>2</v>
      </c>
      <c r="E910" s="30">
        <v>1</v>
      </c>
      <c r="F910" s="30">
        <v>43</v>
      </c>
      <c r="G910" s="29" t="s">
        <v>66</v>
      </c>
      <c r="H910" s="29"/>
      <c r="I910" s="49"/>
      <c r="L910" s="184"/>
      <c r="M910" s="186" t="s">
        <v>84</v>
      </c>
      <c r="N910" s="29" t="s">
        <v>2</v>
      </c>
      <c r="O910" s="30">
        <v>1</v>
      </c>
      <c r="P910" s="30">
        <v>43</v>
      </c>
      <c r="Q910" s="29" t="s">
        <v>66</v>
      </c>
      <c r="R910" s="29"/>
      <c r="S910" s="49"/>
    </row>
    <row r="911" spans="2:19" x14ac:dyDescent="0.25">
      <c r="B911" s="184"/>
      <c r="C911" s="187"/>
      <c r="D911" s="29" t="s">
        <v>3</v>
      </c>
      <c r="E911" s="30">
        <v>2</v>
      </c>
      <c r="F911" s="30">
        <v>44</v>
      </c>
      <c r="G911" s="29" t="s">
        <v>66</v>
      </c>
      <c r="H911" s="29"/>
      <c r="I911" s="49"/>
      <c r="L911" s="184"/>
      <c r="M911" s="187"/>
      <c r="N911" s="29" t="s">
        <v>3</v>
      </c>
      <c r="O911" s="30">
        <v>2</v>
      </c>
      <c r="P911" s="30">
        <v>44</v>
      </c>
      <c r="Q911" s="29" t="s">
        <v>66</v>
      </c>
      <c r="R911" s="29"/>
      <c r="S911" s="49"/>
    </row>
    <row r="912" spans="2:19" x14ac:dyDescent="0.25">
      <c r="B912" s="184"/>
      <c r="C912" s="187"/>
      <c r="D912" s="29" t="s">
        <v>80</v>
      </c>
      <c r="E912" s="30">
        <v>3</v>
      </c>
      <c r="F912" s="30">
        <v>45</v>
      </c>
      <c r="G912" s="29" t="s">
        <v>66</v>
      </c>
      <c r="H912" s="29"/>
      <c r="I912" s="49"/>
      <c r="L912" s="184"/>
      <c r="M912" s="187"/>
      <c r="N912" s="29" t="s">
        <v>80</v>
      </c>
      <c r="O912" s="30">
        <v>3</v>
      </c>
      <c r="P912" s="30">
        <v>45</v>
      </c>
      <c r="Q912" s="29" t="s">
        <v>66</v>
      </c>
      <c r="R912" s="29"/>
      <c r="S912" s="49"/>
    </row>
    <row r="913" spans="2:19" x14ac:dyDescent="0.25">
      <c r="B913" s="184"/>
      <c r="C913" s="187"/>
      <c r="D913" s="29" t="s">
        <v>81</v>
      </c>
      <c r="E913" s="30">
        <v>4</v>
      </c>
      <c r="F913" s="30">
        <v>46</v>
      </c>
      <c r="G913" s="29" t="s">
        <v>66</v>
      </c>
      <c r="H913" s="29"/>
      <c r="I913" s="49"/>
      <c r="L913" s="184"/>
      <c r="M913" s="187"/>
      <c r="N913" s="29" t="s">
        <v>81</v>
      </c>
      <c r="O913" s="30">
        <v>4</v>
      </c>
      <c r="P913" s="30">
        <v>46</v>
      </c>
      <c r="Q913" s="29" t="s">
        <v>66</v>
      </c>
      <c r="R913" s="29"/>
      <c r="S913" s="49"/>
    </row>
    <row r="914" spans="2:19" x14ac:dyDescent="0.25">
      <c r="B914" s="184"/>
      <c r="C914" s="187"/>
      <c r="D914" s="29" t="s">
        <v>82</v>
      </c>
      <c r="E914" s="30">
        <v>5</v>
      </c>
      <c r="F914" s="30">
        <v>47</v>
      </c>
      <c r="G914" s="29" t="s">
        <v>66</v>
      </c>
      <c r="H914" s="29"/>
      <c r="I914" s="49"/>
      <c r="L914" s="184"/>
      <c r="M914" s="187"/>
      <c r="N914" s="29" t="s">
        <v>82</v>
      </c>
      <c r="O914" s="30">
        <v>5</v>
      </c>
      <c r="P914" s="30">
        <v>47</v>
      </c>
      <c r="Q914" s="29" t="s">
        <v>66</v>
      </c>
      <c r="R914" s="29"/>
      <c r="S914" s="49"/>
    </row>
    <row r="915" spans="2:19" ht="15.75" thickBot="1" x14ac:dyDescent="0.3">
      <c r="B915" s="185"/>
      <c r="C915" s="188"/>
      <c r="D915" s="29" t="s">
        <v>83</v>
      </c>
      <c r="E915" s="30">
        <v>6</v>
      </c>
      <c r="F915" s="30">
        <v>48</v>
      </c>
      <c r="G915" s="29" t="s">
        <v>66</v>
      </c>
      <c r="H915" s="29"/>
      <c r="I915" s="49"/>
      <c r="L915" s="185"/>
      <c r="M915" s="188"/>
      <c r="N915" s="29" t="s">
        <v>83</v>
      </c>
      <c r="O915" s="30">
        <v>6</v>
      </c>
      <c r="P915" s="30">
        <v>48</v>
      </c>
      <c r="Q915" s="29" t="s">
        <v>66</v>
      </c>
      <c r="R915" s="29"/>
      <c r="S915" s="49"/>
    </row>
    <row r="916" spans="2:19" ht="15.75" thickBot="1" x14ac:dyDescent="0.3"/>
    <row r="917" spans="2:19" ht="15.75" thickBot="1" x14ac:dyDescent="0.3">
      <c r="B917" s="171" t="s">
        <v>333</v>
      </c>
      <c r="C917" s="172"/>
      <c r="D917" s="172"/>
      <c r="E917" s="172"/>
      <c r="F917" s="172"/>
      <c r="G917" s="172"/>
      <c r="H917" s="172"/>
      <c r="I917" s="173"/>
      <c r="L917" s="171" t="s">
        <v>334</v>
      </c>
      <c r="M917" s="172"/>
      <c r="N917" s="172"/>
      <c r="O917" s="172"/>
      <c r="P917" s="172"/>
      <c r="Q917" s="172"/>
      <c r="R917" s="172"/>
      <c r="S917" s="173"/>
    </row>
    <row r="919" spans="2:19" ht="26.25" thickBot="1" x14ac:dyDescent="0.3">
      <c r="B919" s="15" t="s">
        <v>70</v>
      </c>
      <c r="C919" s="16" t="s">
        <v>71</v>
      </c>
      <c r="D919" s="15" t="s">
        <v>72</v>
      </c>
      <c r="E919" s="17" t="s">
        <v>73</v>
      </c>
      <c r="F919" s="17" t="s">
        <v>74</v>
      </c>
      <c r="G919" s="15" t="s">
        <v>75</v>
      </c>
      <c r="H919" s="15" t="s">
        <v>55</v>
      </c>
      <c r="I919" s="15" t="s">
        <v>76</v>
      </c>
      <c r="L919" s="15" t="s">
        <v>70</v>
      </c>
      <c r="M919" s="16" t="s">
        <v>71</v>
      </c>
      <c r="N919" s="15" t="s">
        <v>72</v>
      </c>
      <c r="O919" s="17" t="s">
        <v>73</v>
      </c>
      <c r="P919" s="17" t="s">
        <v>74</v>
      </c>
      <c r="Q919" s="15" t="s">
        <v>75</v>
      </c>
      <c r="R919" s="15" t="s">
        <v>55</v>
      </c>
      <c r="S919" s="15" t="s">
        <v>76</v>
      </c>
    </row>
    <row r="920" spans="2:19" x14ac:dyDescent="0.25">
      <c r="B920" s="174" t="s">
        <v>2</v>
      </c>
      <c r="C920" s="168" t="s">
        <v>77</v>
      </c>
      <c r="D920" s="18" t="s">
        <v>2</v>
      </c>
      <c r="E920" s="19">
        <v>1</v>
      </c>
      <c r="F920" s="19">
        <v>1</v>
      </c>
      <c r="G920" s="18" t="s">
        <v>66</v>
      </c>
      <c r="H920" s="32"/>
      <c r="I920" s="50"/>
      <c r="L920" s="174" t="s">
        <v>2</v>
      </c>
      <c r="M920" s="168" t="s">
        <v>77</v>
      </c>
      <c r="N920" s="18" t="s">
        <v>2</v>
      </c>
      <c r="O920" s="19">
        <v>1</v>
      </c>
      <c r="P920" s="19">
        <v>1</v>
      </c>
      <c r="Q920" s="18" t="s">
        <v>66</v>
      </c>
      <c r="R920" s="32"/>
      <c r="S920" s="33"/>
    </row>
    <row r="921" spans="2:19" x14ac:dyDescent="0.25">
      <c r="B921" s="175"/>
      <c r="C921" s="169"/>
      <c r="D921" s="18" t="s">
        <v>3</v>
      </c>
      <c r="E921" s="19">
        <v>2</v>
      </c>
      <c r="F921" s="19">
        <v>2</v>
      </c>
      <c r="G921" s="18" t="s">
        <v>66</v>
      </c>
      <c r="H921" s="32"/>
      <c r="I921" s="50"/>
      <c r="L921" s="175"/>
      <c r="M921" s="169"/>
      <c r="N921" s="18" t="s">
        <v>3</v>
      </c>
      <c r="O921" s="19">
        <v>2</v>
      </c>
      <c r="P921" s="19">
        <v>2</v>
      </c>
      <c r="Q921" s="18" t="s">
        <v>66</v>
      </c>
      <c r="R921" s="32"/>
      <c r="S921" s="33"/>
    </row>
    <row r="922" spans="2:19" x14ac:dyDescent="0.25">
      <c r="B922" s="175"/>
      <c r="C922" s="169"/>
      <c r="D922" s="18" t="s">
        <v>80</v>
      </c>
      <c r="E922" s="20">
        <v>3</v>
      </c>
      <c r="F922" s="20">
        <v>3</v>
      </c>
      <c r="G922" s="18" t="s">
        <v>66</v>
      </c>
      <c r="H922" s="32"/>
      <c r="I922" s="50"/>
      <c r="L922" s="175"/>
      <c r="M922" s="169"/>
      <c r="N922" s="18" t="s">
        <v>80</v>
      </c>
      <c r="O922" s="20">
        <v>3</v>
      </c>
      <c r="P922" s="20">
        <v>3</v>
      </c>
      <c r="Q922" s="18" t="s">
        <v>66</v>
      </c>
      <c r="R922" s="32"/>
      <c r="S922" s="33"/>
    </row>
    <row r="923" spans="2:19" x14ac:dyDescent="0.25">
      <c r="B923" s="175"/>
      <c r="C923" s="169"/>
      <c r="D923" s="18" t="s">
        <v>81</v>
      </c>
      <c r="E923" s="20">
        <v>4</v>
      </c>
      <c r="F923" s="20">
        <v>4</v>
      </c>
      <c r="G923" s="18" t="s">
        <v>66</v>
      </c>
      <c r="H923" s="32"/>
      <c r="I923" s="50"/>
      <c r="L923" s="175"/>
      <c r="M923" s="169"/>
      <c r="N923" s="18" t="s">
        <v>81</v>
      </c>
      <c r="O923" s="20">
        <v>4</v>
      </c>
      <c r="P923" s="20">
        <v>4</v>
      </c>
      <c r="Q923" s="18" t="s">
        <v>66</v>
      </c>
      <c r="R923" s="32"/>
      <c r="S923" s="33"/>
    </row>
    <row r="924" spans="2:19" x14ac:dyDescent="0.25">
      <c r="B924" s="175"/>
      <c r="C924" s="169"/>
      <c r="D924" s="18" t="s">
        <v>82</v>
      </c>
      <c r="E924" s="20">
        <v>5</v>
      </c>
      <c r="F924" s="20">
        <v>5</v>
      </c>
      <c r="G924" s="18" t="s">
        <v>66</v>
      </c>
      <c r="H924" s="32"/>
      <c r="I924" s="50"/>
      <c r="L924" s="175"/>
      <c r="M924" s="169"/>
      <c r="N924" s="18" t="s">
        <v>82</v>
      </c>
      <c r="O924" s="20">
        <v>5</v>
      </c>
      <c r="P924" s="20">
        <v>5</v>
      </c>
      <c r="Q924" s="18" t="s">
        <v>66</v>
      </c>
      <c r="R924" s="32"/>
      <c r="S924" s="33"/>
    </row>
    <row r="925" spans="2:19" ht="15.75" thickBot="1" x14ac:dyDescent="0.3">
      <c r="B925" s="175"/>
      <c r="C925" s="170"/>
      <c r="D925" s="18" t="s">
        <v>83</v>
      </c>
      <c r="E925" s="20">
        <v>6</v>
      </c>
      <c r="F925" s="20">
        <v>6</v>
      </c>
      <c r="G925" s="18" t="s">
        <v>66</v>
      </c>
      <c r="H925" s="32"/>
      <c r="I925" s="50"/>
      <c r="L925" s="175"/>
      <c r="M925" s="170"/>
      <c r="N925" s="18" t="s">
        <v>83</v>
      </c>
      <c r="O925" s="20">
        <v>6</v>
      </c>
      <c r="P925" s="20">
        <v>6</v>
      </c>
      <c r="Q925" s="18" t="s">
        <v>66</v>
      </c>
      <c r="R925" s="32"/>
      <c r="S925" s="33"/>
    </row>
    <row r="926" spans="2:19" x14ac:dyDescent="0.25">
      <c r="B926" s="175"/>
      <c r="C926" s="168" t="s">
        <v>84</v>
      </c>
      <c r="D926" s="18" t="s">
        <v>2</v>
      </c>
      <c r="E926" s="19">
        <v>1</v>
      </c>
      <c r="F926" s="19">
        <v>7</v>
      </c>
      <c r="G926" s="18" t="s">
        <v>78</v>
      </c>
      <c r="H926" s="156" t="s">
        <v>140</v>
      </c>
      <c r="I926" s="165" t="s">
        <v>191</v>
      </c>
      <c r="L926" s="175"/>
      <c r="M926" s="168" t="s">
        <v>84</v>
      </c>
      <c r="N926" s="18" t="s">
        <v>2</v>
      </c>
      <c r="O926" s="19">
        <v>1</v>
      </c>
      <c r="P926" s="19">
        <v>7</v>
      </c>
      <c r="Q926" s="18" t="s">
        <v>78</v>
      </c>
      <c r="R926" s="156" t="s">
        <v>140</v>
      </c>
      <c r="S926" s="195" t="s">
        <v>156</v>
      </c>
    </row>
    <row r="927" spans="2:19" x14ac:dyDescent="0.25">
      <c r="B927" s="175"/>
      <c r="C927" s="169"/>
      <c r="D927" s="18" t="s">
        <v>3</v>
      </c>
      <c r="E927" s="19">
        <v>2</v>
      </c>
      <c r="F927" s="19">
        <v>8</v>
      </c>
      <c r="G927" s="18" t="s">
        <v>78</v>
      </c>
      <c r="H927" s="157"/>
      <c r="I927" s="166"/>
      <c r="L927" s="175"/>
      <c r="M927" s="169"/>
      <c r="N927" s="18" t="s">
        <v>3</v>
      </c>
      <c r="O927" s="19">
        <v>2</v>
      </c>
      <c r="P927" s="19">
        <v>8</v>
      </c>
      <c r="Q927" s="18" t="s">
        <v>78</v>
      </c>
      <c r="R927" s="157"/>
      <c r="S927" s="196"/>
    </row>
    <row r="928" spans="2:19" x14ac:dyDescent="0.25">
      <c r="B928" s="175"/>
      <c r="C928" s="169"/>
      <c r="D928" s="18" t="s">
        <v>80</v>
      </c>
      <c r="E928" s="20">
        <v>3</v>
      </c>
      <c r="F928" s="20">
        <v>9</v>
      </c>
      <c r="G928" s="18" t="s">
        <v>66</v>
      </c>
      <c r="H928" s="157"/>
      <c r="I928" s="166"/>
      <c r="L928" s="175"/>
      <c r="M928" s="169"/>
      <c r="N928" s="18" t="s">
        <v>80</v>
      </c>
      <c r="O928" s="20">
        <v>3</v>
      </c>
      <c r="P928" s="20">
        <v>9</v>
      </c>
      <c r="Q928" s="18" t="s">
        <v>66</v>
      </c>
      <c r="R928" s="157"/>
      <c r="S928" s="196"/>
    </row>
    <row r="929" spans="2:19" x14ac:dyDescent="0.25">
      <c r="B929" s="175"/>
      <c r="C929" s="169"/>
      <c r="D929" s="18" t="s">
        <v>81</v>
      </c>
      <c r="E929" s="20">
        <v>4</v>
      </c>
      <c r="F929" s="20">
        <v>10</v>
      </c>
      <c r="G929" s="18" t="s">
        <v>66</v>
      </c>
      <c r="H929" s="157"/>
      <c r="I929" s="166"/>
      <c r="L929" s="175"/>
      <c r="M929" s="169"/>
      <c r="N929" s="18" t="s">
        <v>81</v>
      </c>
      <c r="O929" s="20">
        <v>4</v>
      </c>
      <c r="P929" s="20">
        <v>10</v>
      </c>
      <c r="Q929" s="18" t="s">
        <v>66</v>
      </c>
      <c r="R929" s="157"/>
      <c r="S929" s="196"/>
    </row>
    <row r="930" spans="2:19" x14ac:dyDescent="0.25">
      <c r="B930" s="175"/>
      <c r="C930" s="169"/>
      <c r="D930" s="18" t="s">
        <v>82</v>
      </c>
      <c r="E930" s="20">
        <v>5</v>
      </c>
      <c r="F930" s="20">
        <v>11</v>
      </c>
      <c r="G930" s="18" t="s">
        <v>66</v>
      </c>
      <c r="H930" s="157"/>
      <c r="I930" s="166"/>
      <c r="L930" s="175"/>
      <c r="M930" s="169"/>
      <c r="N930" s="18" t="s">
        <v>82</v>
      </c>
      <c r="O930" s="20">
        <v>5</v>
      </c>
      <c r="P930" s="20">
        <v>11</v>
      </c>
      <c r="Q930" s="18" t="s">
        <v>66</v>
      </c>
      <c r="R930" s="157"/>
      <c r="S930" s="196"/>
    </row>
    <row r="931" spans="2:19" ht="15.75" thickBot="1" x14ac:dyDescent="0.3">
      <c r="B931" s="176"/>
      <c r="C931" s="170"/>
      <c r="D931" s="18" t="s">
        <v>83</v>
      </c>
      <c r="E931" s="20">
        <v>6</v>
      </c>
      <c r="F931" s="20">
        <v>12</v>
      </c>
      <c r="G931" s="18" t="s">
        <v>66</v>
      </c>
      <c r="H931" s="158"/>
      <c r="I931" s="167"/>
      <c r="L931" s="176"/>
      <c r="M931" s="170"/>
      <c r="N931" s="18" t="s">
        <v>83</v>
      </c>
      <c r="O931" s="20">
        <v>6</v>
      </c>
      <c r="P931" s="20">
        <v>12</v>
      </c>
      <c r="Q931" s="18" t="s">
        <v>66</v>
      </c>
      <c r="R931" s="158"/>
      <c r="S931" s="197"/>
    </row>
    <row r="932" spans="2:19" x14ac:dyDescent="0.25">
      <c r="B932" s="180" t="s">
        <v>3</v>
      </c>
      <c r="C932" s="177" t="s">
        <v>77</v>
      </c>
      <c r="D932" s="21" t="s">
        <v>2</v>
      </c>
      <c r="E932" s="22">
        <v>1</v>
      </c>
      <c r="F932" s="22">
        <v>13</v>
      </c>
      <c r="G932" s="21" t="s">
        <v>66</v>
      </c>
      <c r="H932" s="21"/>
      <c r="I932" s="51"/>
      <c r="L932" s="180" t="s">
        <v>3</v>
      </c>
      <c r="M932" s="177" t="s">
        <v>77</v>
      </c>
      <c r="N932" s="21" t="s">
        <v>2</v>
      </c>
      <c r="O932" s="22">
        <v>1</v>
      </c>
      <c r="P932" s="22">
        <v>13</v>
      </c>
      <c r="Q932" s="21" t="s">
        <v>66</v>
      </c>
      <c r="R932" s="21"/>
      <c r="S932" s="34"/>
    </row>
    <row r="933" spans="2:19" x14ac:dyDescent="0.25">
      <c r="B933" s="181"/>
      <c r="C933" s="178"/>
      <c r="D933" s="23" t="s">
        <v>3</v>
      </c>
      <c r="E933" s="24">
        <v>2</v>
      </c>
      <c r="F933" s="24">
        <v>14</v>
      </c>
      <c r="G933" s="23" t="s">
        <v>66</v>
      </c>
      <c r="H933" s="23"/>
      <c r="I933" s="47"/>
      <c r="L933" s="181"/>
      <c r="M933" s="178"/>
      <c r="N933" s="23" t="s">
        <v>3</v>
      </c>
      <c r="O933" s="24">
        <v>2</v>
      </c>
      <c r="P933" s="24">
        <v>14</v>
      </c>
      <c r="Q933" s="23" t="s">
        <v>66</v>
      </c>
      <c r="R933" s="23"/>
      <c r="S933" s="25"/>
    </row>
    <row r="934" spans="2:19" x14ac:dyDescent="0.25">
      <c r="B934" s="181"/>
      <c r="C934" s="178"/>
      <c r="D934" s="23" t="s">
        <v>80</v>
      </c>
      <c r="E934" s="24">
        <v>3</v>
      </c>
      <c r="F934" s="24">
        <v>15</v>
      </c>
      <c r="G934" s="23" t="s">
        <v>66</v>
      </c>
      <c r="H934" s="23"/>
      <c r="I934" s="47"/>
      <c r="L934" s="181"/>
      <c r="M934" s="178"/>
      <c r="N934" s="23" t="s">
        <v>80</v>
      </c>
      <c r="O934" s="24">
        <v>3</v>
      </c>
      <c r="P934" s="24">
        <v>15</v>
      </c>
      <c r="Q934" s="23" t="s">
        <v>66</v>
      </c>
      <c r="R934" s="23"/>
      <c r="S934" s="25"/>
    </row>
    <row r="935" spans="2:19" x14ac:dyDescent="0.25">
      <c r="B935" s="181"/>
      <c r="C935" s="178"/>
      <c r="D935" s="23" t="s">
        <v>81</v>
      </c>
      <c r="E935" s="24">
        <v>4</v>
      </c>
      <c r="F935" s="24">
        <v>16</v>
      </c>
      <c r="G935" s="23" t="s">
        <v>66</v>
      </c>
      <c r="H935" s="23"/>
      <c r="I935" s="47"/>
      <c r="L935" s="181"/>
      <c r="M935" s="178"/>
      <c r="N935" s="23" t="s">
        <v>81</v>
      </c>
      <c r="O935" s="24">
        <v>4</v>
      </c>
      <c r="P935" s="24">
        <v>16</v>
      </c>
      <c r="Q935" s="23" t="s">
        <v>66</v>
      </c>
      <c r="R935" s="23"/>
      <c r="S935" s="25"/>
    </row>
    <row r="936" spans="2:19" x14ac:dyDescent="0.25">
      <c r="B936" s="181"/>
      <c r="C936" s="178"/>
      <c r="D936" s="23" t="s">
        <v>82</v>
      </c>
      <c r="E936" s="24">
        <v>5</v>
      </c>
      <c r="F936" s="24">
        <v>17</v>
      </c>
      <c r="G936" s="23" t="s">
        <v>66</v>
      </c>
      <c r="H936" s="23"/>
      <c r="I936" s="47"/>
      <c r="L936" s="181"/>
      <c r="M936" s="178"/>
      <c r="N936" s="23" t="s">
        <v>82</v>
      </c>
      <c r="O936" s="24">
        <v>5</v>
      </c>
      <c r="P936" s="24">
        <v>17</v>
      </c>
      <c r="Q936" s="23" t="s">
        <v>66</v>
      </c>
      <c r="R936" s="23"/>
      <c r="S936" s="25"/>
    </row>
    <row r="937" spans="2:19" ht="15.75" thickBot="1" x14ac:dyDescent="0.3">
      <c r="B937" s="181"/>
      <c r="C937" s="179"/>
      <c r="D937" s="23" t="s">
        <v>83</v>
      </c>
      <c r="E937" s="24">
        <v>6</v>
      </c>
      <c r="F937" s="24">
        <v>18</v>
      </c>
      <c r="G937" s="23" t="s">
        <v>66</v>
      </c>
      <c r="H937" s="23"/>
      <c r="I937" s="47"/>
      <c r="L937" s="181"/>
      <c r="M937" s="179"/>
      <c r="N937" s="23" t="s">
        <v>83</v>
      </c>
      <c r="O937" s="24">
        <v>6</v>
      </c>
      <c r="P937" s="24">
        <v>18</v>
      </c>
      <c r="Q937" s="23" t="s">
        <v>66</v>
      </c>
      <c r="R937" s="23"/>
      <c r="S937" s="25"/>
    </row>
    <row r="938" spans="2:19" x14ac:dyDescent="0.25">
      <c r="B938" s="181"/>
      <c r="C938" s="177" t="s">
        <v>84</v>
      </c>
      <c r="D938" s="23" t="s">
        <v>2</v>
      </c>
      <c r="E938" s="24">
        <v>1</v>
      </c>
      <c r="F938" s="24">
        <v>19</v>
      </c>
      <c r="G938" s="23" t="s">
        <v>66</v>
      </c>
      <c r="H938" s="23"/>
      <c r="I938" s="47"/>
      <c r="L938" s="181"/>
      <c r="M938" s="177" t="s">
        <v>84</v>
      </c>
      <c r="N938" s="23" t="s">
        <v>2</v>
      </c>
      <c r="O938" s="24">
        <v>1</v>
      </c>
      <c r="P938" s="24">
        <v>19</v>
      </c>
      <c r="Q938" s="23" t="s">
        <v>66</v>
      </c>
      <c r="R938" s="23"/>
      <c r="S938" s="47"/>
    </row>
    <row r="939" spans="2:19" x14ac:dyDescent="0.25">
      <c r="B939" s="181"/>
      <c r="C939" s="178"/>
      <c r="D939" s="23" t="s">
        <v>3</v>
      </c>
      <c r="E939" s="24">
        <v>2</v>
      </c>
      <c r="F939" s="24">
        <v>20</v>
      </c>
      <c r="G939" s="23" t="s">
        <v>66</v>
      </c>
      <c r="H939" s="23"/>
      <c r="I939" s="47"/>
      <c r="L939" s="181"/>
      <c r="M939" s="178"/>
      <c r="N939" s="23" t="s">
        <v>3</v>
      </c>
      <c r="O939" s="24">
        <v>2</v>
      </c>
      <c r="P939" s="24">
        <v>20</v>
      </c>
      <c r="Q939" s="23" t="s">
        <v>66</v>
      </c>
      <c r="R939" s="23"/>
      <c r="S939" s="47"/>
    </row>
    <row r="940" spans="2:19" x14ac:dyDescent="0.25">
      <c r="B940" s="181"/>
      <c r="C940" s="178"/>
      <c r="D940" s="23" t="s">
        <v>80</v>
      </c>
      <c r="E940" s="26">
        <v>3</v>
      </c>
      <c r="F940" s="24">
        <v>21</v>
      </c>
      <c r="G940" s="23" t="s">
        <v>66</v>
      </c>
      <c r="H940" s="23"/>
      <c r="I940" s="47"/>
      <c r="L940" s="181"/>
      <c r="M940" s="178"/>
      <c r="N940" s="23" t="s">
        <v>80</v>
      </c>
      <c r="O940" s="26">
        <v>3</v>
      </c>
      <c r="P940" s="24">
        <v>21</v>
      </c>
      <c r="Q940" s="23" t="s">
        <v>66</v>
      </c>
      <c r="R940" s="23"/>
      <c r="S940" s="47"/>
    </row>
    <row r="941" spans="2:19" x14ac:dyDescent="0.25">
      <c r="B941" s="181"/>
      <c r="C941" s="178"/>
      <c r="D941" s="23" t="s">
        <v>81</v>
      </c>
      <c r="E941" s="24">
        <v>4</v>
      </c>
      <c r="F941" s="24">
        <v>22</v>
      </c>
      <c r="G941" s="23" t="s">
        <v>66</v>
      </c>
      <c r="H941" s="23"/>
      <c r="I941" s="47"/>
      <c r="L941" s="181"/>
      <c r="M941" s="178"/>
      <c r="N941" s="23" t="s">
        <v>81</v>
      </c>
      <c r="O941" s="24">
        <v>4</v>
      </c>
      <c r="P941" s="24">
        <v>22</v>
      </c>
      <c r="Q941" s="23" t="s">
        <v>66</v>
      </c>
      <c r="R941" s="23"/>
      <c r="S941" s="47"/>
    </row>
    <row r="942" spans="2:19" x14ac:dyDescent="0.25">
      <c r="B942" s="181"/>
      <c r="C942" s="178"/>
      <c r="D942" s="23" t="s">
        <v>82</v>
      </c>
      <c r="E942" s="24">
        <v>5</v>
      </c>
      <c r="F942" s="24">
        <v>23</v>
      </c>
      <c r="G942" s="23" t="s">
        <v>66</v>
      </c>
      <c r="H942" s="23"/>
      <c r="I942" s="47"/>
      <c r="L942" s="181"/>
      <c r="M942" s="178"/>
      <c r="N942" s="23" t="s">
        <v>82</v>
      </c>
      <c r="O942" s="24">
        <v>5</v>
      </c>
      <c r="P942" s="24">
        <v>23</v>
      </c>
      <c r="Q942" s="23" t="s">
        <v>66</v>
      </c>
      <c r="R942" s="23"/>
      <c r="S942" s="47"/>
    </row>
    <row r="943" spans="2:19" ht="15.75" thickBot="1" x14ac:dyDescent="0.3">
      <c r="B943" s="182"/>
      <c r="C943" s="179"/>
      <c r="D943" s="23" t="s">
        <v>83</v>
      </c>
      <c r="E943" s="24">
        <v>6</v>
      </c>
      <c r="F943" s="24">
        <v>24</v>
      </c>
      <c r="G943" s="23" t="s">
        <v>66</v>
      </c>
      <c r="H943" s="23"/>
      <c r="I943" s="47"/>
      <c r="L943" s="182"/>
      <c r="M943" s="179"/>
      <c r="N943" s="23" t="s">
        <v>83</v>
      </c>
      <c r="O943" s="24">
        <v>6</v>
      </c>
      <c r="P943" s="24">
        <v>24</v>
      </c>
      <c r="Q943" s="23" t="s">
        <v>66</v>
      </c>
      <c r="R943" s="23"/>
      <c r="S943" s="47"/>
    </row>
    <row r="944" spans="2:19" x14ac:dyDescent="0.25">
      <c r="B944" s="189" t="s">
        <v>80</v>
      </c>
      <c r="C944" s="192" t="s">
        <v>77</v>
      </c>
      <c r="D944" s="27" t="s">
        <v>2</v>
      </c>
      <c r="E944" s="28">
        <v>1</v>
      </c>
      <c r="F944" s="28">
        <v>25</v>
      </c>
      <c r="G944" s="27" t="s">
        <v>66</v>
      </c>
      <c r="H944" s="27"/>
      <c r="I944" s="48"/>
      <c r="L944" s="189" t="s">
        <v>80</v>
      </c>
      <c r="M944" s="192" t="s">
        <v>77</v>
      </c>
      <c r="N944" s="27" t="s">
        <v>2</v>
      </c>
      <c r="O944" s="28">
        <v>1</v>
      </c>
      <c r="P944" s="28">
        <v>25</v>
      </c>
      <c r="Q944" s="27" t="s">
        <v>66</v>
      </c>
      <c r="R944" s="27"/>
      <c r="S944" s="48"/>
    </row>
    <row r="945" spans="2:19" x14ac:dyDescent="0.25">
      <c r="B945" s="190"/>
      <c r="C945" s="193"/>
      <c r="D945" s="27" t="s">
        <v>3</v>
      </c>
      <c r="E945" s="28">
        <v>2</v>
      </c>
      <c r="F945" s="28">
        <v>26</v>
      </c>
      <c r="G945" s="27" t="s">
        <v>66</v>
      </c>
      <c r="H945" s="27"/>
      <c r="I945" s="48"/>
      <c r="L945" s="190"/>
      <c r="M945" s="193"/>
      <c r="N945" s="27" t="s">
        <v>3</v>
      </c>
      <c r="O945" s="28">
        <v>2</v>
      </c>
      <c r="P945" s="28">
        <v>26</v>
      </c>
      <c r="Q945" s="27" t="s">
        <v>66</v>
      </c>
      <c r="R945" s="27"/>
      <c r="S945" s="48"/>
    </row>
    <row r="946" spans="2:19" x14ac:dyDescent="0.25">
      <c r="B946" s="190"/>
      <c r="C946" s="193"/>
      <c r="D946" s="27" t="s">
        <v>80</v>
      </c>
      <c r="E946" s="28">
        <v>3</v>
      </c>
      <c r="F946" s="28">
        <v>27</v>
      </c>
      <c r="G946" s="27" t="s">
        <v>66</v>
      </c>
      <c r="H946" s="27"/>
      <c r="I946" s="48"/>
      <c r="L946" s="190"/>
      <c r="M946" s="193"/>
      <c r="N946" s="27" t="s">
        <v>80</v>
      </c>
      <c r="O946" s="28">
        <v>3</v>
      </c>
      <c r="P946" s="28">
        <v>27</v>
      </c>
      <c r="Q946" s="27" t="s">
        <v>66</v>
      </c>
      <c r="R946" s="27"/>
      <c r="S946" s="48"/>
    </row>
    <row r="947" spans="2:19" x14ac:dyDescent="0.25">
      <c r="B947" s="190"/>
      <c r="C947" s="193"/>
      <c r="D947" s="27" t="s">
        <v>81</v>
      </c>
      <c r="E947" s="28">
        <v>4</v>
      </c>
      <c r="F947" s="28">
        <v>28</v>
      </c>
      <c r="G947" s="27" t="s">
        <v>66</v>
      </c>
      <c r="H947" s="27"/>
      <c r="I947" s="48"/>
      <c r="L947" s="190"/>
      <c r="M947" s="193"/>
      <c r="N947" s="27" t="s">
        <v>81</v>
      </c>
      <c r="O947" s="28">
        <v>4</v>
      </c>
      <c r="P947" s="28">
        <v>28</v>
      </c>
      <c r="Q947" s="27" t="s">
        <v>66</v>
      </c>
      <c r="R947" s="27"/>
      <c r="S947" s="48"/>
    </row>
    <row r="948" spans="2:19" x14ac:dyDescent="0.25">
      <c r="B948" s="190"/>
      <c r="C948" s="193"/>
      <c r="D948" s="27" t="s">
        <v>82</v>
      </c>
      <c r="E948" s="28">
        <v>5</v>
      </c>
      <c r="F948" s="28">
        <v>29</v>
      </c>
      <c r="G948" s="27" t="s">
        <v>66</v>
      </c>
      <c r="H948" s="27"/>
      <c r="I948" s="48"/>
      <c r="L948" s="190"/>
      <c r="M948" s="193"/>
      <c r="N948" s="27" t="s">
        <v>82</v>
      </c>
      <c r="O948" s="28">
        <v>5</v>
      </c>
      <c r="P948" s="28">
        <v>29</v>
      </c>
      <c r="Q948" s="27" t="s">
        <v>66</v>
      </c>
      <c r="R948" s="27"/>
      <c r="S948" s="48"/>
    </row>
    <row r="949" spans="2:19" ht="15.75" thickBot="1" x14ac:dyDescent="0.3">
      <c r="B949" s="190"/>
      <c r="C949" s="194"/>
      <c r="D949" s="27" t="s">
        <v>83</v>
      </c>
      <c r="E949" s="28">
        <v>6</v>
      </c>
      <c r="F949" s="28">
        <v>30</v>
      </c>
      <c r="G949" s="27" t="s">
        <v>66</v>
      </c>
      <c r="H949" s="27"/>
      <c r="I949" s="48"/>
      <c r="L949" s="190"/>
      <c r="M949" s="194"/>
      <c r="N949" s="27" t="s">
        <v>83</v>
      </c>
      <c r="O949" s="28">
        <v>6</v>
      </c>
      <c r="P949" s="28">
        <v>30</v>
      </c>
      <c r="Q949" s="27" t="s">
        <v>66</v>
      </c>
      <c r="R949" s="27"/>
      <c r="S949" s="48"/>
    </row>
    <row r="950" spans="2:19" x14ac:dyDescent="0.25">
      <c r="B950" s="190"/>
      <c r="C950" s="192" t="s">
        <v>84</v>
      </c>
      <c r="D950" s="27" t="s">
        <v>2</v>
      </c>
      <c r="E950" s="28">
        <v>1</v>
      </c>
      <c r="F950" s="28">
        <v>31</v>
      </c>
      <c r="G950" s="27" t="s">
        <v>66</v>
      </c>
      <c r="H950" s="27"/>
      <c r="I950" s="48"/>
      <c r="L950" s="190"/>
      <c r="M950" s="192" t="s">
        <v>84</v>
      </c>
      <c r="N950" s="27" t="s">
        <v>2</v>
      </c>
      <c r="O950" s="28">
        <v>1</v>
      </c>
      <c r="P950" s="28">
        <v>31</v>
      </c>
      <c r="Q950" s="27" t="s">
        <v>66</v>
      </c>
      <c r="R950" s="27"/>
      <c r="S950" s="48"/>
    </row>
    <row r="951" spans="2:19" x14ac:dyDescent="0.25">
      <c r="B951" s="190"/>
      <c r="C951" s="193"/>
      <c r="D951" s="27" t="s">
        <v>3</v>
      </c>
      <c r="E951" s="28">
        <v>2</v>
      </c>
      <c r="F951" s="28">
        <v>32</v>
      </c>
      <c r="G951" s="27" t="s">
        <v>66</v>
      </c>
      <c r="H951" s="27"/>
      <c r="I951" s="48"/>
      <c r="L951" s="190"/>
      <c r="M951" s="193"/>
      <c r="N951" s="27" t="s">
        <v>3</v>
      </c>
      <c r="O951" s="28">
        <v>2</v>
      </c>
      <c r="P951" s="28">
        <v>32</v>
      </c>
      <c r="Q951" s="27" t="s">
        <v>66</v>
      </c>
      <c r="R951" s="27"/>
      <c r="S951" s="48"/>
    </row>
    <row r="952" spans="2:19" x14ac:dyDescent="0.25">
      <c r="B952" s="190"/>
      <c r="C952" s="193"/>
      <c r="D952" s="27" t="s">
        <v>80</v>
      </c>
      <c r="E952" s="28">
        <v>3</v>
      </c>
      <c r="F952" s="28">
        <v>33</v>
      </c>
      <c r="G952" s="27" t="s">
        <v>66</v>
      </c>
      <c r="H952" s="27"/>
      <c r="I952" s="48"/>
      <c r="L952" s="190"/>
      <c r="M952" s="193"/>
      <c r="N952" s="27" t="s">
        <v>80</v>
      </c>
      <c r="O952" s="28">
        <v>3</v>
      </c>
      <c r="P952" s="28">
        <v>33</v>
      </c>
      <c r="Q952" s="27" t="s">
        <v>66</v>
      </c>
      <c r="R952" s="27"/>
      <c r="S952" s="48"/>
    </row>
    <row r="953" spans="2:19" x14ac:dyDescent="0.25">
      <c r="B953" s="190"/>
      <c r="C953" s="193"/>
      <c r="D953" s="27" t="s">
        <v>81</v>
      </c>
      <c r="E953" s="28">
        <v>4</v>
      </c>
      <c r="F953" s="28">
        <v>34</v>
      </c>
      <c r="G953" s="27" t="s">
        <v>66</v>
      </c>
      <c r="H953" s="27"/>
      <c r="I953" s="48"/>
      <c r="L953" s="190"/>
      <c r="M953" s="193"/>
      <c r="N953" s="27" t="s">
        <v>81</v>
      </c>
      <c r="O953" s="28">
        <v>4</v>
      </c>
      <c r="P953" s="28">
        <v>34</v>
      </c>
      <c r="Q953" s="27" t="s">
        <v>66</v>
      </c>
      <c r="R953" s="27"/>
      <c r="S953" s="48"/>
    </row>
    <row r="954" spans="2:19" x14ac:dyDescent="0.25">
      <c r="B954" s="190"/>
      <c r="C954" s="193"/>
      <c r="D954" s="27" t="s">
        <v>82</v>
      </c>
      <c r="E954" s="28">
        <v>5</v>
      </c>
      <c r="F954" s="28">
        <v>35</v>
      </c>
      <c r="G954" s="27" t="s">
        <v>66</v>
      </c>
      <c r="H954" s="27"/>
      <c r="I954" s="48"/>
      <c r="L954" s="190"/>
      <c r="M954" s="193"/>
      <c r="N954" s="27" t="s">
        <v>82</v>
      </c>
      <c r="O954" s="28">
        <v>5</v>
      </c>
      <c r="P954" s="28">
        <v>35</v>
      </c>
      <c r="Q954" s="27" t="s">
        <v>66</v>
      </c>
      <c r="R954" s="27"/>
      <c r="S954" s="48"/>
    </row>
    <row r="955" spans="2:19" ht="15.75" thickBot="1" x14ac:dyDescent="0.3">
      <c r="B955" s="191"/>
      <c r="C955" s="194"/>
      <c r="D955" s="27" t="s">
        <v>83</v>
      </c>
      <c r="E955" s="28">
        <v>6</v>
      </c>
      <c r="F955" s="28">
        <v>36</v>
      </c>
      <c r="G955" s="27" t="s">
        <v>66</v>
      </c>
      <c r="H955" s="27"/>
      <c r="I955" s="48"/>
      <c r="L955" s="191"/>
      <c r="M955" s="194"/>
      <c r="N955" s="27" t="s">
        <v>83</v>
      </c>
      <c r="O955" s="28">
        <v>6</v>
      </c>
      <c r="P955" s="28">
        <v>36</v>
      </c>
      <c r="Q955" s="27" t="s">
        <v>66</v>
      </c>
      <c r="R955" s="27"/>
      <c r="S955" s="48"/>
    </row>
    <row r="956" spans="2:19" x14ac:dyDescent="0.25">
      <c r="B956" s="183" t="s">
        <v>81</v>
      </c>
      <c r="C956" s="186" t="s">
        <v>77</v>
      </c>
      <c r="D956" s="29" t="s">
        <v>2</v>
      </c>
      <c r="E956" s="30">
        <v>1</v>
      </c>
      <c r="F956" s="30">
        <v>37</v>
      </c>
      <c r="G956" s="29" t="s">
        <v>66</v>
      </c>
      <c r="H956" s="29"/>
      <c r="I956" s="49"/>
      <c r="L956" s="183" t="s">
        <v>81</v>
      </c>
      <c r="M956" s="186" t="s">
        <v>77</v>
      </c>
      <c r="N956" s="29" t="s">
        <v>2</v>
      </c>
      <c r="O956" s="30">
        <v>1</v>
      </c>
      <c r="P956" s="30">
        <v>37</v>
      </c>
      <c r="Q956" s="29" t="s">
        <v>66</v>
      </c>
      <c r="R956" s="29"/>
      <c r="S956" s="49"/>
    </row>
    <row r="957" spans="2:19" x14ac:dyDescent="0.25">
      <c r="B957" s="184"/>
      <c r="C957" s="187"/>
      <c r="D957" s="29" t="s">
        <v>3</v>
      </c>
      <c r="E957" s="30">
        <v>2</v>
      </c>
      <c r="F957" s="30">
        <v>38</v>
      </c>
      <c r="G957" s="29" t="s">
        <v>66</v>
      </c>
      <c r="H957" s="29"/>
      <c r="I957" s="49"/>
      <c r="L957" s="184"/>
      <c r="M957" s="187"/>
      <c r="N957" s="29" t="s">
        <v>3</v>
      </c>
      <c r="O957" s="30">
        <v>2</v>
      </c>
      <c r="P957" s="30">
        <v>38</v>
      </c>
      <c r="Q957" s="29" t="s">
        <v>66</v>
      </c>
      <c r="R957" s="29"/>
      <c r="S957" s="49"/>
    </row>
    <row r="958" spans="2:19" x14ac:dyDescent="0.25">
      <c r="B958" s="184"/>
      <c r="C958" s="187"/>
      <c r="D958" s="29" t="s">
        <v>80</v>
      </c>
      <c r="E958" s="30">
        <v>3</v>
      </c>
      <c r="F958" s="30">
        <v>39</v>
      </c>
      <c r="G958" s="29" t="s">
        <v>66</v>
      </c>
      <c r="H958" s="29"/>
      <c r="I958" s="49"/>
      <c r="L958" s="184"/>
      <c r="M958" s="187"/>
      <c r="N958" s="29" t="s">
        <v>80</v>
      </c>
      <c r="O958" s="30">
        <v>3</v>
      </c>
      <c r="P958" s="30">
        <v>39</v>
      </c>
      <c r="Q958" s="29" t="s">
        <v>66</v>
      </c>
      <c r="R958" s="29"/>
      <c r="S958" s="49"/>
    </row>
    <row r="959" spans="2:19" x14ac:dyDescent="0.25">
      <c r="B959" s="184"/>
      <c r="C959" s="187"/>
      <c r="D959" s="29" t="s">
        <v>81</v>
      </c>
      <c r="E959" s="30">
        <v>4</v>
      </c>
      <c r="F959" s="30">
        <v>40</v>
      </c>
      <c r="G959" s="29" t="s">
        <v>66</v>
      </c>
      <c r="H959" s="29"/>
      <c r="I959" s="49"/>
      <c r="L959" s="184"/>
      <c r="M959" s="187"/>
      <c r="N959" s="29" t="s">
        <v>81</v>
      </c>
      <c r="O959" s="30">
        <v>4</v>
      </c>
      <c r="P959" s="30">
        <v>40</v>
      </c>
      <c r="Q959" s="29" t="s">
        <v>66</v>
      </c>
      <c r="R959" s="29"/>
      <c r="S959" s="49"/>
    </row>
    <row r="960" spans="2:19" x14ac:dyDescent="0.25">
      <c r="B960" s="184"/>
      <c r="C960" s="187"/>
      <c r="D960" s="29" t="s">
        <v>82</v>
      </c>
      <c r="E960" s="30">
        <v>5</v>
      </c>
      <c r="F960" s="30">
        <v>41</v>
      </c>
      <c r="G960" s="29" t="s">
        <v>66</v>
      </c>
      <c r="H960" s="29"/>
      <c r="I960" s="49"/>
      <c r="L960" s="184"/>
      <c r="M960" s="187"/>
      <c r="N960" s="29" t="s">
        <v>82</v>
      </c>
      <c r="O960" s="30">
        <v>5</v>
      </c>
      <c r="P960" s="30">
        <v>41</v>
      </c>
      <c r="Q960" s="29" t="s">
        <v>66</v>
      </c>
      <c r="R960" s="29"/>
      <c r="S960" s="49"/>
    </row>
    <row r="961" spans="2:19" ht="15.75" thickBot="1" x14ac:dyDescent="0.3">
      <c r="B961" s="184"/>
      <c r="C961" s="188"/>
      <c r="D961" s="29" t="s">
        <v>83</v>
      </c>
      <c r="E961" s="30">
        <v>6</v>
      </c>
      <c r="F961" s="30">
        <v>42</v>
      </c>
      <c r="G961" s="29" t="s">
        <v>66</v>
      </c>
      <c r="H961" s="29"/>
      <c r="I961" s="49"/>
      <c r="L961" s="184"/>
      <c r="M961" s="188"/>
      <c r="N961" s="29" t="s">
        <v>83</v>
      </c>
      <c r="O961" s="30">
        <v>6</v>
      </c>
      <c r="P961" s="30">
        <v>42</v>
      </c>
      <c r="Q961" s="29" t="s">
        <v>66</v>
      </c>
      <c r="R961" s="29"/>
      <c r="S961" s="49"/>
    </row>
    <row r="962" spans="2:19" x14ac:dyDescent="0.25">
      <c r="B962" s="184"/>
      <c r="C962" s="186" t="s">
        <v>84</v>
      </c>
      <c r="D962" s="29" t="s">
        <v>2</v>
      </c>
      <c r="E962" s="30">
        <v>1</v>
      </c>
      <c r="F962" s="30">
        <v>43</v>
      </c>
      <c r="G962" s="29" t="s">
        <v>66</v>
      </c>
      <c r="H962" s="29"/>
      <c r="I962" s="49"/>
      <c r="L962" s="184"/>
      <c r="M962" s="186" t="s">
        <v>84</v>
      </c>
      <c r="N962" s="29" t="s">
        <v>2</v>
      </c>
      <c r="O962" s="30">
        <v>1</v>
      </c>
      <c r="P962" s="30">
        <v>43</v>
      </c>
      <c r="Q962" s="29" t="s">
        <v>66</v>
      </c>
      <c r="R962" s="29"/>
      <c r="S962" s="49"/>
    </row>
    <row r="963" spans="2:19" x14ac:dyDescent="0.25">
      <c r="B963" s="184"/>
      <c r="C963" s="187"/>
      <c r="D963" s="29" t="s">
        <v>3</v>
      </c>
      <c r="E963" s="30">
        <v>2</v>
      </c>
      <c r="F963" s="30">
        <v>44</v>
      </c>
      <c r="G963" s="29" t="s">
        <v>66</v>
      </c>
      <c r="H963" s="29"/>
      <c r="I963" s="49"/>
      <c r="L963" s="184"/>
      <c r="M963" s="187"/>
      <c r="N963" s="29" t="s">
        <v>3</v>
      </c>
      <c r="O963" s="30">
        <v>2</v>
      </c>
      <c r="P963" s="30">
        <v>44</v>
      </c>
      <c r="Q963" s="29" t="s">
        <v>66</v>
      </c>
      <c r="R963" s="29"/>
      <c r="S963" s="49"/>
    </row>
    <row r="964" spans="2:19" x14ac:dyDescent="0.25">
      <c r="B964" s="184"/>
      <c r="C964" s="187"/>
      <c r="D964" s="29" t="s">
        <v>80</v>
      </c>
      <c r="E964" s="30">
        <v>3</v>
      </c>
      <c r="F964" s="30">
        <v>45</v>
      </c>
      <c r="G964" s="29" t="s">
        <v>66</v>
      </c>
      <c r="H964" s="29"/>
      <c r="I964" s="49"/>
      <c r="L964" s="184"/>
      <c r="M964" s="187"/>
      <c r="N964" s="29" t="s">
        <v>80</v>
      </c>
      <c r="O964" s="30">
        <v>3</v>
      </c>
      <c r="P964" s="30">
        <v>45</v>
      </c>
      <c r="Q964" s="29" t="s">
        <v>66</v>
      </c>
      <c r="R964" s="29"/>
      <c r="S964" s="49"/>
    </row>
    <row r="965" spans="2:19" x14ac:dyDescent="0.25">
      <c r="B965" s="184"/>
      <c r="C965" s="187"/>
      <c r="D965" s="29" t="s">
        <v>81</v>
      </c>
      <c r="E965" s="30">
        <v>4</v>
      </c>
      <c r="F965" s="30">
        <v>46</v>
      </c>
      <c r="G965" s="29" t="s">
        <v>66</v>
      </c>
      <c r="H965" s="29"/>
      <c r="I965" s="49"/>
      <c r="L965" s="184"/>
      <c r="M965" s="187"/>
      <c r="N965" s="29" t="s">
        <v>81</v>
      </c>
      <c r="O965" s="30">
        <v>4</v>
      </c>
      <c r="P965" s="30">
        <v>46</v>
      </c>
      <c r="Q965" s="29" t="s">
        <v>66</v>
      </c>
      <c r="R965" s="29"/>
      <c r="S965" s="49"/>
    </row>
    <row r="966" spans="2:19" x14ac:dyDescent="0.25">
      <c r="B966" s="184"/>
      <c r="C966" s="187"/>
      <c r="D966" s="29" t="s">
        <v>82</v>
      </c>
      <c r="E966" s="30">
        <v>5</v>
      </c>
      <c r="F966" s="30">
        <v>47</v>
      </c>
      <c r="G966" s="29" t="s">
        <v>66</v>
      </c>
      <c r="H966" s="29"/>
      <c r="I966" s="49"/>
      <c r="L966" s="184"/>
      <c r="M966" s="187"/>
      <c r="N966" s="29" t="s">
        <v>82</v>
      </c>
      <c r="O966" s="30">
        <v>5</v>
      </c>
      <c r="P966" s="30">
        <v>47</v>
      </c>
      <c r="Q966" s="29" t="s">
        <v>66</v>
      </c>
      <c r="R966" s="29"/>
      <c r="S966" s="49"/>
    </row>
    <row r="967" spans="2:19" ht="15.75" thickBot="1" x14ac:dyDescent="0.3">
      <c r="B967" s="185"/>
      <c r="C967" s="188"/>
      <c r="D967" s="29" t="s">
        <v>83</v>
      </c>
      <c r="E967" s="30">
        <v>6</v>
      </c>
      <c r="F967" s="30">
        <v>48</v>
      </c>
      <c r="G967" s="29" t="s">
        <v>66</v>
      </c>
      <c r="H967" s="29"/>
      <c r="I967" s="49"/>
      <c r="L967" s="185"/>
      <c r="M967" s="188"/>
      <c r="N967" s="29" t="s">
        <v>83</v>
      </c>
      <c r="O967" s="30">
        <v>6</v>
      </c>
      <c r="P967" s="30">
        <v>48</v>
      </c>
      <c r="Q967" s="29" t="s">
        <v>66</v>
      </c>
      <c r="R967" s="29"/>
      <c r="S967" s="49"/>
    </row>
    <row r="974" spans="2:19" ht="15.75" thickBot="1" x14ac:dyDescent="0.3"/>
    <row r="975" spans="2:19" ht="15.75" thickBot="1" x14ac:dyDescent="0.3">
      <c r="B975" s="171" t="s">
        <v>335</v>
      </c>
      <c r="C975" s="172"/>
      <c r="D975" s="172"/>
      <c r="E975" s="172"/>
      <c r="F975" s="172"/>
      <c r="G975" s="172"/>
      <c r="H975" s="172"/>
      <c r="I975" s="173"/>
      <c r="L975" s="171" t="s">
        <v>336</v>
      </c>
      <c r="M975" s="172"/>
      <c r="N975" s="172"/>
      <c r="O975" s="172"/>
      <c r="P975" s="172"/>
      <c r="Q975" s="172"/>
      <c r="R975" s="172"/>
      <c r="S975" s="173"/>
    </row>
    <row r="977" spans="2:19" ht="26.25" thickBot="1" x14ac:dyDescent="0.3">
      <c r="B977" s="15" t="s">
        <v>70</v>
      </c>
      <c r="C977" s="16" t="s">
        <v>71</v>
      </c>
      <c r="D977" s="15" t="s">
        <v>72</v>
      </c>
      <c r="E977" s="17" t="s">
        <v>73</v>
      </c>
      <c r="F977" s="17" t="s">
        <v>74</v>
      </c>
      <c r="G977" s="15" t="s">
        <v>75</v>
      </c>
      <c r="H977" s="15" t="s">
        <v>55</v>
      </c>
      <c r="I977" s="15" t="s">
        <v>76</v>
      </c>
      <c r="L977" s="15" t="s">
        <v>70</v>
      </c>
      <c r="M977" s="16" t="s">
        <v>71</v>
      </c>
      <c r="N977" s="15" t="s">
        <v>72</v>
      </c>
      <c r="O977" s="17" t="s">
        <v>73</v>
      </c>
      <c r="P977" s="17" t="s">
        <v>74</v>
      </c>
      <c r="Q977" s="15" t="s">
        <v>75</v>
      </c>
      <c r="R977" s="15" t="s">
        <v>55</v>
      </c>
      <c r="S977" s="15" t="s">
        <v>76</v>
      </c>
    </row>
    <row r="978" spans="2:19" ht="15" customHeight="1" x14ac:dyDescent="0.25">
      <c r="B978" s="174" t="s">
        <v>2</v>
      </c>
      <c r="C978" s="168" t="s">
        <v>77</v>
      </c>
      <c r="D978" s="18" t="s">
        <v>2</v>
      </c>
      <c r="E978" s="19">
        <v>1</v>
      </c>
      <c r="F978" s="19">
        <v>1</v>
      </c>
      <c r="G978" s="18" t="s">
        <v>78</v>
      </c>
      <c r="H978" s="156" t="s">
        <v>337</v>
      </c>
      <c r="I978" s="156" t="s">
        <v>231</v>
      </c>
      <c r="L978" s="174" t="s">
        <v>2</v>
      </c>
      <c r="M978" s="168" t="s">
        <v>77</v>
      </c>
      <c r="N978" s="18" t="s">
        <v>2</v>
      </c>
      <c r="O978" s="19">
        <v>1</v>
      </c>
      <c r="P978" s="19">
        <v>1</v>
      </c>
      <c r="Q978" s="18" t="s">
        <v>78</v>
      </c>
      <c r="R978" s="156" t="s">
        <v>337</v>
      </c>
      <c r="S978" s="156" t="s">
        <v>181</v>
      </c>
    </row>
    <row r="979" spans="2:19" x14ac:dyDescent="0.25">
      <c r="B979" s="175"/>
      <c r="C979" s="169"/>
      <c r="D979" s="18" t="s">
        <v>3</v>
      </c>
      <c r="E979" s="19">
        <v>2</v>
      </c>
      <c r="F979" s="19">
        <v>2</v>
      </c>
      <c r="G979" s="18" t="s">
        <v>78</v>
      </c>
      <c r="H979" s="157"/>
      <c r="I979" s="157"/>
      <c r="L979" s="175"/>
      <c r="M979" s="169"/>
      <c r="N979" s="18" t="s">
        <v>3</v>
      </c>
      <c r="O979" s="19">
        <v>2</v>
      </c>
      <c r="P979" s="19">
        <v>2</v>
      </c>
      <c r="Q979" s="18" t="s">
        <v>78</v>
      </c>
      <c r="R979" s="157"/>
      <c r="S979" s="157"/>
    </row>
    <row r="980" spans="2:19" x14ac:dyDescent="0.25">
      <c r="B980" s="175"/>
      <c r="C980" s="169"/>
      <c r="D980" s="18" t="s">
        <v>80</v>
      </c>
      <c r="E980" s="20">
        <v>3</v>
      </c>
      <c r="F980" s="20">
        <v>3</v>
      </c>
      <c r="G980" s="18" t="s">
        <v>66</v>
      </c>
      <c r="H980" s="157"/>
      <c r="I980" s="157"/>
      <c r="L980" s="175"/>
      <c r="M980" s="169"/>
      <c r="N980" s="18" t="s">
        <v>80</v>
      </c>
      <c r="O980" s="20">
        <v>3</v>
      </c>
      <c r="P980" s="20">
        <v>3</v>
      </c>
      <c r="Q980" s="18" t="s">
        <v>66</v>
      </c>
      <c r="R980" s="157"/>
      <c r="S980" s="157"/>
    </row>
    <row r="981" spans="2:19" x14ac:dyDescent="0.25">
      <c r="B981" s="175"/>
      <c r="C981" s="169"/>
      <c r="D981" s="18" t="s">
        <v>81</v>
      </c>
      <c r="E981" s="20">
        <v>4</v>
      </c>
      <c r="F981" s="20">
        <v>4</v>
      </c>
      <c r="G981" s="18" t="s">
        <v>66</v>
      </c>
      <c r="H981" s="157"/>
      <c r="I981" s="157"/>
      <c r="L981" s="175"/>
      <c r="M981" s="169"/>
      <c r="N981" s="18" t="s">
        <v>81</v>
      </c>
      <c r="O981" s="20">
        <v>4</v>
      </c>
      <c r="P981" s="20">
        <v>4</v>
      </c>
      <c r="Q981" s="18" t="s">
        <v>66</v>
      </c>
      <c r="R981" s="157"/>
      <c r="S981" s="157"/>
    </row>
    <row r="982" spans="2:19" x14ac:dyDescent="0.25">
      <c r="B982" s="175"/>
      <c r="C982" s="169"/>
      <c r="D982" s="18" t="s">
        <v>82</v>
      </c>
      <c r="E982" s="20">
        <v>5</v>
      </c>
      <c r="F982" s="20">
        <v>5</v>
      </c>
      <c r="G982" s="18" t="s">
        <v>66</v>
      </c>
      <c r="H982" s="157"/>
      <c r="I982" s="157"/>
      <c r="L982" s="175"/>
      <c r="M982" s="169"/>
      <c r="N982" s="18" t="s">
        <v>82</v>
      </c>
      <c r="O982" s="20">
        <v>5</v>
      </c>
      <c r="P982" s="20">
        <v>5</v>
      </c>
      <c r="Q982" s="18" t="s">
        <v>66</v>
      </c>
      <c r="R982" s="157"/>
      <c r="S982" s="157"/>
    </row>
    <row r="983" spans="2:19" ht="15.75" thickBot="1" x14ac:dyDescent="0.3">
      <c r="B983" s="175"/>
      <c r="C983" s="170"/>
      <c r="D983" s="18" t="s">
        <v>83</v>
      </c>
      <c r="E983" s="20">
        <v>6</v>
      </c>
      <c r="F983" s="20">
        <v>6</v>
      </c>
      <c r="G983" s="18" t="s">
        <v>66</v>
      </c>
      <c r="H983" s="158"/>
      <c r="I983" s="158"/>
      <c r="L983" s="175"/>
      <c r="M983" s="170"/>
      <c r="N983" s="18" t="s">
        <v>83</v>
      </c>
      <c r="O983" s="20">
        <v>6</v>
      </c>
      <c r="P983" s="20">
        <v>6</v>
      </c>
      <c r="Q983" s="18" t="s">
        <v>66</v>
      </c>
      <c r="R983" s="158"/>
      <c r="S983" s="158"/>
    </row>
    <row r="984" spans="2:19" x14ac:dyDescent="0.25">
      <c r="B984" s="175"/>
      <c r="C984" s="168" t="s">
        <v>84</v>
      </c>
      <c r="D984" s="18" t="s">
        <v>2</v>
      </c>
      <c r="E984" s="19">
        <v>1</v>
      </c>
      <c r="F984" s="19">
        <v>7</v>
      </c>
      <c r="G984" s="18" t="s">
        <v>66</v>
      </c>
      <c r="H984" s="32"/>
      <c r="I984" s="50"/>
      <c r="L984" s="175"/>
      <c r="M984" s="168" t="s">
        <v>84</v>
      </c>
      <c r="N984" s="18" t="s">
        <v>2</v>
      </c>
      <c r="O984" s="19">
        <v>1</v>
      </c>
      <c r="P984" s="19">
        <v>7</v>
      </c>
      <c r="Q984" s="18" t="s">
        <v>66</v>
      </c>
      <c r="R984" s="32"/>
      <c r="S984" s="50"/>
    </row>
    <row r="985" spans="2:19" x14ac:dyDescent="0.25">
      <c r="B985" s="175"/>
      <c r="C985" s="169"/>
      <c r="D985" s="18" t="s">
        <v>3</v>
      </c>
      <c r="E985" s="19">
        <v>2</v>
      </c>
      <c r="F985" s="19">
        <v>8</v>
      </c>
      <c r="G985" s="18" t="s">
        <v>66</v>
      </c>
      <c r="H985" s="32"/>
      <c r="I985" s="50"/>
      <c r="L985" s="175"/>
      <c r="M985" s="169"/>
      <c r="N985" s="18" t="s">
        <v>3</v>
      </c>
      <c r="O985" s="19">
        <v>2</v>
      </c>
      <c r="P985" s="19">
        <v>8</v>
      </c>
      <c r="Q985" s="18" t="s">
        <v>66</v>
      </c>
      <c r="R985" s="32"/>
      <c r="S985" s="50"/>
    </row>
    <row r="986" spans="2:19" x14ac:dyDescent="0.25">
      <c r="B986" s="175"/>
      <c r="C986" s="169"/>
      <c r="D986" s="18" t="s">
        <v>80</v>
      </c>
      <c r="E986" s="20">
        <v>3</v>
      </c>
      <c r="F986" s="20">
        <v>9</v>
      </c>
      <c r="G986" s="18" t="s">
        <v>66</v>
      </c>
      <c r="H986" s="32"/>
      <c r="I986" s="50"/>
      <c r="L986" s="175"/>
      <c r="M986" s="169"/>
      <c r="N986" s="18" t="s">
        <v>80</v>
      </c>
      <c r="O986" s="20">
        <v>3</v>
      </c>
      <c r="P986" s="20">
        <v>9</v>
      </c>
      <c r="Q986" s="18" t="s">
        <v>66</v>
      </c>
      <c r="R986" s="32"/>
      <c r="S986" s="50"/>
    </row>
    <row r="987" spans="2:19" x14ac:dyDescent="0.25">
      <c r="B987" s="175"/>
      <c r="C987" s="169"/>
      <c r="D987" s="18" t="s">
        <v>81</v>
      </c>
      <c r="E987" s="20">
        <v>4</v>
      </c>
      <c r="F987" s="20">
        <v>10</v>
      </c>
      <c r="G987" s="18" t="s">
        <v>66</v>
      </c>
      <c r="H987" s="32"/>
      <c r="I987" s="50"/>
      <c r="L987" s="175"/>
      <c r="M987" s="169"/>
      <c r="N987" s="18" t="s">
        <v>81</v>
      </c>
      <c r="O987" s="20">
        <v>4</v>
      </c>
      <c r="P987" s="20">
        <v>10</v>
      </c>
      <c r="Q987" s="18" t="s">
        <v>66</v>
      </c>
      <c r="R987" s="32"/>
      <c r="S987" s="50"/>
    </row>
    <row r="988" spans="2:19" x14ac:dyDescent="0.25">
      <c r="B988" s="175"/>
      <c r="C988" s="169"/>
      <c r="D988" s="18" t="s">
        <v>82</v>
      </c>
      <c r="E988" s="20">
        <v>5</v>
      </c>
      <c r="F988" s="20">
        <v>11</v>
      </c>
      <c r="G988" s="18" t="s">
        <v>66</v>
      </c>
      <c r="H988" s="32"/>
      <c r="I988" s="50"/>
      <c r="L988" s="175"/>
      <c r="M988" s="169"/>
      <c r="N988" s="18" t="s">
        <v>82</v>
      </c>
      <c r="O988" s="20">
        <v>5</v>
      </c>
      <c r="P988" s="20">
        <v>11</v>
      </c>
      <c r="Q988" s="18" t="s">
        <v>66</v>
      </c>
      <c r="R988" s="32"/>
      <c r="S988" s="50"/>
    </row>
    <row r="989" spans="2:19" ht="15.75" thickBot="1" x14ac:dyDescent="0.3">
      <c r="B989" s="176"/>
      <c r="C989" s="170"/>
      <c r="D989" s="18" t="s">
        <v>83</v>
      </c>
      <c r="E989" s="20">
        <v>6</v>
      </c>
      <c r="F989" s="20">
        <v>12</v>
      </c>
      <c r="G989" s="18" t="s">
        <v>66</v>
      </c>
      <c r="H989" s="32"/>
      <c r="I989" s="50"/>
      <c r="L989" s="176"/>
      <c r="M989" s="170"/>
      <c r="N989" s="18" t="s">
        <v>83</v>
      </c>
      <c r="O989" s="20">
        <v>6</v>
      </c>
      <c r="P989" s="20">
        <v>12</v>
      </c>
      <c r="Q989" s="18" t="s">
        <v>66</v>
      </c>
      <c r="R989" s="32"/>
      <c r="S989" s="50"/>
    </row>
    <row r="990" spans="2:19" x14ac:dyDescent="0.25">
      <c r="B990" s="180" t="s">
        <v>3</v>
      </c>
      <c r="C990" s="177" t="s">
        <v>77</v>
      </c>
      <c r="D990" s="21" t="s">
        <v>2</v>
      </c>
      <c r="E990" s="22">
        <v>1</v>
      </c>
      <c r="F990" s="22">
        <v>13</v>
      </c>
      <c r="G990" s="21" t="s">
        <v>66</v>
      </c>
      <c r="H990" s="63"/>
      <c r="I990" s="64"/>
      <c r="L990" s="180" t="s">
        <v>3</v>
      </c>
      <c r="M990" s="177" t="s">
        <v>77</v>
      </c>
      <c r="N990" s="21" t="s">
        <v>2</v>
      </c>
      <c r="O990" s="22">
        <v>1</v>
      </c>
      <c r="P990" s="22">
        <v>13</v>
      </c>
      <c r="Q990" s="21" t="s">
        <v>66</v>
      </c>
      <c r="R990" s="63"/>
      <c r="S990" s="64"/>
    </row>
    <row r="991" spans="2:19" x14ac:dyDescent="0.25">
      <c r="B991" s="181"/>
      <c r="C991" s="178"/>
      <c r="D991" s="23" t="s">
        <v>3</v>
      </c>
      <c r="E991" s="24">
        <v>2</v>
      </c>
      <c r="F991" s="24">
        <v>14</v>
      </c>
      <c r="G991" s="23" t="s">
        <v>66</v>
      </c>
      <c r="H991" s="63"/>
      <c r="I991" s="64"/>
      <c r="L991" s="181"/>
      <c r="M991" s="178"/>
      <c r="N991" s="23" t="s">
        <v>3</v>
      </c>
      <c r="O991" s="24">
        <v>2</v>
      </c>
      <c r="P991" s="24">
        <v>14</v>
      </c>
      <c r="Q991" s="23" t="s">
        <v>66</v>
      </c>
      <c r="R991" s="63"/>
      <c r="S991" s="64"/>
    </row>
    <row r="992" spans="2:19" x14ac:dyDescent="0.25">
      <c r="B992" s="181"/>
      <c r="C992" s="178"/>
      <c r="D992" s="23" t="s">
        <v>80</v>
      </c>
      <c r="E992" s="24">
        <v>3</v>
      </c>
      <c r="F992" s="24">
        <v>15</v>
      </c>
      <c r="G992" s="23" t="s">
        <v>66</v>
      </c>
      <c r="H992" s="63"/>
      <c r="I992" s="64"/>
      <c r="L992" s="181"/>
      <c r="M992" s="178"/>
      <c r="N992" s="23" t="s">
        <v>80</v>
      </c>
      <c r="O992" s="24">
        <v>3</v>
      </c>
      <c r="P992" s="24">
        <v>15</v>
      </c>
      <c r="Q992" s="23" t="s">
        <v>66</v>
      </c>
      <c r="R992" s="63"/>
      <c r="S992" s="64"/>
    </row>
    <row r="993" spans="2:19" x14ac:dyDescent="0.25">
      <c r="B993" s="181"/>
      <c r="C993" s="178"/>
      <c r="D993" s="23" t="s">
        <v>81</v>
      </c>
      <c r="E993" s="24">
        <v>4</v>
      </c>
      <c r="F993" s="24">
        <v>16</v>
      </c>
      <c r="G993" s="23" t="s">
        <v>66</v>
      </c>
      <c r="H993" s="63"/>
      <c r="I993" s="64"/>
      <c r="L993" s="181"/>
      <c r="M993" s="178"/>
      <c r="N993" s="23" t="s">
        <v>81</v>
      </c>
      <c r="O993" s="24">
        <v>4</v>
      </c>
      <c r="P993" s="24">
        <v>16</v>
      </c>
      <c r="Q993" s="23" t="s">
        <v>66</v>
      </c>
      <c r="R993" s="63"/>
      <c r="S993" s="64"/>
    </row>
    <row r="994" spans="2:19" x14ac:dyDescent="0.25">
      <c r="B994" s="181"/>
      <c r="C994" s="178"/>
      <c r="D994" s="23" t="s">
        <v>82</v>
      </c>
      <c r="E994" s="24">
        <v>5</v>
      </c>
      <c r="F994" s="24">
        <v>17</v>
      </c>
      <c r="G994" s="23" t="s">
        <v>66</v>
      </c>
      <c r="H994" s="63"/>
      <c r="I994" s="64"/>
      <c r="L994" s="181"/>
      <c r="M994" s="178"/>
      <c r="N994" s="23" t="s">
        <v>82</v>
      </c>
      <c r="O994" s="24">
        <v>5</v>
      </c>
      <c r="P994" s="24">
        <v>17</v>
      </c>
      <c r="Q994" s="23" t="s">
        <v>66</v>
      </c>
      <c r="R994" s="63"/>
      <c r="S994" s="64"/>
    </row>
    <row r="995" spans="2:19" ht="15.75" thickBot="1" x14ac:dyDescent="0.3">
      <c r="B995" s="181"/>
      <c r="C995" s="179"/>
      <c r="D995" s="23" t="s">
        <v>83</v>
      </c>
      <c r="E995" s="24">
        <v>6</v>
      </c>
      <c r="F995" s="24">
        <v>18</v>
      </c>
      <c r="G995" s="23" t="s">
        <v>66</v>
      </c>
      <c r="H995" s="63"/>
      <c r="I995" s="64"/>
      <c r="L995" s="181"/>
      <c r="M995" s="179"/>
      <c r="N995" s="23" t="s">
        <v>83</v>
      </c>
      <c r="O995" s="24">
        <v>6</v>
      </c>
      <c r="P995" s="24">
        <v>18</v>
      </c>
      <c r="Q995" s="23" t="s">
        <v>66</v>
      </c>
      <c r="R995" s="63"/>
      <c r="S995" s="64"/>
    </row>
    <row r="996" spans="2:19" x14ac:dyDescent="0.25">
      <c r="B996" s="181"/>
      <c r="C996" s="177" t="s">
        <v>84</v>
      </c>
      <c r="D996" s="23" t="s">
        <v>2</v>
      </c>
      <c r="E996" s="24">
        <v>1</v>
      </c>
      <c r="F996" s="24">
        <v>19</v>
      </c>
      <c r="G996" s="23" t="s">
        <v>66</v>
      </c>
      <c r="H996" s="63"/>
      <c r="I996" s="64"/>
      <c r="L996" s="181"/>
      <c r="M996" s="177" t="s">
        <v>84</v>
      </c>
      <c r="N996" s="23" t="s">
        <v>2</v>
      </c>
      <c r="O996" s="24">
        <v>1</v>
      </c>
      <c r="P996" s="24">
        <v>19</v>
      </c>
      <c r="Q996" s="23" t="s">
        <v>66</v>
      </c>
      <c r="R996" s="63"/>
      <c r="S996" s="64"/>
    </row>
    <row r="997" spans="2:19" x14ac:dyDescent="0.25">
      <c r="B997" s="181"/>
      <c r="C997" s="178"/>
      <c r="D997" s="23" t="s">
        <v>3</v>
      </c>
      <c r="E997" s="24">
        <v>2</v>
      </c>
      <c r="F997" s="24">
        <v>20</v>
      </c>
      <c r="G997" s="23" t="s">
        <v>66</v>
      </c>
      <c r="H997" s="63"/>
      <c r="I997" s="64"/>
      <c r="L997" s="181"/>
      <c r="M997" s="178"/>
      <c r="N997" s="23" t="s">
        <v>3</v>
      </c>
      <c r="O997" s="24">
        <v>2</v>
      </c>
      <c r="P997" s="24">
        <v>20</v>
      </c>
      <c r="Q997" s="23" t="s">
        <v>66</v>
      </c>
      <c r="R997" s="63"/>
      <c r="S997" s="64"/>
    </row>
    <row r="998" spans="2:19" x14ac:dyDescent="0.25">
      <c r="B998" s="181"/>
      <c r="C998" s="178"/>
      <c r="D998" s="23" t="s">
        <v>80</v>
      </c>
      <c r="E998" s="26">
        <v>3</v>
      </c>
      <c r="F998" s="24">
        <v>21</v>
      </c>
      <c r="G998" s="23" t="s">
        <v>66</v>
      </c>
      <c r="H998" s="63"/>
      <c r="I998" s="64"/>
      <c r="L998" s="181"/>
      <c r="M998" s="178"/>
      <c r="N998" s="23" t="s">
        <v>80</v>
      </c>
      <c r="O998" s="26">
        <v>3</v>
      </c>
      <c r="P998" s="24">
        <v>21</v>
      </c>
      <c r="Q998" s="23" t="s">
        <v>66</v>
      </c>
      <c r="R998" s="63"/>
      <c r="S998" s="64"/>
    </row>
    <row r="999" spans="2:19" x14ac:dyDescent="0.25">
      <c r="B999" s="181"/>
      <c r="C999" s="178"/>
      <c r="D999" s="23" t="s">
        <v>81</v>
      </c>
      <c r="E999" s="24">
        <v>4</v>
      </c>
      <c r="F999" s="24">
        <v>22</v>
      </c>
      <c r="G999" s="23" t="s">
        <v>66</v>
      </c>
      <c r="H999" s="63"/>
      <c r="I999" s="64"/>
      <c r="L999" s="181"/>
      <c r="M999" s="178"/>
      <c r="N999" s="23" t="s">
        <v>81</v>
      </c>
      <c r="O999" s="24">
        <v>4</v>
      </c>
      <c r="P999" s="24">
        <v>22</v>
      </c>
      <c r="Q999" s="23" t="s">
        <v>66</v>
      </c>
      <c r="R999" s="63"/>
      <c r="S999" s="64"/>
    </row>
    <row r="1000" spans="2:19" x14ac:dyDescent="0.25">
      <c r="B1000" s="181"/>
      <c r="C1000" s="178"/>
      <c r="D1000" s="23" t="s">
        <v>82</v>
      </c>
      <c r="E1000" s="24">
        <v>5</v>
      </c>
      <c r="F1000" s="24">
        <v>23</v>
      </c>
      <c r="G1000" s="23" t="s">
        <v>66</v>
      </c>
      <c r="H1000" s="63"/>
      <c r="I1000" s="64"/>
      <c r="L1000" s="181"/>
      <c r="M1000" s="178"/>
      <c r="N1000" s="23" t="s">
        <v>82</v>
      </c>
      <c r="O1000" s="24">
        <v>5</v>
      </c>
      <c r="P1000" s="24">
        <v>23</v>
      </c>
      <c r="Q1000" s="23" t="s">
        <v>66</v>
      </c>
      <c r="R1000" s="63"/>
      <c r="S1000" s="64"/>
    </row>
    <row r="1001" spans="2:19" ht="15.75" thickBot="1" x14ac:dyDescent="0.3">
      <c r="B1001" s="182"/>
      <c r="C1001" s="179"/>
      <c r="D1001" s="23" t="s">
        <v>83</v>
      </c>
      <c r="E1001" s="24">
        <v>6</v>
      </c>
      <c r="F1001" s="24">
        <v>24</v>
      </c>
      <c r="G1001" s="23" t="s">
        <v>66</v>
      </c>
      <c r="H1001" s="63"/>
      <c r="I1001" s="64"/>
      <c r="L1001" s="182"/>
      <c r="M1001" s="179"/>
      <c r="N1001" s="23" t="s">
        <v>83</v>
      </c>
      <c r="O1001" s="24">
        <v>6</v>
      </c>
      <c r="P1001" s="24">
        <v>24</v>
      </c>
      <c r="Q1001" s="23" t="s">
        <v>66</v>
      </c>
      <c r="R1001" s="63"/>
      <c r="S1001" s="64"/>
    </row>
    <row r="1002" spans="2:19" x14ac:dyDescent="0.25">
      <c r="B1002" s="189" t="s">
        <v>80</v>
      </c>
      <c r="C1002" s="192" t="s">
        <v>77</v>
      </c>
      <c r="D1002" s="27" t="s">
        <v>2</v>
      </c>
      <c r="E1002" s="28">
        <v>1</v>
      </c>
      <c r="F1002" s="28">
        <v>25</v>
      </c>
      <c r="G1002" s="27" t="s">
        <v>66</v>
      </c>
      <c r="H1002" s="27"/>
      <c r="I1002" s="48"/>
      <c r="L1002" s="189" t="s">
        <v>80</v>
      </c>
      <c r="M1002" s="192" t="s">
        <v>77</v>
      </c>
      <c r="N1002" s="27" t="s">
        <v>2</v>
      </c>
      <c r="O1002" s="28">
        <v>1</v>
      </c>
      <c r="P1002" s="28">
        <v>25</v>
      </c>
      <c r="Q1002" s="27" t="s">
        <v>66</v>
      </c>
      <c r="R1002" s="27"/>
      <c r="S1002" s="48"/>
    </row>
    <row r="1003" spans="2:19" x14ac:dyDescent="0.25">
      <c r="B1003" s="190"/>
      <c r="C1003" s="193"/>
      <c r="D1003" s="27" t="s">
        <v>3</v>
      </c>
      <c r="E1003" s="28">
        <v>2</v>
      </c>
      <c r="F1003" s="28">
        <v>26</v>
      </c>
      <c r="G1003" s="27" t="s">
        <v>66</v>
      </c>
      <c r="H1003" s="27"/>
      <c r="I1003" s="48"/>
      <c r="L1003" s="190"/>
      <c r="M1003" s="193"/>
      <c r="N1003" s="27" t="s">
        <v>3</v>
      </c>
      <c r="O1003" s="28">
        <v>2</v>
      </c>
      <c r="P1003" s="28">
        <v>26</v>
      </c>
      <c r="Q1003" s="27" t="s">
        <v>66</v>
      </c>
      <c r="R1003" s="27"/>
      <c r="S1003" s="48"/>
    </row>
    <row r="1004" spans="2:19" x14ac:dyDescent="0.25">
      <c r="B1004" s="190"/>
      <c r="C1004" s="193"/>
      <c r="D1004" s="27" t="s">
        <v>80</v>
      </c>
      <c r="E1004" s="28">
        <v>3</v>
      </c>
      <c r="F1004" s="28">
        <v>27</v>
      </c>
      <c r="G1004" s="27" t="s">
        <v>66</v>
      </c>
      <c r="H1004" s="27"/>
      <c r="I1004" s="48"/>
      <c r="L1004" s="190"/>
      <c r="M1004" s="193"/>
      <c r="N1004" s="27" t="s">
        <v>80</v>
      </c>
      <c r="O1004" s="28">
        <v>3</v>
      </c>
      <c r="P1004" s="28">
        <v>27</v>
      </c>
      <c r="Q1004" s="27" t="s">
        <v>66</v>
      </c>
      <c r="R1004" s="27"/>
      <c r="S1004" s="48"/>
    </row>
    <row r="1005" spans="2:19" x14ac:dyDescent="0.25">
      <c r="B1005" s="190"/>
      <c r="C1005" s="193"/>
      <c r="D1005" s="27" t="s">
        <v>81</v>
      </c>
      <c r="E1005" s="28">
        <v>4</v>
      </c>
      <c r="F1005" s="28">
        <v>28</v>
      </c>
      <c r="G1005" s="27" t="s">
        <v>66</v>
      </c>
      <c r="H1005" s="27"/>
      <c r="I1005" s="48"/>
      <c r="L1005" s="190"/>
      <c r="M1005" s="193"/>
      <c r="N1005" s="27" t="s">
        <v>81</v>
      </c>
      <c r="O1005" s="28">
        <v>4</v>
      </c>
      <c r="P1005" s="28">
        <v>28</v>
      </c>
      <c r="Q1005" s="27" t="s">
        <v>66</v>
      </c>
      <c r="R1005" s="27"/>
      <c r="S1005" s="48"/>
    </row>
    <row r="1006" spans="2:19" x14ac:dyDescent="0.25">
      <c r="B1006" s="190"/>
      <c r="C1006" s="193"/>
      <c r="D1006" s="27" t="s">
        <v>82</v>
      </c>
      <c r="E1006" s="28">
        <v>5</v>
      </c>
      <c r="F1006" s="28">
        <v>29</v>
      </c>
      <c r="G1006" s="27" t="s">
        <v>66</v>
      </c>
      <c r="H1006" s="27"/>
      <c r="I1006" s="48"/>
      <c r="L1006" s="190"/>
      <c r="M1006" s="193"/>
      <c r="N1006" s="27" t="s">
        <v>82</v>
      </c>
      <c r="O1006" s="28">
        <v>5</v>
      </c>
      <c r="P1006" s="28">
        <v>29</v>
      </c>
      <c r="Q1006" s="27" t="s">
        <v>66</v>
      </c>
      <c r="R1006" s="27"/>
      <c r="S1006" s="48"/>
    </row>
    <row r="1007" spans="2:19" ht="15.75" thickBot="1" x14ac:dyDescent="0.3">
      <c r="B1007" s="190"/>
      <c r="C1007" s="194"/>
      <c r="D1007" s="27" t="s">
        <v>83</v>
      </c>
      <c r="E1007" s="28">
        <v>6</v>
      </c>
      <c r="F1007" s="28">
        <v>30</v>
      </c>
      <c r="G1007" s="27" t="s">
        <v>66</v>
      </c>
      <c r="H1007" s="27"/>
      <c r="I1007" s="48"/>
      <c r="L1007" s="190"/>
      <c r="M1007" s="194"/>
      <c r="N1007" s="27" t="s">
        <v>83</v>
      </c>
      <c r="O1007" s="28">
        <v>6</v>
      </c>
      <c r="P1007" s="28">
        <v>30</v>
      </c>
      <c r="Q1007" s="27" t="s">
        <v>66</v>
      </c>
      <c r="R1007" s="27"/>
      <c r="S1007" s="48"/>
    </row>
    <row r="1008" spans="2:19" x14ac:dyDescent="0.25">
      <c r="B1008" s="190"/>
      <c r="C1008" s="192" t="s">
        <v>84</v>
      </c>
      <c r="D1008" s="27" t="s">
        <v>2</v>
      </c>
      <c r="E1008" s="28">
        <v>1</v>
      </c>
      <c r="F1008" s="28">
        <v>31</v>
      </c>
      <c r="G1008" s="27" t="s">
        <v>66</v>
      </c>
      <c r="H1008" s="27"/>
      <c r="I1008" s="48"/>
      <c r="L1008" s="190"/>
      <c r="M1008" s="192" t="s">
        <v>84</v>
      </c>
      <c r="N1008" s="27" t="s">
        <v>2</v>
      </c>
      <c r="O1008" s="28">
        <v>1</v>
      </c>
      <c r="P1008" s="28">
        <v>31</v>
      </c>
      <c r="Q1008" s="27" t="s">
        <v>66</v>
      </c>
      <c r="R1008" s="27"/>
      <c r="S1008" s="48"/>
    </row>
    <row r="1009" spans="2:19" x14ac:dyDescent="0.25">
      <c r="B1009" s="190"/>
      <c r="C1009" s="193"/>
      <c r="D1009" s="27" t="s">
        <v>3</v>
      </c>
      <c r="E1009" s="28">
        <v>2</v>
      </c>
      <c r="F1009" s="28">
        <v>32</v>
      </c>
      <c r="G1009" s="27" t="s">
        <v>66</v>
      </c>
      <c r="H1009" s="27"/>
      <c r="I1009" s="48"/>
      <c r="L1009" s="190"/>
      <c r="M1009" s="193"/>
      <c r="N1009" s="27" t="s">
        <v>3</v>
      </c>
      <c r="O1009" s="28">
        <v>2</v>
      </c>
      <c r="P1009" s="28">
        <v>32</v>
      </c>
      <c r="Q1009" s="27" t="s">
        <v>66</v>
      </c>
      <c r="R1009" s="27"/>
      <c r="S1009" s="48"/>
    </row>
    <row r="1010" spans="2:19" x14ac:dyDescent="0.25">
      <c r="B1010" s="190"/>
      <c r="C1010" s="193"/>
      <c r="D1010" s="27" t="s">
        <v>80</v>
      </c>
      <c r="E1010" s="28">
        <v>3</v>
      </c>
      <c r="F1010" s="28">
        <v>33</v>
      </c>
      <c r="G1010" s="27" t="s">
        <v>66</v>
      </c>
      <c r="H1010" s="27"/>
      <c r="I1010" s="48"/>
      <c r="L1010" s="190"/>
      <c r="M1010" s="193"/>
      <c r="N1010" s="27" t="s">
        <v>80</v>
      </c>
      <c r="O1010" s="28">
        <v>3</v>
      </c>
      <c r="P1010" s="28">
        <v>33</v>
      </c>
      <c r="Q1010" s="27" t="s">
        <v>66</v>
      </c>
      <c r="R1010" s="27"/>
      <c r="S1010" s="48"/>
    </row>
    <row r="1011" spans="2:19" x14ac:dyDescent="0.25">
      <c r="B1011" s="190"/>
      <c r="C1011" s="193"/>
      <c r="D1011" s="27" t="s">
        <v>81</v>
      </c>
      <c r="E1011" s="28">
        <v>4</v>
      </c>
      <c r="F1011" s="28">
        <v>34</v>
      </c>
      <c r="G1011" s="27" t="s">
        <v>66</v>
      </c>
      <c r="H1011" s="27"/>
      <c r="I1011" s="48"/>
      <c r="L1011" s="190"/>
      <c r="M1011" s="193"/>
      <c r="N1011" s="27" t="s">
        <v>81</v>
      </c>
      <c r="O1011" s="28">
        <v>4</v>
      </c>
      <c r="P1011" s="28">
        <v>34</v>
      </c>
      <c r="Q1011" s="27" t="s">
        <v>66</v>
      </c>
      <c r="R1011" s="27"/>
      <c r="S1011" s="48"/>
    </row>
    <row r="1012" spans="2:19" x14ac:dyDescent="0.25">
      <c r="B1012" s="190"/>
      <c r="C1012" s="193"/>
      <c r="D1012" s="27" t="s">
        <v>82</v>
      </c>
      <c r="E1012" s="28">
        <v>5</v>
      </c>
      <c r="F1012" s="28">
        <v>35</v>
      </c>
      <c r="G1012" s="27" t="s">
        <v>66</v>
      </c>
      <c r="H1012" s="27"/>
      <c r="I1012" s="48"/>
      <c r="L1012" s="190"/>
      <c r="M1012" s="193"/>
      <c r="N1012" s="27" t="s">
        <v>82</v>
      </c>
      <c r="O1012" s="28">
        <v>5</v>
      </c>
      <c r="P1012" s="28">
        <v>35</v>
      </c>
      <c r="Q1012" s="27" t="s">
        <v>66</v>
      </c>
      <c r="R1012" s="27"/>
      <c r="S1012" s="48"/>
    </row>
    <row r="1013" spans="2:19" ht="15.75" thickBot="1" x14ac:dyDescent="0.3">
      <c r="B1013" s="191"/>
      <c r="C1013" s="194"/>
      <c r="D1013" s="27" t="s">
        <v>83</v>
      </c>
      <c r="E1013" s="28">
        <v>6</v>
      </c>
      <c r="F1013" s="28">
        <v>36</v>
      </c>
      <c r="G1013" s="27" t="s">
        <v>66</v>
      </c>
      <c r="H1013" s="27"/>
      <c r="I1013" s="48"/>
      <c r="L1013" s="191"/>
      <c r="M1013" s="194"/>
      <c r="N1013" s="27" t="s">
        <v>83</v>
      </c>
      <c r="O1013" s="28">
        <v>6</v>
      </c>
      <c r="P1013" s="28">
        <v>36</v>
      </c>
      <c r="Q1013" s="27" t="s">
        <v>66</v>
      </c>
      <c r="R1013" s="27"/>
      <c r="S1013" s="48"/>
    </row>
    <row r="1014" spans="2:19" x14ac:dyDescent="0.25">
      <c r="B1014" s="183" t="s">
        <v>81</v>
      </c>
      <c r="C1014" s="186" t="s">
        <v>77</v>
      </c>
      <c r="D1014" s="29" t="s">
        <v>2</v>
      </c>
      <c r="E1014" s="30">
        <v>1</v>
      </c>
      <c r="F1014" s="30">
        <v>37</v>
      </c>
      <c r="G1014" s="29" t="s">
        <v>66</v>
      </c>
      <c r="H1014" s="29"/>
      <c r="I1014" s="49"/>
      <c r="L1014" s="183" t="s">
        <v>81</v>
      </c>
      <c r="M1014" s="186" t="s">
        <v>77</v>
      </c>
      <c r="N1014" s="29" t="s">
        <v>2</v>
      </c>
      <c r="O1014" s="30">
        <v>1</v>
      </c>
      <c r="P1014" s="30">
        <v>37</v>
      </c>
      <c r="Q1014" s="29" t="s">
        <v>66</v>
      </c>
      <c r="R1014" s="29"/>
      <c r="S1014" s="49"/>
    </row>
    <row r="1015" spans="2:19" x14ac:dyDescent="0.25">
      <c r="B1015" s="184"/>
      <c r="C1015" s="187"/>
      <c r="D1015" s="29" t="s">
        <v>3</v>
      </c>
      <c r="E1015" s="30">
        <v>2</v>
      </c>
      <c r="F1015" s="30">
        <v>38</v>
      </c>
      <c r="G1015" s="29" t="s">
        <v>66</v>
      </c>
      <c r="H1015" s="29"/>
      <c r="I1015" s="49"/>
      <c r="L1015" s="184"/>
      <c r="M1015" s="187"/>
      <c r="N1015" s="29" t="s">
        <v>3</v>
      </c>
      <c r="O1015" s="30">
        <v>2</v>
      </c>
      <c r="P1015" s="30">
        <v>38</v>
      </c>
      <c r="Q1015" s="29" t="s">
        <v>66</v>
      </c>
      <c r="R1015" s="29"/>
      <c r="S1015" s="49"/>
    </row>
    <row r="1016" spans="2:19" x14ac:dyDescent="0.25">
      <c r="B1016" s="184"/>
      <c r="C1016" s="187"/>
      <c r="D1016" s="29" t="s">
        <v>80</v>
      </c>
      <c r="E1016" s="30">
        <v>3</v>
      </c>
      <c r="F1016" s="30">
        <v>39</v>
      </c>
      <c r="G1016" s="29" t="s">
        <v>66</v>
      </c>
      <c r="H1016" s="29"/>
      <c r="I1016" s="49"/>
      <c r="L1016" s="184"/>
      <c r="M1016" s="187"/>
      <c r="N1016" s="29" t="s">
        <v>80</v>
      </c>
      <c r="O1016" s="30">
        <v>3</v>
      </c>
      <c r="P1016" s="30">
        <v>39</v>
      </c>
      <c r="Q1016" s="29" t="s">
        <v>66</v>
      </c>
      <c r="R1016" s="29"/>
      <c r="S1016" s="49"/>
    </row>
    <row r="1017" spans="2:19" x14ac:dyDescent="0.25">
      <c r="B1017" s="184"/>
      <c r="C1017" s="187"/>
      <c r="D1017" s="29" t="s">
        <v>81</v>
      </c>
      <c r="E1017" s="30">
        <v>4</v>
      </c>
      <c r="F1017" s="30">
        <v>40</v>
      </c>
      <c r="G1017" s="29" t="s">
        <v>66</v>
      </c>
      <c r="H1017" s="29"/>
      <c r="I1017" s="49"/>
      <c r="L1017" s="184"/>
      <c r="M1017" s="187"/>
      <c r="N1017" s="29" t="s">
        <v>81</v>
      </c>
      <c r="O1017" s="30">
        <v>4</v>
      </c>
      <c r="P1017" s="30">
        <v>40</v>
      </c>
      <c r="Q1017" s="29" t="s">
        <v>66</v>
      </c>
      <c r="R1017" s="29"/>
      <c r="S1017" s="49"/>
    </row>
    <row r="1018" spans="2:19" x14ac:dyDescent="0.25">
      <c r="B1018" s="184"/>
      <c r="C1018" s="187"/>
      <c r="D1018" s="29" t="s">
        <v>82</v>
      </c>
      <c r="E1018" s="30">
        <v>5</v>
      </c>
      <c r="F1018" s="30">
        <v>41</v>
      </c>
      <c r="G1018" s="29" t="s">
        <v>66</v>
      </c>
      <c r="H1018" s="29"/>
      <c r="I1018" s="49"/>
      <c r="L1018" s="184"/>
      <c r="M1018" s="187"/>
      <c r="N1018" s="29" t="s">
        <v>82</v>
      </c>
      <c r="O1018" s="30">
        <v>5</v>
      </c>
      <c r="P1018" s="30">
        <v>41</v>
      </c>
      <c r="Q1018" s="29" t="s">
        <v>66</v>
      </c>
      <c r="R1018" s="29"/>
      <c r="S1018" s="49"/>
    </row>
    <row r="1019" spans="2:19" ht="15.75" thickBot="1" x14ac:dyDescent="0.3">
      <c r="B1019" s="184"/>
      <c r="C1019" s="188"/>
      <c r="D1019" s="29" t="s">
        <v>83</v>
      </c>
      <c r="E1019" s="30">
        <v>6</v>
      </c>
      <c r="F1019" s="30">
        <v>42</v>
      </c>
      <c r="G1019" s="29" t="s">
        <v>66</v>
      </c>
      <c r="H1019" s="29"/>
      <c r="I1019" s="49"/>
      <c r="L1019" s="184"/>
      <c r="M1019" s="188"/>
      <c r="N1019" s="29" t="s">
        <v>83</v>
      </c>
      <c r="O1019" s="30">
        <v>6</v>
      </c>
      <c r="P1019" s="30">
        <v>42</v>
      </c>
      <c r="Q1019" s="29" t="s">
        <v>66</v>
      </c>
      <c r="R1019" s="29"/>
      <c r="S1019" s="49"/>
    </row>
    <row r="1020" spans="2:19" x14ac:dyDescent="0.25">
      <c r="B1020" s="184"/>
      <c r="C1020" s="186" t="s">
        <v>84</v>
      </c>
      <c r="D1020" s="29" t="s">
        <v>2</v>
      </c>
      <c r="E1020" s="30">
        <v>1</v>
      </c>
      <c r="F1020" s="30">
        <v>43</v>
      </c>
      <c r="G1020" s="29" t="s">
        <v>66</v>
      </c>
      <c r="H1020" s="29"/>
      <c r="I1020" s="49"/>
      <c r="L1020" s="184"/>
      <c r="M1020" s="186" t="s">
        <v>84</v>
      </c>
      <c r="N1020" s="29" t="s">
        <v>2</v>
      </c>
      <c r="O1020" s="30">
        <v>1</v>
      </c>
      <c r="P1020" s="30">
        <v>43</v>
      </c>
      <c r="Q1020" s="29" t="s">
        <v>66</v>
      </c>
      <c r="R1020" s="29"/>
      <c r="S1020" s="49"/>
    </row>
    <row r="1021" spans="2:19" x14ac:dyDescent="0.25">
      <c r="B1021" s="184"/>
      <c r="C1021" s="187"/>
      <c r="D1021" s="29" t="s">
        <v>3</v>
      </c>
      <c r="E1021" s="30">
        <v>2</v>
      </c>
      <c r="F1021" s="30">
        <v>44</v>
      </c>
      <c r="G1021" s="29" t="s">
        <v>66</v>
      </c>
      <c r="H1021" s="29"/>
      <c r="I1021" s="49"/>
      <c r="L1021" s="184"/>
      <c r="M1021" s="187"/>
      <c r="N1021" s="29" t="s">
        <v>3</v>
      </c>
      <c r="O1021" s="30">
        <v>2</v>
      </c>
      <c r="P1021" s="30">
        <v>44</v>
      </c>
      <c r="Q1021" s="29" t="s">
        <v>66</v>
      </c>
      <c r="R1021" s="29"/>
      <c r="S1021" s="49"/>
    </row>
    <row r="1022" spans="2:19" x14ac:dyDescent="0.25">
      <c r="B1022" s="184"/>
      <c r="C1022" s="187"/>
      <c r="D1022" s="29" t="s">
        <v>80</v>
      </c>
      <c r="E1022" s="30">
        <v>3</v>
      </c>
      <c r="F1022" s="30">
        <v>45</v>
      </c>
      <c r="G1022" s="29" t="s">
        <v>66</v>
      </c>
      <c r="H1022" s="29"/>
      <c r="I1022" s="49"/>
      <c r="L1022" s="184"/>
      <c r="M1022" s="187"/>
      <c r="N1022" s="29" t="s">
        <v>80</v>
      </c>
      <c r="O1022" s="30">
        <v>3</v>
      </c>
      <c r="P1022" s="30">
        <v>45</v>
      </c>
      <c r="Q1022" s="29" t="s">
        <v>66</v>
      </c>
      <c r="R1022" s="29"/>
      <c r="S1022" s="49"/>
    </row>
    <row r="1023" spans="2:19" x14ac:dyDescent="0.25">
      <c r="B1023" s="184"/>
      <c r="C1023" s="187"/>
      <c r="D1023" s="29" t="s">
        <v>81</v>
      </c>
      <c r="E1023" s="30">
        <v>4</v>
      </c>
      <c r="F1023" s="30">
        <v>46</v>
      </c>
      <c r="G1023" s="29" t="s">
        <v>66</v>
      </c>
      <c r="H1023" s="29"/>
      <c r="I1023" s="49"/>
      <c r="L1023" s="184"/>
      <c r="M1023" s="187"/>
      <c r="N1023" s="29" t="s">
        <v>81</v>
      </c>
      <c r="O1023" s="30">
        <v>4</v>
      </c>
      <c r="P1023" s="30">
        <v>46</v>
      </c>
      <c r="Q1023" s="29" t="s">
        <v>66</v>
      </c>
      <c r="R1023" s="29"/>
      <c r="S1023" s="49"/>
    </row>
    <row r="1024" spans="2:19" x14ac:dyDescent="0.25">
      <c r="B1024" s="184"/>
      <c r="C1024" s="187"/>
      <c r="D1024" s="29" t="s">
        <v>82</v>
      </c>
      <c r="E1024" s="30">
        <v>5</v>
      </c>
      <c r="F1024" s="30">
        <v>47</v>
      </c>
      <c r="G1024" s="29" t="s">
        <v>66</v>
      </c>
      <c r="H1024" s="29"/>
      <c r="I1024" s="49"/>
      <c r="L1024" s="184"/>
      <c r="M1024" s="187"/>
      <c r="N1024" s="29" t="s">
        <v>82</v>
      </c>
      <c r="O1024" s="30">
        <v>5</v>
      </c>
      <c r="P1024" s="30">
        <v>47</v>
      </c>
      <c r="Q1024" s="29" t="s">
        <v>66</v>
      </c>
      <c r="R1024" s="29"/>
      <c r="S1024" s="49"/>
    </row>
    <row r="1025" spans="2:19" ht="15.75" thickBot="1" x14ac:dyDescent="0.3">
      <c r="B1025" s="185"/>
      <c r="C1025" s="188"/>
      <c r="D1025" s="29" t="s">
        <v>83</v>
      </c>
      <c r="E1025" s="30">
        <v>6</v>
      </c>
      <c r="F1025" s="30">
        <v>48</v>
      </c>
      <c r="G1025" s="29" t="s">
        <v>66</v>
      </c>
      <c r="H1025" s="29"/>
      <c r="I1025" s="49"/>
      <c r="L1025" s="185"/>
      <c r="M1025" s="188"/>
      <c r="N1025" s="29" t="s">
        <v>83</v>
      </c>
      <c r="O1025" s="30">
        <v>6</v>
      </c>
      <c r="P1025" s="30">
        <v>48</v>
      </c>
      <c r="Q1025" s="29" t="s">
        <v>66</v>
      </c>
      <c r="R1025" s="29"/>
      <c r="S1025" s="49"/>
    </row>
    <row r="1026" spans="2:19" ht="15.75" thickBot="1" x14ac:dyDescent="0.3"/>
    <row r="1027" spans="2:19" ht="15.75" thickBot="1" x14ac:dyDescent="0.3">
      <c r="B1027" s="171" t="s">
        <v>338</v>
      </c>
      <c r="C1027" s="172"/>
      <c r="D1027" s="172"/>
      <c r="E1027" s="172"/>
      <c r="F1027" s="172"/>
      <c r="G1027" s="172"/>
      <c r="H1027" s="172"/>
      <c r="I1027" s="173"/>
      <c r="L1027" s="171" t="s">
        <v>339</v>
      </c>
      <c r="M1027" s="172"/>
      <c r="N1027" s="172"/>
      <c r="O1027" s="172"/>
      <c r="P1027" s="172"/>
      <c r="Q1027" s="172"/>
      <c r="R1027" s="172"/>
      <c r="S1027" s="173"/>
    </row>
    <row r="1029" spans="2:19" ht="26.25" thickBot="1" x14ac:dyDescent="0.3">
      <c r="B1029" s="15" t="s">
        <v>70</v>
      </c>
      <c r="C1029" s="16" t="s">
        <v>71</v>
      </c>
      <c r="D1029" s="15" t="s">
        <v>72</v>
      </c>
      <c r="E1029" s="17" t="s">
        <v>73</v>
      </c>
      <c r="F1029" s="17" t="s">
        <v>74</v>
      </c>
      <c r="G1029" s="15" t="s">
        <v>75</v>
      </c>
      <c r="H1029" s="15" t="s">
        <v>55</v>
      </c>
      <c r="I1029" s="15" t="s">
        <v>76</v>
      </c>
      <c r="L1029" s="15" t="s">
        <v>70</v>
      </c>
      <c r="M1029" s="16" t="s">
        <v>71</v>
      </c>
      <c r="N1029" s="15" t="s">
        <v>72</v>
      </c>
      <c r="O1029" s="17" t="s">
        <v>73</v>
      </c>
      <c r="P1029" s="17" t="s">
        <v>74</v>
      </c>
      <c r="Q1029" s="15" t="s">
        <v>75</v>
      </c>
      <c r="R1029" s="15" t="s">
        <v>55</v>
      </c>
      <c r="S1029" s="15" t="s">
        <v>76</v>
      </c>
    </row>
    <row r="1030" spans="2:19" ht="15" customHeight="1" x14ac:dyDescent="0.25">
      <c r="B1030" s="174" t="s">
        <v>2</v>
      </c>
      <c r="C1030" s="168" t="s">
        <v>77</v>
      </c>
      <c r="D1030" s="18" t="s">
        <v>2</v>
      </c>
      <c r="E1030" s="19">
        <v>1</v>
      </c>
      <c r="F1030" s="19">
        <v>1</v>
      </c>
      <c r="G1030" s="18" t="s">
        <v>78</v>
      </c>
      <c r="H1030" s="156" t="s">
        <v>337</v>
      </c>
      <c r="I1030" s="156" t="s">
        <v>232</v>
      </c>
      <c r="L1030" s="174" t="s">
        <v>2</v>
      </c>
      <c r="M1030" s="168" t="s">
        <v>77</v>
      </c>
      <c r="N1030" s="18" t="s">
        <v>2</v>
      </c>
      <c r="O1030" s="19">
        <v>1</v>
      </c>
      <c r="P1030" s="19">
        <v>1</v>
      </c>
      <c r="Q1030" s="18" t="s">
        <v>78</v>
      </c>
      <c r="R1030" s="156" t="s">
        <v>337</v>
      </c>
      <c r="S1030" s="156" t="s">
        <v>231</v>
      </c>
    </row>
    <row r="1031" spans="2:19" x14ac:dyDescent="0.25">
      <c r="B1031" s="175"/>
      <c r="C1031" s="169"/>
      <c r="D1031" s="18" t="s">
        <v>3</v>
      </c>
      <c r="E1031" s="19">
        <v>2</v>
      </c>
      <c r="F1031" s="19">
        <v>2</v>
      </c>
      <c r="G1031" s="18" t="s">
        <v>78</v>
      </c>
      <c r="H1031" s="157"/>
      <c r="I1031" s="157"/>
      <c r="L1031" s="175"/>
      <c r="M1031" s="169"/>
      <c r="N1031" s="18" t="s">
        <v>3</v>
      </c>
      <c r="O1031" s="19">
        <v>2</v>
      </c>
      <c r="P1031" s="19">
        <v>2</v>
      </c>
      <c r="Q1031" s="18" t="s">
        <v>78</v>
      </c>
      <c r="R1031" s="157"/>
      <c r="S1031" s="157"/>
    </row>
    <row r="1032" spans="2:19" x14ac:dyDescent="0.25">
      <c r="B1032" s="175"/>
      <c r="C1032" s="169"/>
      <c r="D1032" s="18" t="s">
        <v>80</v>
      </c>
      <c r="E1032" s="20">
        <v>3</v>
      </c>
      <c r="F1032" s="20">
        <v>3</v>
      </c>
      <c r="G1032" s="18" t="s">
        <v>66</v>
      </c>
      <c r="H1032" s="157"/>
      <c r="I1032" s="157"/>
      <c r="L1032" s="175"/>
      <c r="M1032" s="169"/>
      <c r="N1032" s="18" t="s">
        <v>80</v>
      </c>
      <c r="O1032" s="20">
        <v>3</v>
      </c>
      <c r="P1032" s="20">
        <v>3</v>
      </c>
      <c r="Q1032" s="18" t="s">
        <v>66</v>
      </c>
      <c r="R1032" s="157"/>
      <c r="S1032" s="157"/>
    </row>
    <row r="1033" spans="2:19" x14ac:dyDescent="0.25">
      <c r="B1033" s="175"/>
      <c r="C1033" s="169"/>
      <c r="D1033" s="18" t="s">
        <v>81</v>
      </c>
      <c r="E1033" s="20">
        <v>4</v>
      </c>
      <c r="F1033" s="20">
        <v>4</v>
      </c>
      <c r="G1033" s="18" t="s">
        <v>66</v>
      </c>
      <c r="H1033" s="157"/>
      <c r="I1033" s="157"/>
      <c r="L1033" s="175"/>
      <c r="M1033" s="169"/>
      <c r="N1033" s="18" t="s">
        <v>81</v>
      </c>
      <c r="O1033" s="20">
        <v>4</v>
      </c>
      <c r="P1033" s="20">
        <v>4</v>
      </c>
      <c r="Q1033" s="18" t="s">
        <v>66</v>
      </c>
      <c r="R1033" s="157"/>
      <c r="S1033" s="157"/>
    </row>
    <row r="1034" spans="2:19" x14ac:dyDescent="0.25">
      <c r="B1034" s="175"/>
      <c r="C1034" s="169"/>
      <c r="D1034" s="18" t="s">
        <v>82</v>
      </c>
      <c r="E1034" s="20">
        <v>5</v>
      </c>
      <c r="F1034" s="20">
        <v>5</v>
      </c>
      <c r="G1034" s="18" t="s">
        <v>66</v>
      </c>
      <c r="H1034" s="157"/>
      <c r="I1034" s="157"/>
      <c r="L1034" s="175"/>
      <c r="M1034" s="169"/>
      <c r="N1034" s="18" t="s">
        <v>82</v>
      </c>
      <c r="O1034" s="20">
        <v>5</v>
      </c>
      <c r="P1034" s="20">
        <v>5</v>
      </c>
      <c r="Q1034" s="18" t="s">
        <v>66</v>
      </c>
      <c r="R1034" s="157"/>
      <c r="S1034" s="157"/>
    </row>
    <row r="1035" spans="2:19" ht="15.75" thickBot="1" x14ac:dyDescent="0.3">
      <c r="B1035" s="175"/>
      <c r="C1035" s="170"/>
      <c r="D1035" s="18" t="s">
        <v>83</v>
      </c>
      <c r="E1035" s="20">
        <v>6</v>
      </c>
      <c r="F1035" s="20">
        <v>6</v>
      </c>
      <c r="G1035" s="18" t="s">
        <v>66</v>
      </c>
      <c r="H1035" s="158"/>
      <c r="I1035" s="158"/>
      <c r="L1035" s="175"/>
      <c r="M1035" s="170"/>
      <c r="N1035" s="18" t="s">
        <v>83</v>
      </c>
      <c r="O1035" s="20">
        <v>6</v>
      </c>
      <c r="P1035" s="20">
        <v>6</v>
      </c>
      <c r="Q1035" s="18" t="s">
        <v>66</v>
      </c>
      <c r="R1035" s="158"/>
      <c r="S1035" s="158"/>
    </row>
    <row r="1036" spans="2:19" x14ac:dyDescent="0.25">
      <c r="B1036" s="175"/>
      <c r="C1036" s="168" t="s">
        <v>84</v>
      </c>
      <c r="D1036" s="18" t="s">
        <v>2</v>
      </c>
      <c r="E1036" s="19">
        <v>1</v>
      </c>
      <c r="F1036" s="19">
        <v>7</v>
      </c>
      <c r="G1036" s="18" t="s">
        <v>66</v>
      </c>
      <c r="H1036" s="32"/>
      <c r="I1036" s="50"/>
      <c r="L1036" s="175"/>
      <c r="M1036" s="168" t="s">
        <v>84</v>
      </c>
      <c r="N1036" s="18" t="s">
        <v>2</v>
      </c>
      <c r="O1036" s="19">
        <v>1</v>
      </c>
      <c r="P1036" s="19">
        <v>7</v>
      </c>
      <c r="Q1036" s="18" t="s">
        <v>66</v>
      </c>
      <c r="R1036" s="32"/>
      <c r="S1036" s="50"/>
    </row>
    <row r="1037" spans="2:19" x14ac:dyDescent="0.25">
      <c r="B1037" s="175"/>
      <c r="C1037" s="169"/>
      <c r="D1037" s="18" t="s">
        <v>3</v>
      </c>
      <c r="E1037" s="19">
        <v>2</v>
      </c>
      <c r="F1037" s="19">
        <v>8</v>
      </c>
      <c r="G1037" s="18" t="s">
        <v>66</v>
      </c>
      <c r="H1037" s="32"/>
      <c r="I1037" s="50"/>
      <c r="L1037" s="175"/>
      <c r="M1037" s="169"/>
      <c r="N1037" s="18" t="s">
        <v>3</v>
      </c>
      <c r="O1037" s="19">
        <v>2</v>
      </c>
      <c r="P1037" s="19">
        <v>8</v>
      </c>
      <c r="Q1037" s="18" t="s">
        <v>66</v>
      </c>
      <c r="R1037" s="32"/>
      <c r="S1037" s="50"/>
    </row>
    <row r="1038" spans="2:19" x14ac:dyDescent="0.25">
      <c r="B1038" s="175"/>
      <c r="C1038" s="169"/>
      <c r="D1038" s="18" t="s">
        <v>80</v>
      </c>
      <c r="E1038" s="20">
        <v>3</v>
      </c>
      <c r="F1038" s="20">
        <v>9</v>
      </c>
      <c r="G1038" s="18" t="s">
        <v>66</v>
      </c>
      <c r="H1038" s="32"/>
      <c r="I1038" s="50"/>
      <c r="L1038" s="175"/>
      <c r="M1038" s="169"/>
      <c r="N1038" s="18" t="s">
        <v>80</v>
      </c>
      <c r="O1038" s="20">
        <v>3</v>
      </c>
      <c r="P1038" s="20">
        <v>9</v>
      </c>
      <c r="Q1038" s="18" t="s">
        <v>66</v>
      </c>
      <c r="R1038" s="32"/>
      <c r="S1038" s="50"/>
    </row>
    <row r="1039" spans="2:19" x14ac:dyDescent="0.25">
      <c r="B1039" s="175"/>
      <c r="C1039" s="169"/>
      <c r="D1039" s="18" t="s">
        <v>81</v>
      </c>
      <c r="E1039" s="20">
        <v>4</v>
      </c>
      <c r="F1039" s="20">
        <v>10</v>
      </c>
      <c r="G1039" s="18" t="s">
        <v>66</v>
      </c>
      <c r="H1039" s="32"/>
      <c r="I1039" s="50"/>
      <c r="L1039" s="175"/>
      <c r="M1039" s="169"/>
      <c r="N1039" s="18" t="s">
        <v>81</v>
      </c>
      <c r="O1039" s="20">
        <v>4</v>
      </c>
      <c r="P1039" s="20">
        <v>10</v>
      </c>
      <c r="Q1039" s="18" t="s">
        <v>66</v>
      </c>
      <c r="R1039" s="32"/>
      <c r="S1039" s="50"/>
    </row>
    <row r="1040" spans="2:19" x14ac:dyDescent="0.25">
      <c r="B1040" s="175"/>
      <c r="C1040" s="169"/>
      <c r="D1040" s="18" t="s">
        <v>82</v>
      </c>
      <c r="E1040" s="20">
        <v>5</v>
      </c>
      <c r="F1040" s="20">
        <v>11</v>
      </c>
      <c r="G1040" s="18" t="s">
        <v>66</v>
      </c>
      <c r="H1040" s="32"/>
      <c r="I1040" s="50"/>
      <c r="L1040" s="175"/>
      <c r="M1040" s="169"/>
      <c r="N1040" s="18" t="s">
        <v>82</v>
      </c>
      <c r="O1040" s="20">
        <v>5</v>
      </c>
      <c r="P1040" s="20">
        <v>11</v>
      </c>
      <c r="Q1040" s="18" t="s">
        <v>66</v>
      </c>
      <c r="R1040" s="32"/>
      <c r="S1040" s="50"/>
    </row>
    <row r="1041" spans="2:19" ht="15.75" thickBot="1" x14ac:dyDescent="0.3">
      <c r="B1041" s="176"/>
      <c r="C1041" s="170"/>
      <c r="D1041" s="18" t="s">
        <v>83</v>
      </c>
      <c r="E1041" s="20">
        <v>6</v>
      </c>
      <c r="F1041" s="20">
        <v>12</v>
      </c>
      <c r="G1041" s="18" t="s">
        <v>66</v>
      </c>
      <c r="H1041" s="32"/>
      <c r="I1041" s="50"/>
      <c r="L1041" s="176"/>
      <c r="M1041" s="170"/>
      <c r="N1041" s="18" t="s">
        <v>83</v>
      </c>
      <c r="O1041" s="20">
        <v>6</v>
      </c>
      <c r="P1041" s="20">
        <v>12</v>
      </c>
      <c r="Q1041" s="18" t="s">
        <v>66</v>
      </c>
      <c r="R1041" s="32"/>
      <c r="S1041" s="50"/>
    </row>
    <row r="1042" spans="2:19" x14ac:dyDescent="0.25">
      <c r="B1042" s="180" t="s">
        <v>3</v>
      </c>
      <c r="C1042" s="177" t="s">
        <v>77</v>
      </c>
      <c r="D1042" s="21" t="s">
        <v>2</v>
      </c>
      <c r="E1042" s="22">
        <v>1</v>
      </c>
      <c r="F1042" s="22">
        <v>13</v>
      </c>
      <c r="G1042" s="21" t="s">
        <v>66</v>
      </c>
      <c r="H1042" s="63"/>
      <c r="I1042" s="64"/>
      <c r="L1042" s="180" t="s">
        <v>3</v>
      </c>
      <c r="M1042" s="177" t="s">
        <v>77</v>
      </c>
      <c r="N1042" s="21" t="s">
        <v>2</v>
      </c>
      <c r="O1042" s="22">
        <v>1</v>
      </c>
      <c r="P1042" s="22">
        <v>13</v>
      </c>
      <c r="Q1042" s="21" t="s">
        <v>66</v>
      </c>
      <c r="R1042" s="63"/>
      <c r="S1042" s="64"/>
    </row>
    <row r="1043" spans="2:19" x14ac:dyDescent="0.25">
      <c r="B1043" s="181"/>
      <c r="C1043" s="178"/>
      <c r="D1043" s="23" t="s">
        <v>3</v>
      </c>
      <c r="E1043" s="24">
        <v>2</v>
      </c>
      <c r="F1043" s="24">
        <v>14</v>
      </c>
      <c r="G1043" s="23" t="s">
        <v>66</v>
      </c>
      <c r="H1043" s="63"/>
      <c r="I1043" s="64"/>
      <c r="L1043" s="181"/>
      <c r="M1043" s="178"/>
      <c r="N1043" s="23" t="s">
        <v>3</v>
      </c>
      <c r="O1043" s="24">
        <v>2</v>
      </c>
      <c r="P1043" s="24">
        <v>14</v>
      </c>
      <c r="Q1043" s="23" t="s">
        <v>66</v>
      </c>
      <c r="R1043" s="63"/>
      <c r="S1043" s="64"/>
    </row>
    <row r="1044" spans="2:19" x14ac:dyDescent="0.25">
      <c r="B1044" s="181"/>
      <c r="C1044" s="178"/>
      <c r="D1044" s="23" t="s">
        <v>80</v>
      </c>
      <c r="E1044" s="24">
        <v>3</v>
      </c>
      <c r="F1044" s="24">
        <v>15</v>
      </c>
      <c r="G1044" s="23" t="s">
        <v>66</v>
      </c>
      <c r="H1044" s="63"/>
      <c r="I1044" s="64"/>
      <c r="L1044" s="181"/>
      <c r="M1044" s="178"/>
      <c r="N1044" s="23" t="s">
        <v>80</v>
      </c>
      <c r="O1044" s="24">
        <v>3</v>
      </c>
      <c r="P1044" s="24">
        <v>15</v>
      </c>
      <c r="Q1044" s="23" t="s">
        <v>66</v>
      </c>
      <c r="R1044" s="63"/>
      <c r="S1044" s="64"/>
    </row>
    <row r="1045" spans="2:19" x14ac:dyDescent="0.25">
      <c r="B1045" s="181"/>
      <c r="C1045" s="178"/>
      <c r="D1045" s="23" t="s">
        <v>81</v>
      </c>
      <c r="E1045" s="24">
        <v>4</v>
      </c>
      <c r="F1045" s="24">
        <v>16</v>
      </c>
      <c r="G1045" s="23" t="s">
        <v>66</v>
      </c>
      <c r="H1045" s="63"/>
      <c r="I1045" s="64"/>
      <c r="L1045" s="181"/>
      <c r="M1045" s="178"/>
      <c r="N1045" s="23" t="s">
        <v>81</v>
      </c>
      <c r="O1045" s="24">
        <v>4</v>
      </c>
      <c r="P1045" s="24">
        <v>16</v>
      </c>
      <c r="Q1045" s="23" t="s">
        <v>66</v>
      </c>
      <c r="R1045" s="63"/>
      <c r="S1045" s="64"/>
    </row>
    <row r="1046" spans="2:19" x14ac:dyDescent="0.25">
      <c r="B1046" s="181"/>
      <c r="C1046" s="178"/>
      <c r="D1046" s="23" t="s">
        <v>82</v>
      </c>
      <c r="E1046" s="24">
        <v>5</v>
      </c>
      <c r="F1046" s="24">
        <v>17</v>
      </c>
      <c r="G1046" s="23" t="s">
        <v>66</v>
      </c>
      <c r="H1046" s="63"/>
      <c r="I1046" s="64"/>
      <c r="L1046" s="181"/>
      <c r="M1046" s="178"/>
      <c r="N1046" s="23" t="s">
        <v>82</v>
      </c>
      <c r="O1046" s="24">
        <v>5</v>
      </c>
      <c r="P1046" s="24">
        <v>17</v>
      </c>
      <c r="Q1046" s="23" t="s">
        <v>66</v>
      </c>
      <c r="R1046" s="63"/>
      <c r="S1046" s="64"/>
    </row>
    <row r="1047" spans="2:19" ht="15.75" thickBot="1" x14ac:dyDescent="0.3">
      <c r="B1047" s="181"/>
      <c r="C1047" s="179"/>
      <c r="D1047" s="23" t="s">
        <v>83</v>
      </c>
      <c r="E1047" s="24">
        <v>6</v>
      </c>
      <c r="F1047" s="24">
        <v>18</v>
      </c>
      <c r="G1047" s="23" t="s">
        <v>66</v>
      </c>
      <c r="H1047" s="63"/>
      <c r="I1047" s="64"/>
      <c r="L1047" s="181"/>
      <c r="M1047" s="179"/>
      <c r="N1047" s="23" t="s">
        <v>83</v>
      </c>
      <c r="O1047" s="24">
        <v>6</v>
      </c>
      <c r="P1047" s="24">
        <v>18</v>
      </c>
      <c r="Q1047" s="23" t="s">
        <v>66</v>
      </c>
      <c r="R1047" s="63"/>
      <c r="S1047" s="64"/>
    </row>
    <row r="1048" spans="2:19" x14ac:dyDescent="0.25">
      <c r="B1048" s="181"/>
      <c r="C1048" s="177" t="s">
        <v>84</v>
      </c>
      <c r="D1048" s="23" t="s">
        <v>2</v>
      </c>
      <c r="E1048" s="24">
        <v>1</v>
      </c>
      <c r="F1048" s="24">
        <v>19</v>
      </c>
      <c r="G1048" s="23" t="s">
        <v>66</v>
      </c>
      <c r="H1048" s="63"/>
      <c r="I1048" s="64"/>
      <c r="L1048" s="181"/>
      <c r="M1048" s="177" t="s">
        <v>84</v>
      </c>
      <c r="N1048" s="23" t="s">
        <v>2</v>
      </c>
      <c r="O1048" s="24">
        <v>1</v>
      </c>
      <c r="P1048" s="24">
        <v>19</v>
      </c>
      <c r="Q1048" s="23" t="s">
        <v>66</v>
      </c>
      <c r="R1048" s="63"/>
      <c r="S1048" s="64"/>
    </row>
    <row r="1049" spans="2:19" x14ac:dyDescent="0.25">
      <c r="B1049" s="181"/>
      <c r="C1049" s="178"/>
      <c r="D1049" s="23" t="s">
        <v>3</v>
      </c>
      <c r="E1049" s="24">
        <v>2</v>
      </c>
      <c r="F1049" s="24">
        <v>20</v>
      </c>
      <c r="G1049" s="23" t="s">
        <v>66</v>
      </c>
      <c r="H1049" s="63"/>
      <c r="I1049" s="64"/>
      <c r="L1049" s="181"/>
      <c r="M1049" s="178"/>
      <c r="N1049" s="23" t="s">
        <v>3</v>
      </c>
      <c r="O1049" s="24">
        <v>2</v>
      </c>
      <c r="P1049" s="24">
        <v>20</v>
      </c>
      <c r="Q1049" s="23" t="s">
        <v>66</v>
      </c>
      <c r="R1049" s="63"/>
      <c r="S1049" s="64"/>
    </row>
    <row r="1050" spans="2:19" x14ac:dyDescent="0.25">
      <c r="B1050" s="181"/>
      <c r="C1050" s="178"/>
      <c r="D1050" s="23" t="s">
        <v>80</v>
      </c>
      <c r="E1050" s="26">
        <v>3</v>
      </c>
      <c r="F1050" s="24">
        <v>21</v>
      </c>
      <c r="G1050" s="23" t="s">
        <v>66</v>
      </c>
      <c r="H1050" s="63"/>
      <c r="I1050" s="64"/>
      <c r="L1050" s="181"/>
      <c r="M1050" s="178"/>
      <c r="N1050" s="23" t="s">
        <v>80</v>
      </c>
      <c r="O1050" s="26">
        <v>3</v>
      </c>
      <c r="P1050" s="24">
        <v>21</v>
      </c>
      <c r="Q1050" s="23" t="s">
        <v>66</v>
      </c>
      <c r="R1050" s="63"/>
      <c r="S1050" s="64"/>
    </row>
    <row r="1051" spans="2:19" x14ac:dyDescent="0.25">
      <c r="B1051" s="181"/>
      <c r="C1051" s="178"/>
      <c r="D1051" s="23" t="s">
        <v>81</v>
      </c>
      <c r="E1051" s="24">
        <v>4</v>
      </c>
      <c r="F1051" s="24">
        <v>22</v>
      </c>
      <c r="G1051" s="23" t="s">
        <v>66</v>
      </c>
      <c r="H1051" s="63"/>
      <c r="I1051" s="64"/>
      <c r="L1051" s="181"/>
      <c r="M1051" s="178"/>
      <c r="N1051" s="23" t="s">
        <v>81</v>
      </c>
      <c r="O1051" s="24">
        <v>4</v>
      </c>
      <c r="P1051" s="24">
        <v>22</v>
      </c>
      <c r="Q1051" s="23" t="s">
        <v>66</v>
      </c>
      <c r="R1051" s="63"/>
      <c r="S1051" s="64"/>
    </row>
    <row r="1052" spans="2:19" x14ac:dyDescent="0.25">
      <c r="B1052" s="181"/>
      <c r="C1052" s="178"/>
      <c r="D1052" s="23" t="s">
        <v>82</v>
      </c>
      <c r="E1052" s="24">
        <v>5</v>
      </c>
      <c r="F1052" s="24">
        <v>23</v>
      </c>
      <c r="G1052" s="23" t="s">
        <v>66</v>
      </c>
      <c r="H1052" s="63"/>
      <c r="I1052" s="64"/>
      <c r="L1052" s="181"/>
      <c r="M1052" s="178"/>
      <c r="N1052" s="23" t="s">
        <v>82</v>
      </c>
      <c r="O1052" s="24">
        <v>5</v>
      </c>
      <c r="P1052" s="24">
        <v>23</v>
      </c>
      <c r="Q1052" s="23" t="s">
        <v>66</v>
      </c>
      <c r="R1052" s="63"/>
      <c r="S1052" s="64"/>
    </row>
    <row r="1053" spans="2:19" ht="15.75" thickBot="1" x14ac:dyDescent="0.3">
      <c r="B1053" s="182"/>
      <c r="C1053" s="179"/>
      <c r="D1053" s="23" t="s">
        <v>83</v>
      </c>
      <c r="E1053" s="24">
        <v>6</v>
      </c>
      <c r="F1053" s="24">
        <v>24</v>
      </c>
      <c r="G1053" s="23" t="s">
        <v>66</v>
      </c>
      <c r="H1053" s="63"/>
      <c r="I1053" s="64"/>
      <c r="L1053" s="182"/>
      <c r="M1053" s="179"/>
      <c r="N1053" s="23" t="s">
        <v>83</v>
      </c>
      <c r="O1053" s="24">
        <v>6</v>
      </c>
      <c r="P1053" s="24">
        <v>24</v>
      </c>
      <c r="Q1053" s="23" t="s">
        <v>66</v>
      </c>
      <c r="R1053" s="63"/>
      <c r="S1053" s="64"/>
    </row>
    <row r="1054" spans="2:19" x14ac:dyDescent="0.25">
      <c r="B1054" s="189" t="s">
        <v>80</v>
      </c>
      <c r="C1054" s="192" t="s">
        <v>77</v>
      </c>
      <c r="D1054" s="27" t="s">
        <v>2</v>
      </c>
      <c r="E1054" s="28">
        <v>1</v>
      </c>
      <c r="F1054" s="28">
        <v>25</v>
      </c>
      <c r="G1054" s="27" t="s">
        <v>66</v>
      </c>
      <c r="H1054" s="27"/>
      <c r="I1054" s="48"/>
      <c r="L1054" s="189" t="s">
        <v>80</v>
      </c>
      <c r="M1054" s="192" t="s">
        <v>77</v>
      </c>
      <c r="N1054" s="27" t="s">
        <v>2</v>
      </c>
      <c r="O1054" s="28">
        <v>1</v>
      </c>
      <c r="P1054" s="28">
        <v>25</v>
      </c>
      <c r="Q1054" s="27" t="s">
        <v>66</v>
      </c>
      <c r="R1054" s="27"/>
      <c r="S1054" s="48"/>
    </row>
    <row r="1055" spans="2:19" x14ac:dyDescent="0.25">
      <c r="B1055" s="190"/>
      <c r="C1055" s="193"/>
      <c r="D1055" s="27" t="s">
        <v>3</v>
      </c>
      <c r="E1055" s="28">
        <v>2</v>
      </c>
      <c r="F1055" s="28">
        <v>26</v>
      </c>
      <c r="G1055" s="27" t="s">
        <v>66</v>
      </c>
      <c r="H1055" s="27"/>
      <c r="I1055" s="48"/>
      <c r="L1055" s="190"/>
      <c r="M1055" s="193"/>
      <c r="N1055" s="27" t="s">
        <v>3</v>
      </c>
      <c r="O1055" s="28">
        <v>2</v>
      </c>
      <c r="P1055" s="28">
        <v>26</v>
      </c>
      <c r="Q1055" s="27" t="s">
        <v>66</v>
      </c>
      <c r="R1055" s="27"/>
      <c r="S1055" s="48"/>
    </row>
    <row r="1056" spans="2:19" x14ac:dyDescent="0.25">
      <c r="B1056" s="190"/>
      <c r="C1056" s="193"/>
      <c r="D1056" s="27" t="s">
        <v>80</v>
      </c>
      <c r="E1056" s="28">
        <v>3</v>
      </c>
      <c r="F1056" s="28">
        <v>27</v>
      </c>
      <c r="G1056" s="27" t="s">
        <v>66</v>
      </c>
      <c r="H1056" s="27"/>
      <c r="I1056" s="48"/>
      <c r="L1056" s="190"/>
      <c r="M1056" s="193"/>
      <c r="N1056" s="27" t="s">
        <v>80</v>
      </c>
      <c r="O1056" s="28">
        <v>3</v>
      </c>
      <c r="P1056" s="28">
        <v>27</v>
      </c>
      <c r="Q1056" s="27" t="s">
        <v>66</v>
      </c>
      <c r="R1056" s="27"/>
      <c r="S1056" s="48"/>
    </row>
    <row r="1057" spans="2:19" x14ac:dyDescent="0.25">
      <c r="B1057" s="190"/>
      <c r="C1057" s="193"/>
      <c r="D1057" s="27" t="s">
        <v>81</v>
      </c>
      <c r="E1057" s="28">
        <v>4</v>
      </c>
      <c r="F1057" s="28">
        <v>28</v>
      </c>
      <c r="G1057" s="27" t="s">
        <v>66</v>
      </c>
      <c r="H1057" s="27"/>
      <c r="I1057" s="48"/>
      <c r="L1057" s="190"/>
      <c r="M1057" s="193"/>
      <c r="N1057" s="27" t="s">
        <v>81</v>
      </c>
      <c r="O1057" s="28">
        <v>4</v>
      </c>
      <c r="P1057" s="28">
        <v>28</v>
      </c>
      <c r="Q1057" s="27" t="s">
        <v>66</v>
      </c>
      <c r="R1057" s="27"/>
      <c r="S1057" s="48"/>
    </row>
    <row r="1058" spans="2:19" x14ac:dyDescent="0.25">
      <c r="B1058" s="190"/>
      <c r="C1058" s="193"/>
      <c r="D1058" s="27" t="s">
        <v>82</v>
      </c>
      <c r="E1058" s="28">
        <v>5</v>
      </c>
      <c r="F1058" s="28">
        <v>29</v>
      </c>
      <c r="G1058" s="27" t="s">
        <v>66</v>
      </c>
      <c r="H1058" s="27"/>
      <c r="I1058" s="48"/>
      <c r="L1058" s="190"/>
      <c r="M1058" s="193"/>
      <c r="N1058" s="27" t="s">
        <v>82</v>
      </c>
      <c r="O1058" s="28">
        <v>5</v>
      </c>
      <c r="P1058" s="28">
        <v>29</v>
      </c>
      <c r="Q1058" s="27" t="s">
        <v>66</v>
      </c>
      <c r="R1058" s="27"/>
      <c r="S1058" s="48"/>
    </row>
    <row r="1059" spans="2:19" ht="15.75" thickBot="1" x14ac:dyDescent="0.3">
      <c r="B1059" s="190"/>
      <c r="C1059" s="194"/>
      <c r="D1059" s="27" t="s">
        <v>83</v>
      </c>
      <c r="E1059" s="28">
        <v>6</v>
      </c>
      <c r="F1059" s="28">
        <v>30</v>
      </c>
      <c r="G1059" s="27" t="s">
        <v>66</v>
      </c>
      <c r="H1059" s="27"/>
      <c r="I1059" s="48"/>
      <c r="L1059" s="190"/>
      <c r="M1059" s="194"/>
      <c r="N1059" s="27" t="s">
        <v>83</v>
      </c>
      <c r="O1059" s="28">
        <v>6</v>
      </c>
      <c r="P1059" s="28">
        <v>30</v>
      </c>
      <c r="Q1059" s="27" t="s">
        <v>66</v>
      </c>
      <c r="R1059" s="27"/>
      <c r="S1059" s="48"/>
    </row>
    <row r="1060" spans="2:19" x14ac:dyDescent="0.25">
      <c r="B1060" s="190"/>
      <c r="C1060" s="192" t="s">
        <v>84</v>
      </c>
      <c r="D1060" s="27" t="s">
        <v>2</v>
      </c>
      <c r="E1060" s="28">
        <v>1</v>
      </c>
      <c r="F1060" s="28">
        <v>31</v>
      </c>
      <c r="G1060" s="27" t="s">
        <v>66</v>
      </c>
      <c r="H1060" s="27"/>
      <c r="I1060" s="48"/>
      <c r="L1060" s="190"/>
      <c r="M1060" s="192" t="s">
        <v>84</v>
      </c>
      <c r="N1060" s="27" t="s">
        <v>2</v>
      </c>
      <c r="O1060" s="28">
        <v>1</v>
      </c>
      <c r="P1060" s="28">
        <v>31</v>
      </c>
      <c r="Q1060" s="27" t="s">
        <v>66</v>
      </c>
      <c r="R1060" s="27"/>
      <c r="S1060" s="48"/>
    </row>
    <row r="1061" spans="2:19" x14ac:dyDescent="0.25">
      <c r="B1061" s="190"/>
      <c r="C1061" s="193"/>
      <c r="D1061" s="27" t="s">
        <v>3</v>
      </c>
      <c r="E1061" s="28">
        <v>2</v>
      </c>
      <c r="F1061" s="28">
        <v>32</v>
      </c>
      <c r="G1061" s="27" t="s">
        <v>66</v>
      </c>
      <c r="H1061" s="27"/>
      <c r="I1061" s="48"/>
      <c r="L1061" s="190"/>
      <c r="M1061" s="193"/>
      <c r="N1061" s="27" t="s">
        <v>3</v>
      </c>
      <c r="O1061" s="28">
        <v>2</v>
      </c>
      <c r="P1061" s="28">
        <v>32</v>
      </c>
      <c r="Q1061" s="27" t="s">
        <v>66</v>
      </c>
      <c r="R1061" s="27"/>
      <c r="S1061" s="48"/>
    </row>
    <row r="1062" spans="2:19" x14ac:dyDescent="0.25">
      <c r="B1062" s="190"/>
      <c r="C1062" s="193"/>
      <c r="D1062" s="27" t="s">
        <v>80</v>
      </c>
      <c r="E1062" s="28">
        <v>3</v>
      </c>
      <c r="F1062" s="28">
        <v>33</v>
      </c>
      <c r="G1062" s="27" t="s">
        <v>66</v>
      </c>
      <c r="H1062" s="27"/>
      <c r="I1062" s="48"/>
      <c r="L1062" s="190"/>
      <c r="M1062" s="193"/>
      <c r="N1062" s="27" t="s">
        <v>80</v>
      </c>
      <c r="O1062" s="28">
        <v>3</v>
      </c>
      <c r="P1062" s="28">
        <v>33</v>
      </c>
      <c r="Q1062" s="27" t="s">
        <v>66</v>
      </c>
      <c r="R1062" s="27"/>
      <c r="S1062" s="48"/>
    </row>
    <row r="1063" spans="2:19" x14ac:dyDescent="0.25">
      <c r="B1063" s="190"/>
      <c r="C1063" s="193"/>
      <c r="D1063" s="27" t="s">
        <v>81</v>
      </c>
      <c r="E1063" s="28">
        <v>4</v>
      </c>
      <c r="F1063" s="28">
        <v>34</v>
      </c>
      <c r="G1063" s="27" t="s">
        <v>66</v>
      </c>
      <c r="H1063" s="27"/>
      <c r="I1063" s="48"/>
      <c r="L1063" s="190"/>
      <c r="M1063" s="193"/>
      <c r="N1063" s="27" t="s">
        <v>81</v>
      </c>
      <c r="O1063" s="28">
        <v>4</v>
      </c>
      <c r="P1063" s="28">
        <v>34</v>
      </c>
      <c r="Q1063" s="27" t="s">
        <v>66</v>
      </c>
      <c r="R1063" s="27"/>
      <c r="S1063" s="48"/>
    </row>
    <row r="1064" spans="2:19" x14ac:dyDescent="0.25">
      <c r="B1064" s="190"/>
      <c r="C1064" s="193"/>
      <c r="D1064" s="27" t="s">
        <v>82</v>
      </c>
      <c r="E1064" s="28">
        <v>5</v>
      </c>
      <c r="F1064" s="28">
        <v>35</v>
      </c>
      <c r="G1064" s="27" t="s">
        <v>66</v>
      </c>
      <c r="H1064" s="27"/>
      <c r="I1064" s="48"/>
      <c r="L1064" s="190"/>
      <c r="M1064" s="193"/>
      <c r="N1064" s="27" t="s">
        <v>82</v>
      </c>
      <c r="O1064" s="28">
        <v>5</v>
      </c>
      <c r="P1064" s="28">
        <v>35</v>
      </c>
      <c r="Q1064" s="27" t="s">
        <v>66</v>
      </c>
      <c r="R1064" s="27"/>
      <c r="S1064" s="48"/>
    </row>
    <row r="1065" spans="2:19" ht="15.75" thickBot="1" x14ac:dyDescent="0.3">
      <c r="B1065" s="191"/>
      <c r="C1065" s="194"/>
      <c r="D1065" s="27" t="s">
        <v>83</v>
      </c>
      <c r="E1065" s="28">
        <v>6</v>
      </c>
      <c r="F1065" s="28">
        <v>36</v>
      </c>
      <c r="G1065" s="27" t="s">
        <v>66</v>
      </c>
      <c r="H1065" s="27"/>
      <c r="I1065" s="48"/>
      <c r="L1065" s="191"/>
      <c r="M1065" s="194"/>
      <c r="N1065" s="27" t="s">
        <v>83</v>
      </c>
      <c r="O1065" s="28">
        <v>6</v>
      </c>
      <c r="P1065" s="28">
        <v>36</v>
      </c>
      <c r="Q1065" s="27" t="s">
        <v>66</v>
      </c>
      <c r="R1065" s="27"/>
      <c r="S1065" s="48"/>
    </row>
    <row r="1066" spans="2:19" x14ac:dyDescent="0.25">
      <c r="B1066" s="183" t="s">
        <v>81</v>
      </c>
      <c r="C1066" s="186" t="s">
        <v>77</v>
      </c>
      <c r="D1066" s="29" t="s">
        <v>2</v>
      </c>
      <c r="E1066" s="30">
        <v>1</v>
      </c>
      <c r="F1066" s="30">
        <v>37</v>
      </c>
      <c r="G1066" s="29" t="s">
        <v>66</v>
      </c>
      <c r="H1066" s="29"/>
      <c r="I1066" s="49"/>
      <c r="L1066" s="183" t="s">
        <v>81</v>
      </c>
      <c r="M1066" s="186" t="s">
        <v>77</v>
      </c>
      <c r="N1066" s="29" t="s">
        <v>2</v>
      </c>
      <c r="O1066" s="30">
        <v>1</v>
      </c>
      <c r="P1066" s="30">
        <v>37</v>
      </c>
      <c r="Q1066" s="29" t="s">
        <v>66</v>
      </c>
      <c r="R1066" s="29"/>
      <c r="S1066" s="49"/>
    </row>
    <row r="1067" spans="2:19" x14ac:dyDescent="0.25">
      <c r="B1067" s="184"/>
      <c r="C1067" s="187"/>
      <c r="D1067" s="29" t="s">
        <v>3</v>
      </c>
      <c r="E1067" s="30">
        <v>2</v>
      </c>
      <c r="F1067" s="30">
        <v>38</v>
      </c>
      <c r="G1067" s="29" t="s">
        <v>66</v>
      </c>
      <c r="H1067" s="29"/>
      <c r="I1067" s="49"/>
      <c r="L1067" s="184"/>
      <c r="M1067" s="187"/>
      <c r="N1067" s="29" t="s">
        <v>3</v>
      </c>
      <c r="O1067" s="30">
        <v>2</v>
      </c>
      <c r="P1067" s="30">
        <v>38</v>
      </c>
      <c r="Q1067" s="29" t="s">
        <v>66</v>
      </c>
      <c r="R1067" s="29"/>
      <c r="S1067" s="49"/>
    </row>
    <row r="1068" spans="2:19" x14ac:dyDescent="0.25">
      <c r="B1068" s="184"/>
      <c r="C1068" s="187"/>
      <c r="D1068" s="29" t="s">
        <v>80</v>
      </c>
      <c r="E1068" s="30">
        <v>3</v>
      </c>
      <c r="F1068" s="30">
        <v>39</v>
      </c>
      <c r="G1068" s="29" t="s">
        <v>66</v>
      </c>
      <c r="H1068" s="29"/>
      <c r="I1068" s="49"/>
      <c r="L1068" s="184"/>
      <c r="M1068" s="187"/>
      <c r="N1068" s="29" t="s">
        <v>80</v>
      </c>
      <c r="O1068" s="30">
        <v>3</v>
      </c>
      <c r="P1068" s="30">
        <v>39</v>
      </c>
      <c r="Q1068" s="29" t="s">
        <v>66</v>
      </c>
      <c r="R1068" s="29"/>
      <c r="S1068" s="49"/>
    </row>
    <row r="1069" spans="2:19" x14ac:dyDescent="0.25">
      <c r="B1069" s="184"/>
      <c r="C1069" s="187"/>
      <c r="D1069" s="29" t="s">
        <v>81</v>
      </c>
      <c r="E1069" s="30">
        <v>4</v>
      </c>
      <c r="F1069" s="30">
        <v>40</v>
      </c>
      <c r="G1069" s="29" t="s">
        <v>66</v>
      </c>
      <c r="H1069" s="29"/>
      <c r="I1069" s="49"/>
      <c r="L1069" s="184"/>
      <c r="M1069" s="187"/>
      <c r="N1069" s="29" t="s">
        <v>81</v>
      </c>
      <c r="O1069" s="30">
        <v>4</v>
      </c>
      <c r="P1069" s="30">
        <v>40</v>
      </c>
      <c r="Q1069" s="29" t="s">
        <v>66</v>
      </c>
      <c r="R1069" s="29"/>
      <c r="S1069" s="49"/>
    </row>
    <row r="1070" spans="2:19" x14ac:dyDescent="0.25">
      <c r="B1070" s="184"/>
      <c r="C1070" s="187"/>
      <c r="D1070" s="29" t="s">
        <v>82</v>
      </c>
      <c r="E1070" s="30">
        <v>5</v>
      </c>
      <c r="F1070" s="30">
        <v>41</v>
      </c>
      <c r="G1070" s="29" t="s">
        <v>66</v>
      </c>
      <c r="H1070" s="29"/>
      <c r="I1070" s="49"/>
      <c r="L1070" s="184"/>
      <c r="M1070" s="187"/>
      <c r="N1070" s="29" t="s">
        <v>82</v>
      </c>
      <c r="O1070" s="30">
        <v>5</v>
      </c>
      <c r="P1070" s="30">
        <v>41</v>
      </c>
      <c r="Q1070" s="29" t="s">
        <v>66</v>
      </c>
      <c r="R1070" s="29"/>
      <c r="S1070" s="49"/>
    </row>
    <row r="1071" spans="2:19" ht="15.75" thickBot="1" x14ac:dyDescent="0.3">
      <c r="B1071" s="184"/>
      <c r="C1071" s="188"/>
      <c r="D1071" s="29" t="s">
        <v>83</v>
      </c>
      <c r="E1071" s="30">
        <v>6</v>
      </c>
      <c r="F1071" s="30">
        <v>42</v>
      </c>
      <c r="G1071" s="29" t="s">
        <v>66</v>
      </c>
      <c r="H1071" s="29"/>
      <c r="I1071" s="49"/>
      <c r="L1071" s="184"/>
      <c r="M1071" s="188"/>
      <c r="N1071" s="29" t="s">
        <v>83</v>
      </c>
      <c r="O1071" s="30">
        <v>6</v>
      </c>
      <c r="P1071" s="30">
        <v>42</v>
      </c>
      <c r="Q1071" s="29" t="s">
        <v>66</v>
      </c>
      <c r="R1071" s="29"/>
      <c r="S1071" s="49"/>
    </row>
    <row r="1072" spans="2:19" x14ac:dyDescent="0.25">
      <c r="B1072" s="184"/>
      <c r="C1072" s="186" t="s">
        <v>84</v>
      </c>
      <c r="D1072" s="29" t="s">
        <v>2</v>
      </c>
      <c r="E1072" s="30">
        <v>1</v>
      </c>
      <c r="F1072" s="30">
        <v>43</v>
      </c>
      <c r="G1072" s="29" t="s">
        <v>66</v>
      </c>
      <c r="H1072" s="29"/>
      <c r="I1072" s="49"/>
      <c r="L1072" s="184"/>
      <c r="M1072" s="186" t="s">
        <v>84</v>
      </c>
      <c r="N1072" s="29" t="s">
        <v>2</v>
      </c>
      <c r="O1072" s="30">
        <v>1</v>
      </c>
      <c r="P1072" s="30">
        <v>43</v>
      </c>
      <c r="Q1072" s="29" t="s">
        <v>66</v>
      </c>
      <c r="R1072" s="29"/>
      <c r="S1072" s="49"/>
    </row>
    <row r="1073" spans="2:19" x14ac:dyDescent="0.25">
      <c r="B1073" s="184"/>
      <c r="C1073" s="187"/>
      <c r="D1073" s="29" t="s">
        <v>3</v>
      </c>
      <c r="E1073" s="30">
        <v>2</v>
      </c>
      <c r="F1073" s="30">
        <v>44</v>
      </c>
      <c r="G1073" s="29" t="s">
        <v>66</v>
      </c>
      <c r="H1073" s="29"/>
      <c r="I1073" s="49"/>
      <c r="L1073" s="184"/>
      <c r="M1073" s="187"/>
      <c r="N1073" s="29" t="s">
        <v>3</v>
      </c>
      <c r="O1073" s="30">
        <v>2</v>
      </c>
      <c r="P1073" s="30">
        <v>44</v>
      </c>
      <c r="Q1073" s="29" t="s">
        <v>66</v>
      </c>
      <c r="R1073" s="29"/>
      <c r="S1073" s="49"/>
    </row>
    <row r="1074" spans="2:19" x14ac:dyDescent="0.25">
      <c r="B1074" s="184"/>
      <c r="C1074" s="187"/>
      <c r="D1074" s="29" t="s">
        <v>80</v>
      </c>
      <c r="E1074" s="30">
        <v>3</v>
      </c>
      <c r="F1074" s="30">
        <v>45</v>
      </c>
      <c r="G1074" s="29" t="s">
        <v>66</v>
      </c>
      <c r="H1074" s="29"/>
      <c r="I1074" s="49"/>
      <c r="L1074" s="184"/>
      <c r="M1074" s="187"/>
      <c r="N1074" s="29" t="s">
        <v>80</v>
      </c>
      <c r="O1074" s="30">
        <v>3</v>
      </c>
      <c r="P1074" s="30">
        <v>45</v>
      </c>
      <c r="Q1074" s="29" t="s">
        <v>66</v>
      </c>
      <c r="R1074" s="29"/>
      <c r="S1074" s="49"/>
    </row>
    <row r="1075" spans="2:19" x14ac:dyDescent="0.25">
      <c r="B1075" s="184"/>
      <c r="C1075" s="187"/>
      <c r="D1075" s="29" t="s">
        <v>81</v>
      </c>
      <c r="E1075" s="30">
        <v>4</v>
      </c>
      <c r="F1075" s="30">
        <v>46</v>
      </c>
      <c r="G1075" s="29" t="s">
        <v>66</v>
      </c>
      <c r="H1075" s="29"/>
      <c r="I1075" s="49"/>
      <c r="L1075" s="184"/>
      <c r="M1075" s="187"/>
      <c r="N1075" s="29" t="s">
        <v>81</v>
      </c>
      <c r="O1075" s="30">
        <v>4</v>
      </c>
      <c r="P1075" s="30">
        <v>46</v>
      </c>
      <c r="Q1075" s="29" t="s">
        <v>66</v>
      </c>
      <c r="R1075" s="29"/>
      <c r="S1075" s="49"/>
    </row>
    <row r="1076" spans="2:19" x14ac:dyDescent="0.25">
      <c r="B1076" s="184"/>
      <c r="C1076" s="187"/>
      <c r="D1076" s="29" t="s">
        <v>82</v>
      </c>
      <c r="E1076" s="30">
        <v>5</v>
      </c>
      <c r="F1076" s="30">
        <v>47</v>
      </c>
      <c r="G1076" s="29" t="s">
        <v>66</v>
      </c>
      <c r="H1076" s="29"/>
      <c r="I1076" s="49"/>
      <c r="L1076" s="184"/>
      <c r="M1076" s="187"/>
      <c r="N1076" s="29" t="s">
        <v>82</v>
      </c>
      <c r="O1076" s="30">
        <v>5</v>
      </c>
      <c r="P1076" s="30">
        <v>47</v>
      </c>
      <c r="Q1076" s="29" t="s">
        <v>66</v>
      </c>
      <c r="R1076" s="29"/>
      <c r="S1076" s="49"/>
    </row>
    <row r="1077" spans="2:19" ht="15.75" thickBot="1" x14ac:dyDescent="0.3">
      <c r="B1077" s="185"/>
      <c r="C1077" s="188"/>
      <c r="D1077" s="29" t="s">
        <v>83</v>
      </c>
      <c r="E1077" s="30">
        <v>6</v>
      </c>
      <c r="F1077" s="30">
        <v>48</v>
      </c>
      <c r="G1077" s="29" t="s">
        <v>66</v>
      </c>
      <c r="H1077" s="29"/>
      <c r="I1077" s="49"/>
      <c r="L1077" s="185"/>
      <c r="M1077" s="188"/>
      <c r="N1077" s="29" t="s">
        <v>83</v>
      </c>
      <c r="O1077" s="30">
        <v>6</v>
      </c>
      <c r="P1077" s="30">
        <v>48</v>
      </c>
      <c r="Q1077" s="29" t="s">
        <v>66</v>
      </c>
      <c r="R1077" s="29"/>
      <c r="S1077" s="49"/>
    </row>
    <row r="1078" spans="2:19" ht="15.75" thickBot="1" x14ac:dyDescent="0.3"/>
    <row r="1079" spans="2:19" ht="15.75" thickBot="1" x14ac:dyDescent="0.3">
      <c r="B1079" s="171" t="s">
        <v>340</v>
      </c>
      <c r="C1079" s="172"/>
      <c r="D1079" s="172"/>
      <c r="E1079" s="172"/>
      <c r="F1079" s="172"/>
      <c r="G1079" s="172"/>
      <c r="H1079" s="172"/>
      <c r="I1079" s="173"/>
      <c r="L1079" s="171" t="s">
        <v>342</v>
      </c>
      <c r="M1079" s="172"/>
      <c r="N1079" s="172"/>
      <c r="O1079" s="172"/>
      <c r="P1079" s="172"/>
      <c r="Q1079" s="172"/>
      <c r="R1079" s="172"/>
      <c r="S1079" s="173"/>
    </row>
    <row r="1081" spans="2:19" ht="26.25" thickBot="1" x14ac:dyDescent="0.3">
      <c r="B1081" s="15" t="s">
        <v>70</v>
      </c>
      <c r="C1081" s="16" t="s">
        <v>71</v>
      </c>
      <c r="D1081" s="15" t="s">
        <v>72</v>
      </c>
      <c r="E1081" s="17" t="s">
        <v>73</v>
      </c>
      <c r="F1081" s="17" t="s">
        <v>74</v>
      </c>
      <c r="G1081" s="15" t="s">
        <v>75</v>
      </c>
      <c r="H1081" s="15" t="s">
        <v>55</v>
      </c>
      <c r="I1081" s="15" t="s">
        <v>76</v>
      </c>
      <c r="L1081" s="15" t="s">
        <v>70</v>
      </c>
      <c r="M1081" s="16" t="s">
        <v>71</v>
      </c>
      <c r="N1081" s="15" t="s">
        <v>72</v>
      </c>
      <c r="O1081" s="17" t="s">
        <v>73</v>
      </c>
      <c r="P1081" s="17" t="s">
        <v>74</v>
      </c>
      <c r="Q1081" s="15" t="s">
        <v>75</v>
      </c>
      <c r="R1081" s="15" t="s">
        <v>55</v>
      </c>
      <c r="S1081" s="15" t="s">
        <v>76</v>
      </c>
    </row>
    <row r="1082" spans="2:19" ht="15" customHeight="1" x14ac:dyDescent="0.25">
      <c r="B1082" s="174" t="s">
        <v>2</v>
      </c>
      <c r="C1082" s="168" t="s">
        <v>77</v>
      </c>
      <c r="D1082" s="18" t="s">
        <v>2</v>
      </c>
      <c r="E1082" s="19">
        <v>1</v>
      </c>
      <c r="F1082" s="19">
        <v>1</v>
      </c>
      <c r="G1082" s="18" t="s">
        <v>78</v>
      </c>
      <c r="H1082" s="156" t="s">
        <v>341</v>
      </c>
      <c r="I1082" s="156" t="s">
        <v>233</v>
      </c>
      <c r="L1082" s="174" t="s">
        <v>2</v>
      </c>
      <c r="M1082" s="168" t="s">
        <v>77</v>
      </c>
      <c r="N1082" s="18" t="s">
        <v>2</v>
      </c>
      <c r="O1082" s="19">
        <v>1</v>
      </c>
      <c r="P1082" s="19">
        <v>1</v>
      </c>
      <c r="Q1082" s="18" t="s">
        <v>78</v>
      </c>
      <c r="R1082" s="156" t="s">
        <v>341</v>
      </c>
      <c r="S1082" s="156" t="s">
        <v>189</v>
      </c>
    </row>
    <row r="1083" spans="2:19" x14ac:dyDescent="0.25">
      <c r="B1083" s="175"/>
      <c r="C1083" s="169"/>
      <c r="D1083" s="18" t="s">
        <v>3</v>
      </c>
      <c r="E1083" s="19">
        <v>2</v>
      </c>
      <c r="F1083" s="19">
        <v>2</v>
      </c>
      <c r="G1083" s="18" t="s">
        <v>78</v>
      </c>
      <c r="H1083" s="157"/>
      <c r="I1083" s="157"/>
      <c r="L1083" s="175"/>
      <c r="M1083" s="169"/>
      <c r="N1083" s="18" t="s">
        <v>3</v>
      </c>
      <c r="O1083" s="19">
        <v>2</v>
      </c>
      <c r="P1083" s="19">
        <v>2</v>
      </c>
      <c r="Q1083" s="18" t="s">
        <v>78</v>
      </c>
      <c r="R1083" s="157"/>
      <c r="S1083" s="157"/>
    </row>
    <row r="1084" spans="2:19" x14ac:dyDescent="0.25">
      <c r="B1084" s="175"/>
      <c r="C1084" s="169"/>
      <c r="D1084" s="18" t="s">
        <v>80</v>
      </c>
      <c r="E1084" s="20">
        <v>3</v>
      </c>
      <c r="F1084" s="20">
        <v>3</v>
      </c>
      <c r="G1084" s="18" t="s">
        <v>66</v>
      </c>
      <c r="H1084" s="157"/>
      <c r="I1084" s="157"/>
      <c r="L1084" s="175"/>
      <c r="M1084" s="169"/>
      <c r="N1084" s="18" t="s">
        <v>80</v>
      </c>
      <c r="O1084" s="20">
        <v>3</v>
      </c>
      <c r="P1084" s="20">
        <v>3</v>
      </c>
      <c r="Q1084" s="18" t="s">
        <v>66</v>
      </c>
      <c r="R1084" s="157"/>
      <c r="S1084" s="157"/>
    </row>
    <row r="1085" spans="2:19" x14ac:dyDescent="0.25">
      <c r="B1085" s="175"/>
      <c r="C1085" s="169"/>
      <c r="D1085" s="18" t="s">
        <v>81</v>
      </c>
      <c r="E1085" s="20">
        <v>4</v>
      </c>
      <c r="F1085" s="20">
        <v>4</v>
      </c>
      <c r="G1085" s="18" t="s">
        <v>66</v>
      </c>
      <c r="H1085" s="157"/>
      <c r="I1085" s="157"/>
      <c r="L1085" s="175"/>
      <c r="M1085" s="169"/>
      <c r="N1085" s="18" t="s">
        <v>81</v>
      </c>
      <c r="O1085" s="20">
        <v>4</v>
      </c>
      <c r="P1085" s="20">
        <v>4</v>
      </c>
      <c r="Q1085" s="18" t="s">
        <v>66</v>
      </c>
      <c r="R1085" s="157"/>
      <c r="S1085" s="157"/>
    </row>
    <row r="1086" spans="2:19" x14ac:dyDescent="0.25">
      <c r="B1086" s="175"/>
      <c r="C1086" s="169"/>
      <c r="D1086" s="18" t="s">
        <v>82</v>
      </c>
      <c r="E1086" s="20">
        <v>5</v>
      </c>
      <c r="F1086" s="20">
        <v>5</v>
      </c>
      <c r="G1086" s="18" t="s">
        <v>66</v>
      </c>
      <c r="H1086" s="157"/>
      <c r="I1086" s="157"/>
      <c r="L1086" s="175"/>
      <c r="M1086" s="169"/>
      <c r="N1086" s="18" t="s">
        <v>82</v>
      </c>
      <c r="O1086" s="20">
        <v>5</v>
      </c>
      <c r="P1086" s="20">
        <v>5</v>
      </c>
      <c r="Q1086" s="18" t="s">
        <v>66</v>
      </c>
      <c r="R1086" s="157"/>
      <c r="S1086" s="157"/>
    </row>
    <row r="1087" spans="2:19" ht="15.75" thickBot="1" x14ac:dyDescent="0.3">
      <c r="B1087" s="175"/>
      <c r="C1087" s="170"/>
      <c r="D1087" s="18" t="s">
        <v>83</v>
      </c>
      <c r="E1087" s="20">
        <v>6</v>
      </c>
      <c r="F1087" s="20">
        <v>6</v>
      </c>
      <c r="G1087" s="18" t="s">
        <v>66</v>
      </c>
      <c r="H1087" s="158"/>
      <c r="I1087" s="158"/>
      <c r="L1087" s="175"/>
      <c r="M1087" s="170"/>
      <c r="N1087" s="18" t="s">
        <v>83</v>
      </c>
      <c r="O1087" s="20">
        <v>6</v>
      </c>
      <c r="P1087" s="20">
        <v>6</v>
      </c>
      <c r="Q1087" s="18" t="s">
        <v>66</v>
      </c>
      <c r="R1087" s="158"/>
      <c r="S1087" s="158"/>
    </row>
    <row r="1088" spans="2:19" x14ac:dyDescent="0.25">
      <c r="B1088" s="175"/>
      <c r="C1088" s="168" t="s">
        <v>84</v>
      </c>
      <c r="D1088" s="18" t="s">
        <v>2</v>
      </c>
      <c r="E1088" s="19">
        <v>1</v>
      </c>
      <c r="F1088" s="19">
        <v>7</v>
      </c>
      <c r="G1088" s="18" t="s">
        <v>66</v>
      </c>
      <c r="H1088" s="32"/>
      <c r="I1088" s="50"/>
      <c r="L1088" s="175"/>
      <c r="M1088" s="168" t="s">
        <v>84</v>
      </c>
      <c r="N1088" s="18" t="s">
        <v>2</v>
      </c>
      <c r="O1088" s="19">
        <v>1</v>
      </c>
      <c r="P1088" s="19">
        <v>7</v>
      </c>
      <c r="Q1088" s="18" t="s">
        <v>66</v>
      </c>
      <c r="R1088" s="32"/>
      <c r="S1088" s="50"/>
    </row>
    <row r="1089" spans="2:19" x14ac:dyDescent="0.25">
      <c r="B1089" s="175"/>
      <c r="C1089" s="169"/>
      <c r="D1089" s="18" t="s">
        <v>3</v>
      </c>
      <c r="E1089" s="19">
        <v>2</v>
      </c>
      <c r="F1089" s="19">
        <v>8</v>
      </c>
      <c r="G1089" s="18" t="s">
        <v>66</v>
      </c>
      <c r="H1089" s="32"/>
      <c r="I1089" s="50"/>
      <c r="L1089" s="175"/>
      <c r="M1089" s="169"/>
      <c r="N1089" s="18" t="s">
        <v>3</v>
      </c>
      <c r="O1089" s="19">
        <v>2</v>
      </c>
      <c r="P1089" s="19">
        <v>8</v>
      </c>
      <c r="Q1089" s="18" t="s">
        <v>66</v>
      </c>
      <c r="R1089" s="32"/>
      <c r="S1089" s="50"/>
    </row>
    <row r="1090" spans="2:19" x14ac:dyDescent="0.25">
      <c r="B1090" s="175"/>
      <c r="C1090" s="169"/>
      <c r="D1090" s="18" t="s">
        <v>80</v>
      </c>
      <c r="E1090" s="20">
        <v>3</v>
      </c>
      <c r="F1090" s="20">
        <v>9</v>
      </c>
      <c r="G1090" s="18" t="s">
        <v>66</v>
      </c>
      <c r="H1090" s="32"/>
      <c r="I1090" s="50"/>
      <c r="L1090" s="175"/>
      <c r="M1090" s="169"/>
      <c r="N1090" s="18" t="s">
        <v>80</v>
      </c>
      <c r="O1090" s="20">
        <v>3</v>
      </c>
      <c r="P1090" s="20">
        <v>9</v>
      </c>
      <c r="Q1090" s="18" t="s">
        <v>66</v>
      </c>
      <c r="R1090" s="32"/>
      <c r="S1090" s="50"/>
    </row>
    <row r="1091" spans="2:19" x14ac:dyDescent="0.25">
      <c r="B1091" s="175"/>
      <c r="C1091" s="169"/>
      <c r="D1091" s="18" t="s">
        <v>81</v>
      </c>
      <c r="E1091" s="20">
        <v>4</v>
      </c>
      <c r="F1091" s="20">
        <v>10</v>
      </c>
      <c r="G1091" s="18" t="s">
        <v>66</v>
      </c>
      <c r="H1091" s="32"/>
      <c r="I1091" s="50"/>
      <c r="L1091" s="175"/>
      <c r="M1091" s="169"/>
      <c r="N1091" s="18" t="s">
        <v>81</v>
      </c>
      <c r="O1091" s="20">
        <v>4</v>
      </c>
      <c r="P1091" s="20">
        <v>10</v>
      </c>
      <c r="Q1091" s="18" t="s">
        <v>66</v>
      </c>
      <c r="R1091" s="32"/>
      <c r="S1091" s="50"/>
    </row>
    <row r="1092" spans="2:19" x14ac:dyDescent="0.25">
      <c r="B1092" s="175"/>
      <c r="C1092" s="169"/>
      <c r="D1092" s="18" t="s">
        <v>82</v>
      </c>
      <c r="E1092" s="20">
        <v>5</v>
      </c>
      <c r="F1092" s="20">
        <v>11</v>
      </c>
      <c r="G1092" s="18" t="s">
        <v>66</v>
      </c>
      <c r="H1092" s="32"/>
      <c r="I1092" s="50"/>
      <c r="L1092" s="175"/>
      <c r="M1092" s="169"/>
      <c r="N1092" s="18" t="s">
        <v>82</v>
      </c>
      <c r="O1092" s="20">
        <v>5</v>
      </c>
      <c r="P1092" s="20">
        <v>11</v>
      </c>
      <c r="Q1092" s="18" t="s">
        <v>66</v>
      </c>
      <c r="R1092" s="32"/>
      <c r="S1092" s="50"/>
    </row>
    <row r="1093" spans="2:19" ht="15.75" thickBot="1" x14ac:dyDescent="0.3">
      <c r="B1093" s="176"/>
      <c r="C1093" s="170"/>
      <c r="D1093" s="18" t="s">
        <v>83</v>
      </c>
      <c r="E1093" s="20">
        <v>6</v>
      </c>
      <c r="F1093" s="20">
        <v>12</v>
      </c>
      <c r="G1093" s="18" t="s">
        <v>66</v>
      </c>
      <c r="H1093" s="32"/>
      <c r="I1093" s="50"/>
      <c r="L1093" s="176"/>
      <c r="M1093" s="170"/>
      <c r="N1093" s="18" t="s">
        <v>83</v>
      </c>
      <c r="O1093" s="20">
        <v>6</v>
      </c>
      <c r="P1093" s="20">
        <v>12</v>
      </c>
      <c r="Q1093" s="18" t="s">
        <v>66</v>
      </c>
      <c r="R1093" s="32"/>
      <c r="S1093" s="50"/>
    </row>
    <row r="1094" spans="2:19" x14ac:dyDescent="0.25">
      <c r="B1094" s="180" t="s">
        <v>3</v>
      </c>
      <c r="C1094" s="177" t="s">
        <v>77</v>
      </c>
      <c r="D1094" s="21" t="s">
        <v>2</v>
      </c>
      <c r="E1094" s="22">
        <v>1</v>
      </c>
      <c r="F1094" s="22">
        <v>13</v>
      </c>
      <c r="G1094" s="21" t="s">
        <v>66</v>
      </c>
      <c r="H1094" s="63"/>
      <c r="I1094" s="64"/>
      <c r="L1094" s="180" t="s">
        <v>3</v>
      </c>
      <c r="M1094" s="177" t="s">
        <v>77</v>
      </c>
      <c r="N1094" s="21" t="s">
        <v>2</v>
      </c>
      <c r="O1094" s="22">
        <v>1</v>
      </c>
      <c r="P1094" s="22">
        <v>13</v>
      </c>
      <c r="Q1094" s="21" t="s">
        <v>66</v>
      </c>
      <c r="R1094" s="63"/>
      <c r="S1094" s="64"/>
    </row>
    <row r="1095" spans="2:19" x14ac:dyDescent="0.25">
      <c r="B1095" s="181"/>
      <c r="C1095" s="178"/>
      <c r="D1095" s="23" t="s">
        <v>3</v>
      </c>
      <c r="E1095" s="24">
        <v>2</v>
      </c>
      <c r="F1095" s="24">
        <v>14</v>
      </c>
      <c r="G1095" s="23" t="s">
        <v>66</v>
      </c>
      <c r="H1095" s="63"/>
      <c r="I1095" s="64"/>
      <c r="L1095" s="181"/>
      <c r="M1095" s="178"/>
      <c r="N1095" s="23" t="s">
        <v>3</v>
      </c>
      <c r="O1095" s="24">
        <v>2</v>
      </c>
      <c r="P1095" s="24">
        <v>14</v>
      </c>
      <c r="Q1095" s="23" t="s">
        <v>66</v>
      </c>
      <c r="R1095" s="63"/>
      <c r="S1095" s="64"/>
    </row>
    <row r="1096" spans="2:19" x14ac:dyDescent="0.25">
      <c r="B1096" s="181"/>
      <c r="C1096" s="178"/>
      <c r="D1096" s="23" t="s">
        <v>80</v>
      </c>
      <c r="E1096" s="24">
        <v>3</v>
      </c>
      <c r="F1096" s="24">
        <v>15</v>
      </c>
      <c r="G1096" s="23" t="s">
        <v>66</v>
      </c>
      <c r="H1096" s="63"/>
      <c r="I1096" s="64"/>
      <c r="L1096" s="181"/>
      <c r="M1096" s="178"/>
      <c r="N1096" s="23" t="s">
        <v>80</v>
      </c>
      <c r="O1096" s="24">
        <v>3</v>
      </c>
      <c r="P1096" s="24">
        <v>15</v>
      </c>
      <c r="Q1096" s="23" t="s">
        <v>66</v>
      </c>
      <c r="R1096" s="63"/>
      <c r="S1096" s="64"/>
    </row>
    <row r="1097" spans="2:19" x14ac:dyDescent="0.25">
      <c r="B1097" s="181"/>
      <c r="C1097" s="178"/>
      <c r="D1097" s="23" t="s">
        <v>81</v>
      </c>
      <c r="E1097" s="24">
        <v>4</v>
      </c>
      <c r="F1097" s="24">
        <v>16</v>
      </c>
      <c r="G1097" s="23" t="s">
        <v>66</v>
      </c>
      <c r="H1097" s="63"/>
      <c r="I1097" s="64"/>
      <c r="L1097" s="181"/>
      <c r="M1097" s="178"/>
      <c r="N1097" s="23" t="s">
        <v>81</v>
      </c>
      <c r="O1097" s="24">
        <v>4</v>
      </c>
      <c r="P1097" s="24">
        <v>16</v>
      </c>
      <c r="Q1097" s="23" t="s">
        <v>66</v>
      </c>
      <c r="R1097" s="63"/>
      <c r="S1097" s="64"/>
    </row>
    <row r="1098" spans="2:19" x14ac:dyDescent="0.25">
      <c r="B1098" s="181"/>
      <c r="C1098" s="178"/>
      <c r="D1098" s="23" t="s">
        <v>82</v>
      </c>
      <c r="E1098" s="24">
        <v>5</v>
      </c>
      <c r="F1098" s="24">
        <v>17</v>
      </c>
      <c r="G1098" s="23" t="s">
        <v>66</v>
      </c>
      <c r="H1098" s="63"/>
      <c r="I1098" s="64"/>
      <c r="L1098" s="181"/>
      <c r="M1098" s="178"/>
      <c r="N1098" s="23" t="s">
        <v>82</v>
      </c>
      <c r="O1098" s="24">
        <v>5</v>
      </c>
      <c r="P1098" s="24">
        <v>17</v>
      </c>
      <c r="Q1098" s="23" t="s">
        <v>66</v>
      </c>
      <c r="R1098" s="63"/>
      <c r="S1098" s="64"/>
    </row>
    <row r="1099" spans="2:19" ht="15.75" thickBot="1" x14ac:dyDescent="0.3">
      <c r="B1099" s="181"/>
      <c r="C1099" s="179"/>
      <c r="D1099" s="23" t="s">
        <v>83</v>
      </c>
      <c r="E1099" s="24">
        <v>6</v>
      </c>
      <c r="F1099" s="24">
        <v>18</v>
      </c>
      <c r="G1099" s="23" t="s">
        <v>66</v>
      </c>
      <c r="H1099" s="63"/>
      <c r="I1099" s="64"/>
      <c r="L1099" s="181"/>
      <c r="M1099" s="179"/>
      <c r="N1099" s="23" t="s">
        <v>83</v>
      </c>
      <c r="O1099" s="24">
        <v>6</v>
      </c>
      <c r="P1099" s="24">
        <v>18</v>
      </c>
      <c r="Q1099" s="23" t="s">
        <v>66</v>
      </c>
      <c r="R1099" s="63"/>
      <c r="S1099" s="64"/>
    </row>
    <row r="1100" spans="2:19" x14ac:dyDescent="0.25">
      <c r="B1100" s="181"/>
      <c r="C1100" s="177" t="s">
        <v>84</v>
      </c>
      <c r="D1100" s="23" t="s">
        <v>2</v>
      </c>
      <c r="E1100" s="24">
        <v>1</v>
      </c>
      <c r="F1100" s="24">
        <v>19</v>
      </c>
      <c r="G1100" s="23" t="s">
        <v>66</v>
      </c>
      <c r="H1100" s="63"/>
      <c r="I1100" s="64"/>
      <c r="L1100" s="181"/>
      <c r="M1100" s="177" t="s">
        <v>84</v>
      </c>
      <c r="N1100" s="23" t="s">
        <v>2</v>
      </c>
      <c r="O1100" s="24">
        <v>1</v>
      </c>
      <c r="P1100" s="24">
        <v>19</v>
      </c>
      <c r="Q1100" s="23" t="s">
        <v>66</v>
      </c>
      <c r="R1100" s="63"/>
      <c r="S1100" s="64"/>
    </row>
    <row r="1101" spans="2:19" x14ac:dyDescent="0.25">
      <c r="B1101" s="181"/>
      <c r="C1101" s="178"/>
      <c r="D1101" s="23" t="s">
        <v>3</v>
      </c>
      <c r="E1101" s="24">
        <v>2</v>
      </c>
      <c r="F1101" s="24">
        <v>20</v>
      </c>
      <c r="G1101" s="23" t="s">
        <v>66</v>
      </c>
      <c r="H1101" s="63"/>
      <c r="I1101" s="64"/>
      <c r="L1101" s="181"/>
      <c r="M1101" s="178"/>
      <c r="N1101" s="23" t="s">
        <v>3</v>
      </c>
      <c r="O1101" s="24">
        <v>2</v>
      </c>
      <c r="P1101" s="24">
        <v>20</v>
      </c>
      <c r="Q1101" s="23" t="s">
        <v>66</v>
      </c>
      <c r="R1101" s="63"/>
      <c r="S1101" s="64"/>
    </row>
    <row r="1102" spans="2:19" x14ac:dyDescent="0.25">
      <c r="B1102" s="181"/>
      <c r="C1102" s="178"/>
      <c r="D1102" s="23" t="s">
        <v>80</v>
      </c>
      <c r="E1102" s="26">
        <v>3</v>
      </c>
      <c r="F1102" s="24">
        <v>21</v>
      </c>
      <c r="G1102" s="23" t="s">
        <v>66</v>
      </c>
      <c r="H1102" s="63"/>
      <c r="I1102" s="64"/>
      <c r="L1102" s="181"/>
      <c r="M1102" s="178"/>
      <c r="N1102" s="23" t="s">
        <v>80</v>
      </c>
      <c r="O1102" s="26">
        <v>3</v>
      </c>
      <c r="P1102" s="24">
        <v>21</v>
      </c>
      <c r="Q1102" s="23" t="s">
        <v>66</v>
      </c>
      <c r="R1102" s="63"/>
      <c r="S1102" s="64"/>
    </row>
    <row r="1103" spans="2:19" x14ac:dyDescent="0.25">
      <c r="B1103" s="181"/>
      <c r="C1103" s="178"/>
      <c r="D1103" s="23" t="s">
        <v>81</v>
      </c>
      <c r="E1103" s="24">
        <v>4</v>
      </c>
      <c r="F1103" s="24">
        <v>22</v>
      </c>
      <c r="G1103" s="23" t="s">
        <v>66</v>
      </c>
      <c r="H1103" s="63"/>
      <c r="I1103" s="64"/>
      <c r="L1103" s="181"/>
      <c r="M1103" s="178"/>
      <c r="N1103" s="23" t="s">
        <v>81</v>
      </c>
      <c r="O1103" s="24">
        <v>4</v>
      </c>
      <c r="P1103" s="24">
        <v>22</v>
      </c>
      <c r="Q1103" s="23" t="s">
        <v>66</v>
      </c>
      <c r="R1103" s="63"/>
      <c r="S1103" s="64"/>
    </row>
    <row r="1104" spans="2:19" x14ac:dyDescent="0.25">
      <c r="B1104" s="181"/>
      <c r="C1104" s="178"/>
      <c r="D1104" s="23" t="s">
        <v>82</v>
      </c>
      <c r="E1104" s="24">
        <v>5</v>
      </c>
      <c r="F1104" s="24">
        <v>23</v>
      </c>
      <c r="G1104" s="23" t="s">
        <v>66</v>
      </c>
      <c r="H1104" s="63"/>
      <c r="I1104" s="64"/>
      <c r="L1104" s="181"/>
      <c r="M1104" s="178"/>
      <c r="N1104" s="23" t="s">
        <v>82</v>
      </c>
      <c r="O1104" s="24">
        <v>5</v>
      </c>
      <c r="P1104" s="24">
        <v>23</v>
      </c>
      <c r="Q1104" s="23" t="s">
        <v>66</v>
      </c>
      <c r="R1104" s="63"/>
      <c r="S1104" s="64"/>
    </row>
    <row r="1105" spans="2:19" ht="15.75" thickBot="1" x14ac:dyDescent="0.3">
      <c r="B1105" s="182"/>
      <c r="C1105" s="179"/>
      <c r="D1105" s="23" t="s">
        <v>83</v>
      </c>
      <c r="E1105" s="24">
        <v>6</v>
      </c>
      <c r="F1105" s="24">
        <v>24</v>
      </c>
      <c r="G1105" s="23" t="s">
        <v>66</v>
      </c>
      <c r="H1105" s="63"/>
      <c r="I1105" s="64"/>
      <c r="L1105" s="182"/>
      <c r="M1105" s="179"/>
      <c r="N1105" s="23" t="s">
        <v>83</v>
      </c>
      <c r="O1105" s="24">
        <v>6</v>
      </c>
      <c r="P1105" s="24">
        <v>24</v>
      </c>
      <c r="Q1105" s="23" t="s">
        <v>66</v>
      </c>
      <c r="R1105" s="63"/>
      <c r="S1105" s="64"/>
    </row>
    <row r="1106" spans="2:19" x14ac:dyDescent="0.25">
      <c r="B1106" s="189" t="s">
        <v>80</v>
      </c>
      <c r="C1106" s="192" t="s">
        <v>77</v>
      </c>
      <c r="D1106" s="27" t="s">
        <v>2</v>
      </c>
      <c r="E1106" s="28">
        <v>1</v>
      </c>
      <c r="F1106" s="28">
        <v>25</v>
      </c>
      <c r="G1106" s="27" t="s">
        <v>66</v>
      </c>
      <c r="H1106" s="27"/>
      <c r="I1106" s="48"/>
      <c r="L1106" s="189" t="s">
        <v>80</v>
      </c>
      <c r="M1106" s="192" t="s">
        <v>77</v>
      </c>
      <c r="N1106" s="27" t="s">
        <v>2</v>
      </c>
      <c r="O1106" s="28">
        <v>1</v>
      </c>
      <c r="P1106" s="28">
        <v>25</v>
      </c>
      <c r="Q1106" s="27" t="s">
        <v>66</v>
      </c>
      <c r="R1106" s="27"/>
      <c r="S1106" s="48"/>
    </row>
    <row r="1107" spans="2:19" x14ac:dyDescent="0.25">
      <c r="B1107" s="190"/>
      <c r="C1107" s="193"/>
      <c r="D1107" s="27" t="s">
        <v>3</v>
      </c>
      <c r="E1107" s="28">
        <v>2</v>
      </c>
      <c r="F1107" s="28">
        <v>26</v>
      </c>
      <c r="G1107" s="27" t="s">
        <v>66</v>
      </c>
      <c r="H1107" s="27"/>
      <c r="I1107" s="48"/>
      <c r="L1107" s="190"/>
      <c r="M1107" s="193"/>
      <c r="N1107" s="27" t="s">
        <v>3</v>
      </c>
      <c r="O1107" s="28">
        <v>2</v>
      </c>
      <c r="P1107" s="28">
        <v>26</v>
      </c>
      <c r="Q1107" s="27" t="s">
        <v>66</v>
      </c>
      <c r="R1107" s="27"/>
      <c r="S1107" s="48"/>
    </row>
    <row r="1108" spans="2:19" x14ac:dyDescent="0.25">
      <c r="B1108" s="190"/>
      <c r="C1108" s="193"/>
      <c r="D1108" s="27" t="s">
        <v>80</v>
      </c>
      <c r="E1108" s="28">
        <v>3</v>
      </c>
      <c r="F1108" s="28">
        <v>27</v>
      </c>
      <c r="G1108" s="27" t="s">
        <v>66</v>
      </c>
      <c r="H1108" s="27"/>
      <c r="I1108" s="48"/>
      <c r="L1108" s="190"/>
      <c r="M1108" s="193"/>
      <c r="N1108" s="27" t="s">
        <v>80</v>
      </c>
      <c r="O1108" s="28">
        <v>3</v>
      </c>
      <c r="P1108" s="28">
        <v>27</v>
      </c>
      <c r="Q1108" s="27" t="s">
        <v>66</v>
      </c>
      <c r="R1108" s="27"/>
      <c r="S1108" s="48"/>
    </row>
    <row r="1109" spans="2:19" x14ac:dyDescent="0.25">
      <c r="B1109" s="190"/>
      <c r="C1109" s="193"/>
      <c r="D1109" s="27" t="s">
        <v>81</v>
      </c>
      <c r="E1109" s="28">
        <v>4</v>
      </c>
      <c r="F1109" s="28">
        <v>28</v>
      </c>
      <c r="G1109" s="27" t="s">
        <v>66</v>
      </c>
      <c r="H1109" s="27"/>
      <c r="I1109" s="48"/>
      <c r="L1109" s="190"/>
      <c r="M1109" s="193"/>
      <c r="N1109" s="27" t="s">
        <v>81</v>
      </c>
      <c r="O1109" s="28">
        <v>4</v>
      </c>
      <c r="P1109" s="28">
        <v>28</v>
      </c>
      <c r="Q1109" s="27" t="s">
        <v>66</v>
      </c>
      <c r="R1109" s="27"/>
      <c r="S1109" s="48"/>
    </row>
    <row r="1110" spans="2:19" x14ac:dyDescent="0.25">
      <c r="B1110" s="190"/>
      <c r="C1110" s="193"/>
      <c r="D1110" s="27" t="s">
        <v>82</v>
      </c>
      <c r="E1110" s="28">
        <v>5</v>
      </c>
      <c r="F1110" s="28">
        <v>29</v>
      </c>
      <c r="G1110" s="27" t="s">
        <v>66</v>
      </c>
      <c r="H1110" s="27"/>
      <c r="I1110" s="48"/>
      <c r="L1110" s="190"/>
      <c r="M1110" s="193"/>
      <c r="N1110" s="27" t="s">
        <v>82</v>
      </c>
      <c r="O1110" s="28">
        <v>5</v>
      </c>
      <c r="P1110" s="28">
        <v>29</v>
      </c>
      <c r="Q1110" s="27" t="s">
        <v>66</v>
      </c>
      <c r="R1110" s="27"/>
      <c r="S1110" s="48"/>
    </row>
    <row r="1111" spans="2:19" ht="15.75" thickBot="1" x14ac:dyDescent="0.3">
      <c r="B1111" s="190"/>
      <c r="C1111" s="194"/>
      <c r="D1111" s="27" t="s">
        <v>83</v>
      </c>
      <c r="E1111" s="28">
        <v>6</v>
      </c>
      <c r="F1111" s="28">
        <v>30</v>
      </c>
      <c r="G1111" s="27" t="s">
        <v>66</v>
      </c>
      <c r="H1111" s="27"/>
      <c r="I1111" s="48"/>
      <c r="L1111" s="190"/>
      <c r="M1111" s="194"/>
      <c r="N1111" s="27" t="s">
        <v>83</v>
      </c>
      <c r="O1111" s="28">
        <v>6</v>
      </c>
      <c r="P1111" s="28">
        <v>30</v>
      </c>
      <c r="Q1111" s="27" t="s">
        <v>66</v>
      </c>
      <c r="R1111" s="27"/>
      <c r="S1111" s="48"/>
    </row>
    <row r="1112" spans="2:19" x14ac:dyDescent="0.25">
      <c r="B1112" s="190"/>
      <c r="C1112" s="192" t="s">
        <v>84</v>
      </c>
      <c r="D1112" s="27" t="s">
        <v>2</v>
      </c>
      <c r="E1112" s="28">
        <v>1</v>
      </c>
      <c r="F1112" s="28">
        <v>31</v>
      </c>
      <c r="G1112" s="27" t="s">
        <v>66</v>
      </c>
      <c r="H1112" s="27"/>
      <c r="I1112" s="48"/>
      <c r="L1112" s="190"/>
      <c r="M1112" s="192" t="s">
        <v>84</v>
      </c>
      <c r="N1112" s="27" t="s">
        <v>2</v>
      </c>
      <c r="O1112" s="28">
        <v>1</v>
      </c>
      <c r="P1112" s="28">
        <v>31</v>
      </c>
      <c r="Q1112" s="27" t="s">
        <v>66</v>
      </c>
      <c r="R1112" s="27"/>
      <c r="S1112" s="48"/>
    </row>
    <row r="1113" spans="2:19" x14ac:dyDescent="0.25">
      <c r="B1113" s="190"/>
      <c r="C1113" s="193"/>
      <c r="D1113" s="27" t="s">
        <v>3</v>
      </c>
      <c r="E1113" s="28">
        <v>2</v>
      </c>
      <c r="F1113" s="28">
        <v>32</v>
      </c>
      <c r="G1113" s="27" t="s">
        <v>66</v>
      </c>
      <c r="H1113" s="27"/>
      <c r="I1113" s="48"/>
      <c r="L1113" s="190"/>
      <c r="M1113" s="193"/>
      <c r="N1113" s="27" t="s">
        <v>3</v>
      </c>
      <c r="O1113" s="28">
        <v>2</v>
      </c>
      <c r="P1113" s="28">
        <v>32</v>
      </c>
      <c r="Q1113" s="27" t="s">
        <v>66</v>
      </c>
      <c r="R1113" s="27"/>
      <c r="S1113" s="48"/>
    </row>
    <row r="1114" spans="2:19" x14ac:dyDescent="0.25">
      <c r="B1114" s="190"/>
      <c r="C1114" s="193"/>
      <c r="D1114" s="27" t="s">
        <v>80</v>
      </c>
      <c r="E1114" s="28">
        <v>3</v>
      </c>
      <c r="F1114" s="28">
        <v>33</v>
      </c>
      <c r="G1114" s="27" t="s">
        <v>66</v>
      </c>
      <c r="H1114" s="27"/>
      <c r="I1114" s="48"/>
      <c r="L1114" s="190"/>
      <c r="M1114" s="193"/>
      <c r="N1114" s="27" t="s">
        <v>80</v>
      </c>
      <c r="O1114" s="28">
        <v>3</v>
      </c>
      <c r="P1114" s="28">
        <v>33</v>
      </c>
      <c r="Q1114" s="27" t="s">
        <v>66</v>
      </c>
      <c r="R1114" s="27"/>
      <c r="S1114" s="48"/>
    </row>
    <row r="1115" spans="2:19" x14ac:dyDescent="0.25">
      <c r="B1115" s="190"/>
      <c r="C1115" s="193"/>
      <c r="D1115" s="27" t="s">
        <v>81</v>
      </c>
      <c r="E1115" s="28">
        <v>4</v>
      </c>
      <c r="F1115" s="28">
        <v>34</v>
      </c>
      <c r="G1115" s="27" t="s">
        <v>66</v>
      </c>
      <c r="H1115" s="27"/>
      <c r="I1115" s="48"/>
      <c r="L1115" s="190"/>
      <c r="M1115" s="193"/>
      <c r="N1115" s="27" t="s">
        <v>81</v>
      </c>
      <c r="O1115" s="28">
        <v>4</v>
      </c>
      <c r="P1115" s="28">
        <v>34</v>
      </c>
      <c r="Q1115" s="27" t="s">
        <v>66</v>
      </c>
      <c r="R1115" s="27"/>
      <c r="S1115" s="48"/>
    </row>
    <row r="1116" spans="2:19" x14ac:dyDescent="0.25">
      <c r="B1116" s="190"/>
      <c r="C1116" s="193"/>
      <c r="D1116" s="27" t="s">
        <v>82</v>
      </c>
      <c r="E1116" s="28">
        <v>5</v>
      </c>
      <c r="F1116" s="28">
        <v>35</v>
      </c>
      <c r="G1116" s="27" t="s">
        <v>66</v>
      </c>
      <c r="H1116" s="27"/>
      <c r="I1116" s="48"/>
      <c r="L1116" s="190"/>
      <c r="M1116" s="193"/>
      <c r="N1116" s="27" t="s">
        <v>82</v>
      </c>
      <c r="O1116" s="28">
        <v>5</v>
      </c>
      <c r="P1116" s="28">
        <v>35</v>
      </c>
      <c r="Q1116" s="27" t="s">
        <v>66</v>
      </c>
      <c r="R1116" s="27"/>
      <c r="S1116" s="48"/>
    </row>
    <row r="1117" spans="2:19" ht="15.75" thickBot="1" x14ac:dyDescent="0.3">
      <c r="B1117" s="191"/>
      <c r="C1117" s="194"/>
      <c r="D1117" s="27" t="s">
        <v>83</v>
      </c>
      <c r="E1117" s="28">
        <v>6</v>
      </c>
      <c r="F1117" s="28">
        <v>36</v>
      </c>
      <c r="G1117" s="27" t="s">
        <v>66</v>
      </c>
      <c r="H1117" s="27"/>
      <c r="I1117" s="48"/>
      <c r="L1117" s="191"/>
      <c r="M1117" s="194"/>
      <c r="N1117" s="27" t="s">
        <v>83</v>
      </c>
      <c r="O1117" s="28">
        <v>6</v>
      </c>
      <c r="P1117" s="28">
        <v>36</v>
      </c>
      <c r="Q1117" s="27" t="s">
        <v>66</v>
      </c>
      <c r="R1117" s="27"/>
      <c r="S1117" s="48"/>
    </row>
    <row r="1118" spans="2:19" x14ac:dyDescent="0.25">
      <c r="B1118" s="183" t="s">
        <v>81</v>
      </c>
      <c r="C1118" s="186" t="s">
        <v>77</v>
      </c>
      <c r="D1118" s="29" t="s">
        <v>2</v>
      </c>
      <c r="E1118" s="30">
        <v>1</v>
      </c>
      <c r="F1118" s="30">
        <v>37</v>
      </c>
      <c r="G1118" s="29" t="s">
        <v>66</v>
      </c>
      <c r="H1118" s="29"/>
      <c r="I1118" s="49"/>
      <c r="L1118" s="183" t="s">
        <v>81</v>
      </c>
      <c r="M1118" s="186" t="s">
        <v>77</v>
      </c>
      <c r="N1118" s="29" t="s">
        <v>2</v>
      </c>
      <c r="O1118" s="30">
        <v>1</v>
      </c>
      <c r="P1118" s="30">
        <v>37</v>
      </c>
      <c r="Q1118" s="29" t="s">
        <v>66</v>
      </c>
      <c r="R1118" s="29"/>
      <c r="S1118" s="49"/>
    </row>
    <row r="1119" spans="2:19" x14ac:dyDescent="0.25">
      <c r="B1119" s="184"/>
      <c r="C1119" s="187"/>
      <c r="D1119" s="29" t="s">
        <v>3</v>
      </c>
      <c r="E1119" s="30">
        <v>2</v>
      </c>
      <c r="F1119" s="30">
        <v>38</v>
      </c>
      <c r="G1119" s="29" t="s">
        <v>66</v>
      </c>
      <c r="H1119" s="29"/>
      <c r="I1119" s="49"/>
      <c r="L1119" s="184"/>
      <c r="M1119" s="187"/>
      <c r="N1119" s="29" t="s">
        <v>3</v>
      </c>
      <c r="O1119" s="30">
        <v>2</v>
      </c>
      <c r="P1119" s="30">
        <v>38</v>
      </c>
      <c r="Q1119" s="29" t="s">
        <v>66</v>
      </c>
      <c r="R1119" s="29"/>
      <c r="S1119" s="49"/>
    </row>
    <row r="1120" spans="2:19" x14ac:dyDescent="0.25">
      <c r="B1120" s="184"/>
      <c r="C1120" s="187"/>
      <c r="D1120" s="29" t="s">
        <v>80</v>
      </c>
      <c r="E1120" s="30">
        <v>3</v>
      </c>
      <c r="F1120" s="30">
        <v>39</v>
      </c>
      <c r="G1120" s="29" t="s">
        <v>66</v>
      </c>
      <c r="H1120" s="29"/>
      <c r="I1120" s="49"/>
      <c r="L1120" s="184"/>
      <c r="M1120" s="187"/>
      <c r="N1120" s="29" t="s">
        <v>80</v>
      </c>
      <c r="O1120" s="30">
        <v>3</v>
      </c>
      <c r="P1120" s="30">
        <v>39</v>
      </c>
      <c r="Q1120" s="29" t="s">
        <v>66</v>
      </c>
      <c r="R1120" s="29"/>
      <c r="S1120" s="49"/>
    </row>
    <row r="1121" spans="2:19" x14ac:dyDescent="0.25">
      <c r="B1121" s="184"/>
      <c r="C1121" s="187"/>
      <c r="D1121" s="29" t="s">
        <v>81</v>
      </c>
      <c r="E1121" s="30">
        <v>4</v>
      </c>
      <c r="F1121" s="30">
        <v>40</v>
      </c>
      <c r="G1121" s="29" t="s">
        <v>66</v>
      </c>
      <c r="H1121" s="29"/>
      <c r="I1121" s="49"/>
      <c r="L1121" s="184"/>
      <c r="M1121" s="187"/>
      <c r="N1121" s="29" t="s">
        <v>81</v>
      </c>
      <c r="O1121" s="30">
        <v>4</v>
      </c>
      <c r="P1121" s="30">
        <v>40</v>
      </c>
      <c r="Q1121" s="29" t="s">
        <v>66</v>
      </c>
      <c r="R1121" s="29"/>
      <c r="S1121" s="49"/>
    </row>
    <row r="1122" spans="2:19" x14ac:dyDescent="0.25">
      <c r="B1122" s="184"/>
      <c r="C1122" s="187"/>
      <c r="D1122" s="29" t="s">
        <v>82</v>
      </c>
      <c r="E1122" s="30">
        <v>5</v>
      </c>
      <c r="F1122" s="30">
        <v>41</v>
      </c>
      <c r="G1122" s="29" t="s">
        <v>66</v>
      </c>
      <c r="H1122" s="29"/>
      <c r="I1122" s="49"/>
      <c r="L1122" s="184"/>
      <c r="M1122" s="187"/>
      <c r="N1122" s="29" t="s">
        <v>82</v>
      </c>
      <c r="O1122" s="30">
        <v>5</v>
      </c>
      <c r="P1122" s="30">
        <v>41</v>
      </c>
      <c r="Q1122" s="29" t="s">
        <v>66</v>
      </c>
      <c r="R1122" s="29"/>
      <c r="S1122" s="49"/>
    </row>
    <row r="1123" spans="2:19" ht="15.75" thickBot="1" x14ac:dyDescent="0.3">
      <c r="B1123" s="184"/>
      <c r="C1123" s="188"/>
      <c r="D1123" s="29" t="s">
        <v>83</v>
      </c>
      <c r="E1123" s="30">
        <v>6</v>
      </c>
      <c r="F1123" s="30">
        <v>42</v>
      </c>
      <c r="G1123" s="29" t="s">
        <v>66</v>
      </c>
      <c r="H1123" s="29"/>
      <c r="I1123" s="49"/>
      <c r="L1123" s="184"/>
      <c r="M1123" s="188"/>
      <c r="N1123" s="29" t="s">
        <v>83</v>
      </c>
      <c r="O1123" s="30">
        <v>6</v>
      </c>
      <c r="P1123" s="30">
        <v>42</v>
      </c>
      <c r="Q1123" s="29" t="s">
        <v>66</v>
      </c>
      <c r="R1123" s="29"/>
      <c r="S1123" s="49"/>
    </row>
    <row r="1124" spans="2:19" x14ac:dyDescent="0.25">
      <c r="B1124" s="184"/>
      <c r="C1124" s="186" t="s">
        <v>84</v>
      </c>
      <c r="D1124" s="29" t="s">
        <v>2</v>
      </c>
      <c r="E1124" s="30">
        <v>1</v>
      </c>
      <c r="F1124" s="30">
        <v>43</v>
      </c>
      <c r="G1124" s="29" t="s">
        <v>66</v>
      </c>
      <c r="H1124" s="29"/>
      <c r="I1124" s="49"/>
      <c r="L1124" s="184"/>
      <c r="M1124" s="186" t="s">
        <v>84</v>
      </c>
      <c r="N1124" s="29" t="s">
        <v>2</v>
      </c>
      <c r="O1124" s="30">
        <v>1</v>
      </c>
      <c r="P1124" s="30">
        <v>43</v>
      </c>
      <c r="Q1124" s="29" t="s">
        <v>66</v>
      </c>
      <c r="R1124" s="29"/>
      <c r="S1124" s="49"/>
    </row>
    <row r="1125" spans="2:19" x14ac:dyDescent="0.25">
      <c r="B1125" s="184"/>
      <c r="C1125" s="187"/>
      <c r="D1125" s="29" t="s">
        <v>3</v>
      </c>
      <c r="E1125" s="30">
        <v>2</v>
      </c>
      <c r="F1125" s="30">
        <v>44</v>
      </c>
      <c r="G1125" s="29" t="s">
        <v>66</v>
      </c>
      <c r="H1125" s="29"/>
      <c r="I1125" s="49"/>
      <c r="L1125" s="184"/>
      <c r="M1125" s="187"/>
      <c r="N1125" s="29" t="s">
        <v>3</v>
      </c>
      <c r="O1125" s="30">
        <v>2</v>
      </c>
      <c r="P1125" s="30">
        <v>44</v>
      </c>
      <c r="Q1125" s="29" t="s">
        <v>66</v>
      </c>
      <c r="R1125" s="29"/>
      <c r="S1125" s="49"/>
    </row>
    <row r="1126" spans="2:19" x14ac:dyDescent="0.25">
      <c r="B1126" s="184"/>
      <c r="C1126" s="187"/>
      <c r="D1126" s="29" t="s">
        <v>80</v>
      </c>
      <c r="E1126" s="30">
        <v>3</v>
      </c>
      <c r="F1126" s="30">
        <v>45</v>
      </c>
      <c r="G1126" s="29" t="s">
        <v>66</v>
      </c>
      <c r="H1126" s="29"/>
      <c r="I1126" s="49"/>
      <c r="L1126" s="184"/>
      <c r="M1126" s="187"/>
      <c r="N1126" s="29" t="s">
        <v>80</v>
      </c>
      <c r="O1126" s="30">
        <v>3</v>
      </c>
      <c r="P1126" s="30">
        <v>45</v>
      </c>
      <c r="Q1126" s="29" t="s">
        <v>66</v>
      </c>
      <c r="R1126" s="29"/>
      <c r="S1126" s="49"/>
    </row>
    <row r="1127" spans="2:19" x14ac:dyDescent="0.25">
      <c r="B1127" s="184"/>
      <c r="C1127" s="187"/>
      <c r="D1127" s="29" t="s">
        <v>81</v>
      </c>
      <c r="E1127" s="30">
        <v>4</v>
      </c>
      <c r="F1127" s="30">
        <v>46</v>
      </c>
      <c r="G1127" s="29" t="s">
        <v>66</v>
      </c>
      <c r="H1127" s="29"/>
      <c r="I1127" s="49"/>
      <c r="L1127" s="184"/>
      <c r="M1127" s="187"/>
      <c r="N1127" s="29" t="s">
        <v>81</v>
      </c>
      <c r="O1127" s="30">
        <v>4</v>
      </c>
      <c r="P1127" s="30">
        <v>46</v>
      </c>
      <c r="Q1127" s="29" t="s">
        <v>66</v>
      </c>
      <c r="R1127" s="29"/>
      <c r="S1127" s="49"/>
    </row>
    <row r="1128" spans="2:19" x14ac:dyDescent="0.25">
      <c r="B1128" s="184"/>
      <c r="C1128" s="187"/>
      <c r="D1128" s="29" t="s">
        <v>82</v>
      </c>
      <c r="E1128" s="30">
        <v>5</v>
      </c>
      <c r="F1128" s="30">
        <v>47</v>
      </c>
      <c r="G1128" s="29" t="s">
        <v>66</v>
      </c>
      <c r="H1128" s="29"/>
      <c r="I1128" s="49"/>
      <c r="L1128" s="184"/>
      <c r="M1128" s="187"/>
      <c r="N1128" s="29" t="s">
        <v>82</v>
      </c>
      <c r="O1128" s="30">
        <v>5</v>
      </c>
      <c r="P1128" s="30">
        <v>47</v>
      </c>
      <c r="Q1128" s="29" t="s">
        <v>66</v>
      </c>
      <c r="R1128" s="29"/>
      <c r="S1128" s="49"/>
    </row>
    <row r="1129" spans="2:19" ht="15.75" thickBot="1" x14ac:dyDescent="0.3">
      <c r="B1129" s="185"/>
      <c r="C1129" s="188"/>
      <c r="D1129" s="29" t="s">
        <v>83</v>
      </c>
      <c r="E1129" s="30">
        <v>6</v>
      </c>
      <c r="F1129" s="30">
        <v>48</v>
      </c>
      <c r="G1129" s="29" t="s">
        <v>66</v>
      </c>
      <c r="H1129" s="29"/>
      <c r="I1129" s="49"/>
      <c r="L1129" s="185"/>
      <c r="M1129" s="188"/>
      <c r="N1129" s="29" t="s">
        <v>83</v>
      </c>
      <c r="O1129" s="30">
        <v>6</v>
      </c>
      <c r="P1129" s="30">
        <v>48</v>
      </c>
      <c r="Q1129" s="29" t="s">
        <v>66</v>
      </c>
      <c r="R1129" s="29"/>
      <c r="S1129" s="49"/>
    </row>
  </sheetData>
  <mergeCells count="634">
    <mergeCell ref="B1118:B1129"/>
    <mergeCell ref="C1118:C1123"/>
    <mergeCell ref="L1118:L1129"/>
    <mergeCell ref="M1118:M1123"/>
    <mergeCell ref="C1124:C1129"/>
    <mergeCell ref="M1124:M1129"/>
    <mergeCell ref="B1094:B1105"/>
    <mergeCell ref="C1094:C1099"/>
    <mergeCell ref="L1094:L1105"/>
    <mergeCell ref="M1094:M1099"/>
    <mergeCell ref="C1100:C1105"/>
    <mergeCell ref="M1100:M1105"/>
    <mergeCell ref="B1106:B1117"/>
    <mergeCell ref="C1106:C1111"/>
    <mergeCell ref="L1106:L1117"/>
    <mergeCell ref="M1106:M1111"/>
    <mergeCell ref="C1112:C1117"/>
    <mergeCell ref="M1112:M1117"/>
    <mergeCell ref="B1066:B1077"/>
    <mergeCell ref="C1066:C1071"/>
    <mergeCell ref="L1066:L1077"/>
    <mergeCell ref="M1066:M1071"/>
    <mergeCell ref="C1072:C1077"/>
    <mergeCell ref="M1072:M1077"/>
    <mergeCell ref="B1079:I1079"/>
    <mergeCell ref="L1079:S1079"/>
    <mergeCell ref="B1082:B1093"/>
    <mergeCell ref="C1082:C1087"/>
    <mergeCell ref="H1082:H1087"/>
    <mergeCell ref="I1082:I1087"/>
    <mergeCell ref="L1082:L1093"/>
    <mergeCell ref="M1082:M1087"/>
    <mergeCell ref="R1082:R1087"/>
    <mergeCell ref="S1082:S1087"/>
    <mergeCell ref="C1088:C1093"/>
    <mergeCell ref="M1088:M1093"/>
    <mergeCell ref="B1042:B1053"/>
    <mergeCell ref="C1042:C1047"/>
    <mergeCell ref="L1042:L1053"/>
    <mergeCell ref="M1042:M1047"/>
    <mergeCell ref="C1048:C1053"/>
    <mergeCell ref="M1048:M1053"/>
    <mergeCell ref="B1054:B1065"/>
    <mergeCell ref="C1054:C1059"/>
    <mergeCell ref="L1054:L1065"/>
    <mergeCell ref="M1054:M1059"/>
    <mergeCell ref="C1060:C1065"/>
    <mergeCell ref="M1060:M1065"/>
    <mergeCell ref="B1014:B1025"/>
    <mergeCell ref="C1014:C1019"/>
    <mergeCell ref="L1014:L1025"/>
    <mergeCell ref="M1014:M1019"/>
    <mergeCell ref="C1020:C1025"/>
    <mergeCell ref="M1020:M1025"/>
    <mergeCell ref="B1027:I1027"/>
    <mergeCell ref="L1027:S1027"/>
    <mergeCell ref="B1030:B1041"/>
    <mergeCell ref="C1030:C1035"/>
    <mergeCell ref="H1030:H1035"/>
    <mergeCell ref="I1030:I1035"/>
    <mergeCell ref="L1030:L1041"/>
    <mergeCell ref="M1030:M1035"/>
    <mergeCell ref="R1030:R1035"/>
    <mergeCell ref="S1030:S1035"/>
    <mergeCell ref="C1036:C1041"/>
    <mergeCell ref="M1036:M1041"/>
    <mergeCell ref="B990:B1001"/>
    <mergeCell ref="C990:C995"/>
    <mergeCell ref="L990:L1001"/>
    <mergeCell ref="M990:M995"/>
    <mergeCell ref="C996:C1001"/>
    <mergeCell ref="M996:M1001"/>
    <mergeCell ref="B1002:B1013"/>
    <mergeCell ref="C1002:C1007"/>
    <mergeCell ref="L1002:L1013"/>
    <mergeCell ref="M1002:M1007"/>
    <mergeCell ref="C1008:C1013"/>
    <mergeCell ref="M1008:M1013"/>
    <mergeCell ref="B956:B967"/>
    <mergeCell ref="C956:C961"/>
    <mergeCell ref="L956:L967"/>
    <mergeCell ref="M956:M961"/>
    <mergeCell ref="C962:C967"/>
    <mergeCell ref="M962:M967"/>
    <mergeCell ref="B975:I975"/>
    <mergeCell ref="L975:S975"/>
    <mergeCell ref="B978:B989"/>
    <mergeCell ref="C978:C983"/>
    <mergeCell ref="H978:H983"/>
    <mergeCell ref="I978:I983"/>
    <mergeCell ref="L978:L989"/>
    <mergeCell ref="M978:M983"/>
    <mergeCell ref="R978:R983"/>
    <mergeCell ref="S978:S983"/>
    <mergeCell ref="C984:C989"/>
    <mergeCell ref="M984:M989"/>
    <mergeCell ref="B932:B943"/>
    <mergeCell ref="C932:C937"/>
    <mergeCell ref="L932:L943"/>
    <mergeCell ref="M932:M937"/>
    <mergeCell ref="C938:C943"/>
    <mergeCell ref="M938:M943"/>
    <mergeCell ref="B944:B955"/>
    <mergeCell ref="C944:C949"/>
    <mergeCell ref="L944:L955"/>
    <mergeCell ref="M944:M949"/>
    <mergeCell ref="C950:C955"/>
    <mergeCell ref="M950:M955"/>
    <mergeCell ref="B904:B915"/>
    <mergeCell ref="C904:C909"/>
    <mergeCell ref="L904:L915"/>
    <mergeCell ref="M904:M909"/>
    <mergeCell ref="C910:C915"/>
    <mergeCell ref="M910:M915"/>
    <mergeCell ref="B917:I917"/>
    <mergeCell ref="L917:S917"/>
    <mergeCell ref="B920:B931"/>
    <mergeCell ref="C920:C925"/>
    <mergeCell ref="L920:L931"/>
    <mergeCell ref="M920:M925"/>
    <mergeCell ref="C926:C931"/>
    <mergeCell ref="H926:H931"/>
    <mergeCell ref="I926:I931"/>
    <mergeCell ref="M926:M931"/>
    <mergeCell ref="R926:R931"/>
    <mergeCell ref="S926:S931"/>
    <mergeCell ref="B880:B891"/>
    <mergeCell ref="C880:C885"/>
    <mergeCell ref="L880:L891"/>
    <mergeCell ref="M880:M885"/>
    <mergeCell ref="C886:C891"/>
    <mergeCell ref="M886:M891"/>
    <mergeCell ref="B892:B903"/>
    <mergeCell ref="C892:C897"/>
    <mergeCell ref="L892:L903"/>
    <mergeCell ref="M892:M897"/>
    <mergeCell ref="C898:C903"/>
    <mergeCell ref="M898:M903"/>
    <mergeCell ref="B852:B863"/>
    <mergeCell ref="C852:C857"/>
    <mergeCell ref="L852:L863"/>
    <mergeCell ref="M852:M857"/>
    <mergeCell ref="C858:C863"/>
    <mergeCell ref="M858:M863"/>
    <mergeCell ref="B865:I865"/>
    <mergeCell ref="L865:S865"/>
    <mergeCell ref="B868:B879"/>
    <mergeCell ref="C868:C873"/>
    <mergeCell ref="L868:L879"/>
    <mergeCell ref="M868:M873"/>
    <mergeCell ref="C874:C879"/>
    <mergeCell ref="H874:H879"/>
    <mergeCell ref="I874:I879"/>
    <mergeCell ref="M874:M879"/>
    <mergeCell ref="R874:R879"/>
    <mergeCell ref="S874:S879"/>
    <mergeCell ref="B828:B839"/>
    <mergeCell ref="C828:C833"/>
    <mergeCell ref="L828:L839"/>
    <mergeCell ref="M828:M833"/>
    <mergeCell ref="C834:C839"/>
    <mergeCell ref="M834:M839"/>
    <mergeCell ref="B840:B851"/>
    <mergeCell ref="C840:C845"/>
    <mergeCell ref="L840:L851"/>
    <mergeCell ref="M840:M845"/>
    <mergeCell ref="C846:C851"/>
    <mergeCell ref="M846:M851"/>
    <mergeCell ref="B813:I813"/>
    <mergeCell ref="L813:S813"/>
    <mergeCell ref="B816:B827"/>
    <mergeCell ref="C816:C821"/>
    <mergeCell ref="L816:L827"/>
    <mergeCell ref="M816:M821"/>
    <mergeCell ref="C822:C827"/>
    <mergeCell ref="H822:H827"/>
    <mergeCell ref="I822:I827"/>
    <mergeCell ref="M822:M827"/>
    <mergeCell ref="R822:R827"/>
    <mergeCell ref="S822:S827"/>
    <mergeCell ref="B790:B801"/>
    <mergeCell ref="C790:C795"/>
    <mergeCell ref="L790:L801"/>
    <mergeCell ref="M790:M795"/>
    <mergeCell ref="C796:C801"/>
    <mergeCell ref="M796:M801"/>
    <mergeCell ref="B778:B789"/>
    <mergeCell ref="C778:C783"/>
    <mergeCell ref="L778:L789"/>
    <mergeCell ref="M778:M783"/>
    <mergeCell ref="C784:C789"/>
    <mergeCell ref="M784:M789"/>
    <mergeCell ref="R760:R765"/>
    <mergeCell ref="S760:S765"/>
    <mergeCell ref="B766:B777"/>
    <mergeCell ref="C766:C771"/>
    <mergeCell ref="L766:L777"/>
    <mergeCell ref="M766:M771"/>
    <mergeCell ref="C772:C777"/>
    <mergeCell ref="M772:M777"/>
    <mergeCell ref="B751:I751"/>
    <mergeCell ref="L751:S751"/>
    <mergeCell ref="B754:B765"/>
    <mergeCell ref="C754:C759"/>
    <mergeCell ref="L754:L765"/>
    <mergeCell ref="M754:M759"/>
    <mergeCell ref="C760:C765"/>
    <mergeCell ref="H760:H765"/>
    <mergeCell ref="I760:I765"/>
    <mergeCell ref="M760:M765"/>
    <mergeCell ref="B737:B748"/>
    <mergeCell ref="C737:C742"/>
    <mergeCell ref="L737:L748"/>
    <mergeCell ref="M737:M742"/>
    <mergeCell ref="C743:C748"/>
    <mergeCell ref="M743:M748"/>
    <mergeCell ref="B725:B736"/>
    <mergeCell ref="C725:C730"/>
    <mergeCell ref="L725:L736"/>
    <mergeCell ref="M725:M730"/>
    <mergeCell ref="C731:C736"/>
    <mergeCell ref="M731:M736"/>
    <mergeCell ref="R707:R712"/>
    <mergeCell ref="S707:S712"/>
    <mergeCell ref="B713:B724"/>
    <mergeCell ref="C713:C718"/>
    <mergeCell ref="L713:L724"/>
    <mergeCell ref="M713:M718"/>
    <mergeCell ref="C719:C724"/>
    <mergeCell ref="M719:M724"/>
    <mergeCell ref="B698:I698"/>
    <mergeCell ref="L698:S698"/>
    <mergeCell ref="B701:B712"/>
    <mergeCell ref="C701:C706"/>
    <mergeCell ref="L701:L712"/>
    <mergeCell ref="M701:M706"/>
    <mergeCell ref="C707:C712"/>
    <mergeCell ref="H707:H712"/>
    <mergeCell ref="I707:I712"/>
    <mergeCell ref="M707:M712"/>
    <mergeCell ref="B684:B695"/>
    <mergeCell ref="C684:C689"/>
    <mergeCell ref="L684:L695"/>
    <mergeCell ref="M684:M689"/>
    <mergeCell ref="C690:C695"/>
    <mergeCell ref="M690:M695"/>
    <mergeCell ref="B672:B683"/>
    <mergeCell ref="C672:C677"/>
    <mergeCell ref="L672:L683"/>
    <mergeCell ref="M672:M677"/>
    <mergeCell ref="C678:C683"/>
    <mergeCell ref="M678:M683"/>
    <mergeCell ref="R654:R659"/>
    <mergeCell ref="S654:S659"/>
    <mergeCell ref="B660:B671"/>
    <mergeCell ref="C660:C665"/>
    <mergeCell ref="L660:L671"/>
    <mergeCell ref="M660:M665"/>
    <mergeCell ref="C666:C671"/>
    <mergeCell ref="M666:M671"/>
    <mergeCell ref="B645:I645"/>
    <mergeCell ref="L645:S645"/>
    <mergeCell ref="B648:B659"/>
    <mergeCell ref="C648:C653"/>
    <mergeCell ref="L648:L659"/>
    <mergeCell ref="M648:M653"/>
    <mergeCell ref="C654:C659"/>
    <mergeCell ref="H654:H659"/>
    <mergeCell ref="I654:I659"/>
    <mergeCell ref="M654:M659"/>
    <mergeCell ref="B627:B638"/>
    <mergeCell ref="C627:C632"/>
    <mergeCell ref="L627:L638"/>
    <mergeCell ref="M627:M632"/>
    <mergeCell ref="C633:C638"/>
    <mergeCell ref="M633:M638"/>
    <mergeCell ref="B615:B626"/>
    <mergeCell ref="C615:C620"/>
    <mergeCell ref="L615:L626"/>
    <mergeCell ref="M615:M620"/>
    <mergeCell ref="C621:C626"/>
    <mergeCell ref="M621:M626"/>
    <mergeCell ref="R597:R602"/>
    <mergeCell ref="S597:S602"/>
    <mergeCell ref="B603:B614"/>
    <mergeCell ref="C603:C608"/>
    <mergeCell ref="L603:L614"/>
    <mergeCell ref="M603:M608"/>
    <mergeCell ref="C609:C614"/>
    <mergeCell ref="M609:M614"/>
    <mergeCell ref="B588:I588"/>
    <mergeCell ref="L588:S588"/>
    <mergeCell ref="B591:B602"/>
    <mergeCell ref="C591:C596"/>
    <mergeCell ref="L591:L602"/>
    <mergeCell ref="M591:M596"/>
    <mergeCell ref="C597:C602"/>
    <mergeCell ref="H597:H602"/>
    <mergeCell ref="I597:I602"/>
    <mergeCell ref="M597:M602"/>
    <mergeCell ref="B575:B586"/>
    <mergeCell ref="C575:C580"/>
    <mergeCell ref="L575:L586"/>
    <mergeCell ref="M575:M580"/>
    <mergeCell ref="C581:C586"/>
    <mergeCell ref="M581:M586"/>
    <mergeCell ref="B563:B574"/>
    <mergeCell ref="C563:C568"/>
    <mergeCell ref="L563:L574"/>
    <mergeCell ref="M563:M568"/>
    <mergeCell ref="C569:C574"/>
    <mergeCell ref="M569:M574"/>
    <mergeCell ref="R545:R550"/>
    <mergeCell ref="S545:S550"/>
    <mergeCell ref="B551:B562"/>
    <mergeCell ref="C551:C556"/>
    <mergeCell ref="L551:L562"/>
    <mergeCell ref="M551:M556"/>
    <mergeCell ref="C557:C562"/>
    <mergeCell ref="M557:M562"/>
    <mergeCell ref="B536:I536"/>
    <mergeCell ref="L536:S536"/>
    <mergeCell ref="B539:B550"/>
    <mergeCell ref="C539:C544"/>
    <mergeCell ref="L539:L550"/>
    <mergeCell ref="M539:M544"/>
    <mergeCell ref="C545:C550"/>
    <mergeCell ref="H545:H550"/>
    <mergeCell ref="I545:I550"/>
    <mergeCell ref="M545:M550"/>
    <mergeCell ref="B523:B534"/>
    <mergeCell ref="C523:C528"/>
    <mergeCell ref="L523:L534"/>
    <mergeCell ref="M523:M528"/>
    <mergeCell ref="C529:C534"/>
    <mergeCell ref="M529:M534"/>
    <mergeCell ref="B511:B522"/>
    <mergeCell ref="C511:C516"/>
    <mergeCell ref="L511:L522"/>
    <mergeCell ref="M511:M516"/>
    <mergeCell ref="C517:C522"/>
    <mergeCell ref="M517:M522"/>
    <mergeCell ref="R493:R498"/>
    <mergeCell ref="S493:S498"/>
    <mergeCell ref="B499:B510"/>
    <mergeCell ref="C499:C504"/>
    <mergeCell ref="L499:L510"/>
    <mergeCell ref="M499:M504"/>
    <mergeCell ref="C505:C510"/>
    <mergeCell ref="M505:M510"/>
    <mergeCell ref="B484:I484"/>
    <mergeCell ref="L484:S484"/>
    <mergeCell ref="B487:B498"/>
    <mergeCell ref="C487:C492"/>
    <mergeCell ref="L487:L498"/>
    <mergeCell ref="M487:M492"/>
    <mergeCell ref="C493:C498"/>
    <mergeCell ref="H493:H498"/>
    <mergeCell ref="I493:I498"/>
    <mergeCell ref="M493:M498"/>
    <mergeCell ref="B471:B482"/>
    <mergeCell ref="C471:C476"/>
    <mergeCell ref="L471:L482"/>
    <mergeCell ref="M471:M476"/>
    <mergeCell ref="C477:C482"/>
    <mergeCell ref="M477:M482"/>
    <mergeCell ref="B459:B470"/>
    <mergeCell ref="C459:C464"/>
    <mergeCell ref="L459:L470"/>
    <mergeCell ref="M459:M464"/>
    <mergeCell ref="C465:C470"/>
    <mergeCell ref="M465:M470"/>
    <mergeCell ref="C441:C446"/>
    <mergeCell ref="M441:M446"/>
    <mergeCell ref="B447:B458"/>
    <mergeCell ref="C447:C452"/>
    <mergeCell ref="L447:L458"/>
    <mergeCell ref="M447:M452"/>
    <mergeCell ref="C453:C458"/>
    <mergeCell ref="M453:M458"/>
    <mergeCell ref="B432:I432"/>
    <mergeCell ref="L432:S432"/>
    <mergeCell ref="B435:B446"/>
    <mergeCell ref="C435:C440"/>
    <mergeCell ref="L435:L446"/>
    <mergeCell ref="M435:M440"/>
    <mergeCell ref="H435:H440"/>
    <mergeCell ref="I435:I440"/>
    <mergeCell ref="R435:R440"/>
    <mergeCell ref="S435:S440"/>
    <mergeCell ref="B414:B425"/>
    <mergeCell ref="C414:C419"/>
    <mergeCell ref="L414:L425"/>
    <mergeCell ref="M414:M419"/>
    <mergeCell ref="C420:C425"/>
    <mergeCell ref="M420:M425"/>
    <mergeCell ref="B402:B413"/>
    <mergeCell ref="C402:C407"/>
    <mergeCell ref="L402:L413"/>
    <mergeCell ref="M402:M407"/>
    <mergeCell ref="C408:C413"/>
    <mergeCell ref="M408:M413"/>
    <mergeCell ref="C384:C389"/>
    <mergeCell ref="M384:M389"/>
    <mergeCell ref="B390:B401"/>
    <mergeCell ref="C390:C395"/>
    <mergeCell ref="L390:L401"/>
    <mergeCell ref="M390:M395"/>
    <mergeCell ref="C396:C401"/>
    <mergeCell ref="M396:M401"/>
    <mergeCell ref="B375:I375"/>
    <mergeCell ref="L375:S375"/>
    <mergeCell ref="B378:B389"/>
    <mergeCell ref="C378:C383"/>
    <mergeCell ref="H378:H383"/>
    <mergeCell ref="I378:I383"/>
    <mergeCell ref="L378:L389"/>
    <mergeCell ref="M378:M383"/>
    <mergeCell ref="R378:R383"/>
    <mergeCell ref="S378:S383"/>
    <mergeCell ref="B362:B373"/>
    <mergeCell ref="C362:C367"/>
    <mergeCell ref="L362:L373"/>
    <mergeCell ref="M362:M367"/>
    <mergeCell ref="C368:C373"/>
    <mergeCell ref="M368:M373"/>
    <mergeCell ref="B350:B361"/>
    <mergeCell ref="C350:C355"/>
    <mergeCell ref="L350:L361"/>
    <mergeCell ref="M350:M355"/>
    <mergeCell ref="C356:C361"/>
    <mergeCell ref="M356:M361"/>
    <mergeCell ref="C332:C337"/>
    <mergeCell ref="M332:M337"/>
    <mergeCell ref="B338:B349"/>
    <mergeCell ref="C338:C343"/>
    <mergeCell ref="L338:L349"/>
    <mergeCell ref="M338:M343"/>
    <mergeCell ref="C344:C349"/>
    <mergeCell ref="M344:M349"/>
    <mergeCell ref="B323:I323"/>
    <mergeCell ref="L323:S323"/>
    <mergeCell ref="B326:B337"/>
    <mergeCell ref="C326:C331"/>
    <mergeCell ref="H326:H331"/>
    <mergeCell ref="I326:I331"/>
    <mergeCell ref="L326:L337"/>
    <mergeCell ref="M326:M331"/>
    <mergeCell ref="R326:R331"/>
    <mergeCell ref="S326:S331"/>
    <mergeCell ref="B310:B321"/>
    <mergeCell ref="C310:C315"/>
    <mergeCell ref="L310:L321"/>
    <mergeCell ref="M310:M315"/>
    <mergeCell ref="C316:C321"/>
    <mergeCell ref="M316:M321"/>
    <mergeCell ref="B298:B309"/>
    <mergeCell ref="C298:C303"/>
    <mergeCell ref="L298:L309"/>
    <mergeCell ref="M298:M303"/>
    <mergeCell ref="C304:C309"/>
    <mergeCell ref="M304:M309"/>
    <mergeCell ref="C280:C285"/>
    <mergeCell ref="M280:M285"/>
    <mergeCell ref="B286:B297"/>
    <mergeCell ref="C286:C291"/>
    <mergeCell ref="L286:L297"/>
    <mergeCell ref="M286:M291"/>
    <mergeCell ref="C292:C297"/>
    <mergeCell ref="M292:M297"/>
    <mergeCell ref="B271:I271"/>
    <mergeCell ref="L271:S271"/>
    <mergeCell ref="B274:B285"/>
    <mergeCell ref="C274:C279"/>
    <mergeCell ref="H274:H279"/>
    <mergeCell ref="I274:I279"/>
    <mergeCell ref="L274:L285"/>
    <mergeCell ref="M274:M279"/>
    <mergeCell ref="R274:R279"/>
    <mergeCell ref="S274:S279"/>
    <mergeCell ref="B258:B269"/>
    <mergeCell ref="C258:C263"/>
    <mergeCell ref="L258:L269"/>
    <mergeCell ref="M258:M263"/>
    <mergeCell ref="C264:C269"/>
    <mergeCell ref="M264:M269"/>
    <mergeCell ref="B246:B257"/>
    <mergeCell ref="C246:C251"/>
    <mergeCell ref="L246:L257"/>
    <mergeCell ref="M246:M251"/>
    <mergeCell ref="C252:C257"/>
    <mergeCell ref="M252:M257"/>
    <mergeCell ref="C228:C233"/>
    <mergeCell ref="M228:M233"/>
    <mergeCell ref="B234:B245"/>
    <mergeCell ref="C234:C239"/>
    <mergeCell ref="L234:L245"/>
    <mergeCell ref="M234:M239"/>
    <mergeCell ref="C240:C245"/>
    <mergeCell ref="M240:M245"/>
    <mergeCell ref="B219:I219"/>
    <mergeCell ref="L219:S219"/>
    <mergeCell ref="B222:B233"/>
    <mergeCell ref="C222:C227"/>
    <mergeCell ref="H222:H227"/>
    <mergeCell ref="I222:I227"/>
    <mergeCell ref="L222:L233"/>
    <mergeCell ref="M222:M227"/>
    <mergeCell ref="R222:R227"/>
    <mergeCell ref="S222:S227"/>
    <mergeCell ref="B201:B212"/>
    <mergeCell ref="C201:C206"/>
    <mergeCell ref="L201:L212"/>
    <mergeCell ref="M201:M206"/>
    <mergeCell ref="C207:C212"/>
    <mergeCell ref="M207:M212"/>
    <mergeCell ref="B189:B200"/>
    <mergeCell ref="C189:C194"/>
    <mergeCell ref="L189:L200"/>
    <mergeCell ref="M189:M194"/>
    <mergeCell ref="C195:C200"/>
    <mergeCell ref="M195:M200"/>
    <mergeCell ref="C171:C176"/>
    <mergeCell ref="M171:M176"/>
    <mergeCell ref="B177:B188"/>
    <mergeCell ref="C177:C182"/>
    <mergeCell ref="L177:L188"/>
    <mergeCell ref="M177:M182"/>
    <mergeCell ref="C183:C188"/>
    <mergeCell ref="M183:M188"/>
    <mergeCell ref="B162:I162"/>
    <mergeCell ref="L162:S162"/>
    <mergeCell ref="B165:B176"/>
    <mergeCell ref="C165:C170"/>
    <mergeCell ref="H165:H170"/>
    <mergeCell ref="I165:I170"/>
    <mergeCell ref="L165:L176"/>
    <mergeCell ref="M165:M170"/>
    <mergeCell ref="R165:R170"/>
    <mergeCell ref="S165:S170"/>
    <mergeCell ref="B149:B160"/>
    <mergeCell ref="C149:C154"/>
    <mergeCell ref="L149:L160"/>
    <mergeCell ref="M149:M154"/>
    <mergeCell ref="C155:C160"/>
    <mergeCell ref="M155:M160"/>
    <mergeCell ref="B137:B148"/>
    <mergeCell ref="C137:C142"/>
    <mergeCell ref="L137:L148"/>
    <mergeCell ref="M137:M142"/>
    <mergeCell ref="C143:C148"/>
    <mergeCell ref="M143:M148"/>
    <mergeCell ref="C119:C124"/>
    <mergeCell ref="M119:M124"/>
    <mergeCell ref="B125:B136"/>
    <mergeCell ref="C125:C130"/>
    <mergeCell ref="L125:L136"/>
    <mergeCell ref="M125:M130"/>
    <mergeCell ref="C131:C136"/>
    <mergeCell ref="M131:M136"/>
    <mergeCell ref="B110:I110"/>
    <mergeCell ref="L110:S110"/>
    <mergeCell ref="B113:B124"/>
    <mergeCell ref="C113:C118"/>
    <mergeCell ref="H113:H118"/>
    <mergeCell ref="I113:I118"/>
    <mergeCell ref="L113:L124"/>
    <mergeCell ref="M113:M118"/>
    <mergeCell ref="R113:R118"/>
    <mergeCell ref="S113:S118"/>
    <mergeCell ref="B97:B108"/>
    <mergeCell ref="C97:C102"/>
    <mergeCell ref="L97:L108"/>
    <mergeCell ref="M97:M102"/>
    <mergeCell ref="C103:C108"/>
    <mergeCell ref="M103:M108"/>
    <mergeCell ref="B85:B96"/>
    <mergeCell ref="C85:C90"/>
    <mergeCell ref="L85:L96"/>
    <mergeCell ref="M85:M90"/>
    <mergeCell ref="C91:C96"/>
    <mergeCell ref="M91:M96"/>
    <mergeCell ref="C67:C72"/>
    <mergeCell ref="M67:M72"/>
    <mergeCell ref="B73:B84"/>
    <mergeCell ref="C73:C78"/>
    <mergeCell ref="L73:L84"/>
    <mergeCell ref="M73:M78"/>
    <mergeCell ref="C79:C84"/>
    <mergeCell ref="M79:M84"/>
    <mergeCell ref="B58:I58"/>
    <mergeCell ref="L58:S58"/>
    <mergeCell ref="B61:B72"/>
    <mergeCell ref="C61:C66"/>
    <mergeCell ref="H61:H66"/>
    <mergeCell ref="I61:I66"/>
    <mergeCell ref="L61:L72"/>
    <mergeCell ref="M61:M66"/>
    <mergeCell ref="R61:R66"/>
    <mergeCell ref="S61:S66"/>
    <mergeCell ref="C27:C32"/>
    <mergeCell ref="M27:M32"/>
    <mergeCell ref="B21:B32"/>
    <mergeCell ref="C21:C26"/>
    <mergeCell ref="L21:L32"/>
    <mergeCell ref="M21:M26"/>
    <mergeCell ref="B45:B56"/>
    <mergeCell ref="C45:C50"/>
    <mergeCell ref="L45:L56"/>
    <mergeCell ref="M45:M50"/>
    <mergeCell ref="C51:C56"/>
    <mergeCell ref="M51:M56"/>
    <mergeCell ref="B33:B44"/>
    <mergeCell ref="C33:C38"/>
    <mergeCell ref="L33:L44"/>
    <mergeCell ref="M33:M38"/>
    <mergeCell ref="C39:C44"/>
    <mergeCell ref="M39:M44"/>
    <mergeCell ref="C15:C20"/>
    <mergeCell ref="H15:H20"/>
    <mergeCell ref="I15:I20"/>
    <mergeCell ref="M15:M20"/>
    <mergeCell ref="R15:R20"/>
    <mergeCell ref="S15:S20"/>
    <mergeCell ref="B6:I6"/>
    <mergeCell ref="L6:S6"/>
    <mergeCell ref="B9:B20"/>
    <mergeCell ref="C9:C14"/>
    <mergeCell ref="H9:H14"/>
    <mergeCell ref="I9:I14"/>
    <mergeCell ref="L9:L20"/>
    <mergeCell ref="M9:M14"/>
    <mergeCell ref="R9:R14"/>
    <mergeCell ref="S9:S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S1020"/>
  <sheetViews>
    <sheetView topLeftCell="A979" zoomScale="50" zoomScaleNormal="50" workbookViewId="0">
      <selection activeCell="B970" sqref="B970:S1020"/>
    </sheetView>
  </sheetViews>
  <sheetFormatPr defaultRowHeight="15" x14ac:dyDescent="0.25"/>
  <cols>
    <col min="2" max="2" width="15.5703125" customWidth="1"/>
    <col min="3" max="3" width="10.85546875" customWidth="1"/>
    <col min="4" max="4" width="17.85546875" customWidth="1"/>
    <col min="5" max="5" width="15.85546875" customWidth="1"/>
    <col min="7" max="7" width="10.42578125" bestFit="1" customWidth="1"/>
    <col min="8" max="8" width="14.7109375" style="13" customWidth="1"/>
    <col min="9" max="9" width="35.85546875" style="13" bestFit="1" customWidth="1"/>
    <col min="12" max="12" width="13.7109375" customWidth="1"/>
    <col min="13" max="13" width="10.7109375" bestFit="1" customWidth="1"/>
    <col min="14" max="14" width="20.140625" customWidth="1"/>
    <col min="15" max="15" width="15.5703125" customWidth="1"/>
    <col min="17" max="17" width="10.42578125" bestFit="1" customWidth="1"/>
    <col min="18" max="18" width="10.42578125" customWidth="1"/>
    <col min="19" max="19" width="25.42578125" style="13" bestFit="1" customWidth="1"/>
    <col min="22" max="22" width="12.7109375" bestFit="1" customWidth="1"/>
    <col min="23" max="23" width="9.85546875" bestFit="1" customWidth="1"/>
    <col min="28" max="28" width="10.42578125" bestFit="1" customWidth="1"/>
    <col min="29" max="29" width="33" bestFit="1" customWidth="1"/>
  </cols>
  <sheetData>
    <row r="4" spans="2:19" ht="31.5" x14ac:dyDescent="0.5">
      <c r="B4" s="14"/>
      <c r="C4" s="14"/>
      <c r="D4" s="14"/>
      <c r="E4" s="14"/>
      <c r="F4" s="14"/>
      <c r="G4" s="14"/>
      <c r="H4" s="65"/>
    </row>
    <row r="5" spans="2:19" ht="15.75" thickBot="1" x14ac:dyDescent="0.3"/>
    <row r="6" spans="2:19" ht="15.75" thickBot="1" x14ac:dyDescent="0.3">
      <c r="B6" s="171" t="s">
        <v>343</v>
      </c>
      <c r="C6" s="172"/>
      <c r="D6" s="172"/>
      <c r="E6" s="172"/>
      <c r="F6" s="172"/>
      <c r="G6" s="172"/>
      <c r="H6" s="172"/>
      <c r="I6" s="173"/>
      <c r="L6" s="171" t="s">
        <v>344</v>
      </c>
      <c r="M6" s="172"/>
      <c r="N6" s="172"/>
      <c r="O6" s="172"/>
      <c r="P6" s="172"/>
      <c r="Q6" s="172"/>
      <c r="R6" s="172"/>
      <c r="S6" s="173"/>
    </row>
    <row r="8" spans="2:19" ht="26.25" thickBot="1" x14ac:dyDescent="0.3">
      <c r="B8" s="15" t="s">
        <v>70</v>
      </c>
      <c r="C8" s="16" t="s">
        <v>71</v>
      </c>
      <c r="D8" s="15" t="s">
        <v>72</v>
      </c>
      <c r="E8" s="17" t="s">
        <v>73</v>
      </c>
      <c r="F8" s="17" t="s">
        <v>74</v>
      </c>
      <c r="G8" s="15" t="s">
        <v>75</v>
      </c>
      <c r="H8" s="15" t="s">
        <v>55</v>
      </c>
      <c r="I8" s="15" t="s">
        <v>76</v>
      </c>
      <c r="L8" s="15" t="s">
        <v>70</v>
      </c>
      <c r="M8" s="16" t="s">
        <v>71</v>
      </c>
      <c r="N8" s="15" t="s">
        <v>72</v>
      </c>
      <c r="O8" s="17" t="s">
        <v>73</v>
      </c>
      <c r="P8" s="17" t="s">
        <v>74</v>
      </c>
      <c r="Q8" s="15" t="s">
        <v>75</v>
      </c>
      <c r="R8" s="15" t="s">
        <v>55</v>
      </c>
      <c r="S8" s="15" t="s">
        <v>76</v>
      </c>
    </row>
    <row r="9" spans="2:19" x14ac:dyDescent="0.25">
      <c r="B9" s="174" t="s">
        <v>2</v>
      </c>
      <c r="C9" s="168" t="s">
        <v>77</v>
      </c>
      <c r="D9" s="18" t="s">
        <v>2</v>
      </c>
      <c r="E9" s="19">
        <v>1</v>
      </c>
      <c r="F9" s="19">
        <v>1</v>
      </c>
      <c r="G9" s="18" t="s">
        <v>78</v>
      </c>
      <c r="H9" s="156" t="s">
        <v>141</v>
      </c>
      <c r="I9" s="165" t="s">
        <v>193</v>
      </c>
      <c r="L9" s="174" t="s">
        <v>2</v>
      </c>
      <c r="M9" s="168" t="s">
        <v>77</v>
      </c>
      <c r="N9" s="18" t="s">
        <v>2</v>
      </c>
      <c r="O9" s="19">
        <v>1</v>
      </c>
      <c r="P9" s="19">
        <v>1</v>
      </c>
      <c r="Q9" s="18" t="s">
        <v>78</v>
      </c>
      <c r="R9" s="156" t="s">
        <v>141</v>
      </c>
      <c r="S9" s="165" t="s">
        <v>201</v>
      </c>
    </row>
    <row r="10" spans="2:19" x14ac:dyDescent="0.25">
      <c r="B10" s="175"/>
      <c r="C10" s="169"/>
      <c r="D10" s="18" t="s">
        <v>3</v>
      </c>
      <c r="E10" s="19">
        <v>2</v>
      </c>
      <c r="F10" s="19">
        <v>2</v>
      </c>
      <c r="G10" s="18" t="s">
        <v>78</v>
      </c>
      <c r="H10" s="157"/>
      <c r="I10" s="166"/>
      <c r="L10" s="175"/>
      <c r="M10" s="169"/>
      <c r="N10" s="18" t="s">
        <v>3</v>
      </c>
      <c r="O10" s="19">
        <v>2</v>
      </c>
      <c r="P10" s="19">
        <v>2</v>
      </c>
      <c r="Q10" s="18" t="s">
        <v>78</v>
      </c>
      <c r="R10" s="157"/>
      <c r="S10" s="166"/>
    </row>
    <row r="11" spans="2:19" x14ac:dyDescent="0.25">
      <c r="B11" s="175"/>
      <c r="C11" s="169"/>
      <c r="D11" s="18" t="s">
        <v>80</v>
      </c>
      <c r="E11" s="20">
        <v>3</v>
      </c>
      <c r="F11" s="20">
        <v>3</v>
      </c>
      <c r="G11" s="18" t="s">
        <v>66</v>
      </c>
      <c r="H11" s="157"/>
      <c r="I11" s="166"/>
      <c r="L11" s="175"/>
      <c r="M11" s="169"/>
      <c r="N11" s="18" t="s">
        <v>80</v>
      </c>
      <c r="O11" s="20">
        <v>3</v>
      </c>
      <c r="P11" s="20">
        <v>3</v>
      </c>
      <c r="Q11" s="18" t="s">
        <v>66</v>
      </c>
      <c r="R11" s="157"/>
      <c r="S11" s="166"/>
    </row>
    <row r="12" spans="2:19" x14ac:dyDescent="0.25">
      <c r="B12" s="175"/>
      <c r="C12" s="169"/>
      <c r="D12" s="18" t="s">
        <v>81</v>
      </c>
      <c r="E12" s="20">
        <v>4</v>
      </c>
      <c r="F12" s="20">
        <v>4</v>
      </c>
      <c r="G12" s="18" t="s">
        <v>66</v>
      </c>
      <c r="H12" s="157"/>
      <c r="I12" s="166"/>
      <c r="L12" s="175"/>
      <c r="M12" s="169"/>
      <c r="N12" s="18" t="s">
        <v>81</v>
      </c>
      <c r="O12" s="20">
        <v>4</v>
      </c>
      <c r="P12" s="20">
        <v>4</v>
      </c>
      <c r="Q12" s="18" t="s">
        <v>66</v>
      </c>
      <c r="R12" s="157"/>
      <c r="S12" s="166"/>
    </row>
    <row r="13" spans="2:19" x14ac:dyDescent="0.25">
      <c r="B13" s="175"/>
      <c r="C13" s="169"/>
      <c r="D13" s="18" t="s">
        <v>82</v>
      </c>
      <c r="E13" s="20">
        <v>5</v>
      </c>
      <c r="F13" s="20">
        <v>5</v>
      </c>
      <c r="G13" s="18" t="s">
        <v>66</v>
      </c>
      <c r="H13" s="157"/>
      <c r="I13" s="166"/>
      <c r="L13" s="175"/>
      <c r="M13" s="169"/>
      <c r="N13" s="18" t="s">
        <v>82</v>
      </c>
      <c r="O13" s="20">
        <v>5</v>
      </c>
      <c r="P13" s="20">
        <v>5</v>
      </c>
      <c r="Q13" s="18" t="s">
        <v>66</v>
      </c>
      <c r="R13" s="157"/>
      <c r="S13" s="166"/>
    </row>
    <row r="14" spans="2:19" ht="15.75" thickBot="1" x14ac:dyDescent="0.3">
      <c r="B14" s="175"/>
      <c r="C14" s="170"/>
      <c r="D14" s="18" t="s">
        <v>83</v>
      </c>
      <c r="E14" s="20">
        <v>6</v>
      </c>
      <c r="F14" s="20">
        <v>6</v>
      </c>
      <c r="G14" s="18" t="s">
        <v>66</v>
      </c>
      <c r="H14" s="158"/>
      <c r="I14" s="167"/>
      <c r="L14" s="175"/>
      <c r="M14" s="170"/>
      <c r="N14" s="18" t="s">
        <v>83</v>
      </c>
      <c r="O14" s="20">
        <v>6</v>
      </c>
      <c r="P14" s="20">
        <v>6</v>
      </c>
      <c r="Q14" s="18" t="s">
        <v>66</v>
      </c>
      <c r="R14" s="158"/>
      <c r="S14" s="167"/>
    </row>
    <row r="15" spans="2:19" x14ac:dyDescent="0.25">
      <c r="B15" s="175"/>
      <c r="C15" s="168" t="s">
        <v>84</v>
      </c>
      <c r="D15" s="18" t="s">
        <v>2</v>
      </c>
      <c r="E15" s="19">
        <v>1</v>
      </c>
      <c r="F15" s="19">
        <v>7</v>
      </c>
      <c r="G15" s="18" t="s">
        <v>78</v>
      </c>
      <c r="H15" s="156" t="s">
        <v>130</v>
      </c>
      <c r="I15" s="165" t="s">
        <v>202</v>
      </c>
      <c r="L15" s="175"/>
      <c r="M15" s="168" t="s">
        <v>84</v>
      </c>
      <c r="N15" s="18" t="s">
        <v>2</v>
      </c>
      <c r="O15" s="19">
        <v>1</v>
      </c>
      <c r="P15" s="19">
        <v>7</v>
      </c>
      <c r="Q15" s="18" t="s">
        <v>78</v>
      </c>
      <c r="R15" s="156" t="s">
        <v>130</v>
      </c>
      <c r="S15" s="165" t="s">
        <v>209</v>
      </c>
    </row>
    <row r="16" spans="2:19" x14ac:dyDescent="0.25">
      <c r="B16" s="175"/>
      <c r="C16" s="169"/>
      <c r="D16" s="18" t="s">
        <v>3</v>
      </c>
      <c r="E16" s="19">
        <v>2</v>
      </c>
      <c r="F16" s="19">
        <v>8</v>
      </c>
      <c r="G16" s="18" t="s">
        <v>78</v>
      </c>
      <c r="H16" s="157"/>
      <c r="I16" s="166"/>
      <c r="L16" s="175"/>
      <c r="M16" s="169"/>
      <c r="N16" s="18" t="s">
        <v>3</v>
      </c>
      <c r="O16" s="19">
        <v>2</v>
      </c>
      <c r="P16" s="19">
        <v>8</v>
      </c>
      <c r="Q16" s="18" t="s">
        <v>78</v>
      </c>
      <c r="R16" s="157"/>
      <c r="S16" s="166"/>
    </row>
    <row r="17" spans="2:19" x14ac:dyDescent="0.25">
      <c r="B17" s="175"/>
      <c r="C17" s="169"/>
      <c r="D17" s="18" t="s">
        <v>80</v>
      </c>
      <c r="E17" s="20">
        <v>3</v>
      </c>
      <c r="F17" s="20">
        <v>9</v>
      </c>
      <c r="G17" s="18" t="s">
        <v>66</v>
      </c>
      <c r="H17" s="157"/>
      <c r="I17" s="166"/>
      <c r="L17" s="175"/>
      <c r="M17" s="169"/>
      <c r="N17" s="18" t="s">
        <v>80</v>
      </c>
      <c r="O17" s="20">
        <v>3</v>
      </c>
      <c r="P17" s="20">
        <v>9</v>
      </c>
      <c r="Q17" s="18" t="s">
        <v>66</v>
      </c>
      <c r="R17" s="157"/>
      <c r="S17" s="166"/>
    </row>
    <row r="18" spans="2:19" x14ac:dyDescent="0.25">
      <c r="B18" s="175"/>
      <c r="C18" s="169"/>
      <c r="D18" s="18" t="s">
        <v>81</v>
      </c>
      <c r="E18" s="20">
        <v>4</v>
      </c>
      <c r="F18" s="20">
        <v>10</v>
      </c>
      <c r="G18" s="18" t="s">
        <v>66</v>
      </c>
      <c r="H18" s="157"/>
      <c r="I18" s="166"/>
      <c r="L18" s="175"/>
      <c r="M18" s="169"/>
      <c r="N18" s="18" t="s">
        <v>81</v>
      </c>
      <c r="O18" s="20">
        <v>4</v>
      </c>
      <c r="P18" s="20">
        <v>10</v>
      </c>
      <c r="Q18" s="18" t="s">
        <v>66</v>
      </c>
      <c r="R18" s="157"/>
      <c r="S18" s="166"/>
    </row>
    <row r="19" spans="2:19" x14ac:dyDescent="0.25">
      <c r="B19" s="175"/>
      <c r="C19" s="169"/>
      <c r="D19" s="18" t="s">
        <v>82</v>
      </c>
      <c r="E19" s="20">
        <v>5</v>
      </c>
      <c r="F19" s="20">
        <v>11</v>
      </c>
      <c r="G19" s="18" t="s">
        <v>66</v>
      </c>
      <c r="H19" s="157"/>
      <c r="I19" s="166"/>
      <c r="L19" s="175"/>
      <c r="M19" s="169"/>
      <c r="N19" s="18" t="s">
        <v>82</v>
      </c>
      <c r="O19" s="20">
        <v>5</v>
      </c>
      <c r="P19" s="20">
        <v>11</v>
      </c>
      <c r="Q19" s="18" t="s">
        <v>66</v>
      </c>
      <c r="R19" s="157"/>
      <c r="S19" s="166"/>
    </row>
    <row r="20" spans="2:19" ht="15.75" thickBot="1" x14ac:dyDescent="0.3">
      <c r="B20" s="176"/>
      <c r="C20" s="170"/>
      <c r="D20" s="18" t="s">
        <v>83</v>
      </c>
      <c r="E20" s="20">
        <v>6</v>
      </c>
      <c r="F20" s="20">
        <v>12</v>
      </c>
      <c r="G20" s="18" t="s">
        <v>66</v>
      </c>
      <c r="H20" s="158"/>
      <c r="I20" s="167"/>
      <c r="L20" s="176"/>
      <c r="M20" s="170"/>
      <c r="N20" s="18" t="s">
        <v>83</v>
      </c>
      <c r="O20" s="20">
        <v>6</v>
      </c>
      <c r="P20" s="20">
        <v>12</v>
      </c>
      <c r="Q20" s="18" t="s">
        <v>66</v>
      </c>
      <c r="R20" s="158"/>
      <c r="S20" s="167"/>
    </row>
    <row r="21" spans="2:19" x14ac:dyDescent="0.25">
      <c r="B21" s="180" t="s">
        <v>3</v>
      </c>
      <c r="C21" s="177" t="s">
        <v>77</v>
      </c>
      <c r="D21" s="21" t="s">
        <v>2</v>
      </c>
      <c r="E21" s="22">
        <v>1</v>
      </c>
      <c r="F21" s="22">
        <v>13</v>
      </c>
      <c r="G21" s="21" t="s">
        <v>66</v>
      </c>
      <c r="H21" s="63"/>
      <c r="I21" s="64"/>
      <c r="L21" s="180" t="s">
        <v>3</v>
      </c>
      <c r="M21" s="177" t="s">
        <v>77</v>
      </c>
      <c r="N21" s="21" t="s">
        <v>2</v>
      </c>
      <c r="O21" s="22">
        <v>1</v>
      </c>
      <c r="P21" s="22">
        <v>13</v>
      </c>
      <c r="Q21" s="21" t="s">
        <v>66</v>
      </c>
      <c r="R21" s="63"/>
      <c r="S21" s="64"/>
    </row>
    <row r="22" spans="2:19" x14ac:dyDescent="0.25">
      <c r="B22" s="181"/>
      <c r="C22" s="178"/>
      <c r="D22" s="23" t="s">
        <v>3</v>
      </c>
      <c r="E22" s="24">
        <v>2</v>
      </c>
      <c r="F22" s="24">
        <v>14</v>
      </c>
      <c r="G22" s="23" t="s">
        <v>66</v>
      </c>
      <c r="H22" s="63"/>
      <c r="I22" s="64"/>
      <c r="L22" s="181"/>
      <c r="M22" s="178"/>
      <c r="N22" s="23" t="s">
        <v>3</v>
      </c>
      <c r="O22" s="24">
        <v>2</v>
      </c>
      <c r="P22" s="24">
        <v>14</v>
      </c>
      <c r="Q22" s="23" t="s">
        <v>66</v>
      </c>
      <c r="R22" s="63"/>
      <c r="S22" s="64"/>
    </row>
    <row r="23" spans="2:19" x14ac:dyDescent="0.25">
      <c r="B23" s="181"/>
      <c r="C23" s="178"/>
      <c r="D23" s="23" t="s">
        <v>80</v>
      </c>
      <c r="E23" s="24">
        <v>3</v>
      </c>
      <c r="F23" s="24">
        <v>15</v>
      </c>
      <c r="G23" s="23" t="s">
        <v>66</v>
      </c>
      <c r="H23" s="63"/>
      <c r="I23" s="64"/>
      <c r="L23" s="181"/>
      <c r="M23" s="178"/>
      <c r="N23" s="23" t="s">
        <v>80</v>
      </c>
      <c r="O23" s="24">
        <v>3</v>
      </c>
      <c r="P23" s="24">
        <v>15</v>
      </c>
      <c r="Q23" s="23" t="s">
        <v>66</v>
      </c>
      <c r="R23" s="63"/>
      <c r="S23" s="64"/>
    </row>
    <row r="24" spans="2:19" x14ac:dyDescent="0.25">
      <c r="B24" s="181"/>
      <c r="C24" s="178"/>
      <c r="D24" s="23" t="s">
        <v>81</v>
      </c>
      <c r="E24" s="24">
        <v>4</v>
      </c>
      <c r="F24" s="24">
        <v>16</v>
      </c>
      <c r="G24" s="23" t="s">
        <v>66</v>
      </c>
      <c r="H24" s="63"/>
      <c r="I24" s="64"/>
      <c r="L24" s="181"/>
      <c r="M24" s="178"/>
      <c r="N24" s="23" t="s">
        <v>81</v>
      </c>
      <c r="O24" s="24">
        <v>4</v>
      </c>
      <c r="P24" s="24">
        <v>16</v>
      </c>
      <c r="Q24" s="23" t="s">
        <v>66</v>
      </c>
      <c r="R24" s="63"/>
      <c r="S24" s="64"/>
    </row>
    <row r="25" spans="2:19" x14ac:dyDescent="0.25">
      <c r="B25" s="181"/>
      <c r="C25" s="178"/>
      <c r="D25" s="23" t="s">
        <v>82</v>
      </c>
      <c r="E25" s="24">
        <v>5</v>
      </c>
      <c r="F25" s="24">
        <v>17</v>
      </c>
      <c r="G25" s="23" t="s">
        <v>66</v>
      </c>
      <c r="H25" s="63"/>
      <c r="I25" s="64"/>
      <c r="L25" s="181"/>
      <c r="M25" s="178"/>
      <c r="N25" s="23" t="s">
        <v>82</v>
      </c>
      <c r="O25" s="24">
        <v>5</v>
      </c>
      <c r="P25" s="24">
        <v>17</v>
      </c>
      <c r="Q25" s="23" t="s">
        <v>66</v>
      </c>
      <c r="R25" s="63"/>
      <c r="S25" s="64"/>
    </row>
    <row r="26" spans="2:19" ht="15.75" thickBot="1" x14ac:dyDescent="0.3">
      <c r="B26" s="181"/>
      <c r="C26" s="179"/>
      <c r="D26" s="23" t="s">
        <v>83</v>
      </c>
      <c r="E26" s="24">
        <v>6</v>
      </c>
      <c r="F26" s="24">
        <v>18</v>
      </c>
      <c r="G26" s="23" t="s">
        <v>66</v>
      </c>
      <c r="H26" s="63"/>
      <c r="I26" s="64"/>
      <c r="L26" s="181"/>
      <c r="M26" s="179"/>
      <c r="N26" s="23" t="s">
        <v>83</v>
      </c>
      <c r="O26" s="24">
        <v>6</v>
      </c>
      <c r="P26" s="24">
        <v>18</v>
      </c>
      <c r="Q26" s="23" t="s">
        <v>66</v>
      </c>
      <c r="R26" s="63"/>
      <c r="S26" s="64"/>
    </row>
    <row r="27" spans="2:19" x14ac:dyDescent="0.25">
      <c r="B27" s="181"/>
      <c r="C27" s="177" t="s">
        <v>84</v>
      </c>
      <c r="D27" s="23" t="s">
        <v>2</v>
      </c>
      <c r="E27" s="24">
        <v>1</v>
      </c>
      <c r="F27" s="24">
        <v>19</v>
      </c>
      <c r="G27" s="21" t="s">
        <v>66</v>
      </c>
      <c r="H27" s="63"/>
      <c r="I27" s="64"/>
      <c r="L27" s="181"/>
      <c r="M27" s="177" t="s">
        <v>84</v>
      </c>
      <c r="N27" s="23" t="s">
        <v>2</v>
      </c>
      <c r="O27" s="24">
        <v>1</v>
      </c>
      <c r="P27" s="24">
        <v>19</v>
      </c>
      <c r="Q27" s="21" t="s">
        <v>66</v>
      </c>
      <c r="R27" s="63"/>
      <c r="S27" s="64"/>
    </row>
    <row r="28" spans="2:19" x14ac:dyDescent="0.25">
      <c r="B28" s="181"/>
      <c r="C28" s="178"/>
      <c r="D28" s="23" t="s">
        <v>3</v>
      </c>
      <c r="E28" s="24">
        <v>2</v>
      </c>
      <c r="F28" s="24">
        <v>20</v>
      </c>
      <c r="G28" s="23" t="s">
        <v>66</v>
      </c>
      <c r="H28" s="63"/>
      <c r="I28" s="64"/>
      <c r="L28" s="181"/>
      <c r="M28" s="178"/>
      <c r="N28" s="23" t="s">
        <v>3</v>
      </c>
      <c r="O28" s="24">
        <v>2</v>
      </c>
      <c r="P28" s="24">
        <v>20</v>
      </c>
      <c r="Q28" s="23" t="s">
        <v>66</v>
      </c>
      <c r="R28" s="63"/>
      <c r="S28" s="64"/>
    </row>
    <row r="29" spans="2:19" x14ac:dyDescent="0.25">
      <c r="B29" s="181"/>
      <c r="C29" s="178"/>
      <c r="D29" s="23" t="s">
        <v>80</v>
      </c>
      <c r="E29" s="26">
        <v>3</v>
      </c>
      <c r="F29" s="24">
        <v>21</v>
      </c>
      <c r="G29" s="23" t="s">
        <v>66</v>
      </c>
      <c r="H29" s="63"/>
      <c r="I29" s="64"/>
      <c r="L29" s="181"/>
      <c r="M29" s="178"/>
      <c r="N29" s="23" t="s">
        <v>80</v>
      </c>
      <c r="O29" s="26">
        <v>3</v>
      </c>
      <c r="P29" s="24">
        <v>21</v>
      </c>
      <c r="Q29" s="23" t="s">
        <v>66</v>
      </c>
      <c r="R29" s="63"/>
      <c r="S29" s="64"/>
    </row>
    <row r="30" spans="2:19" x14ac:dyDescent="0.25">
      <c r="B30" s="181"/>
      <c r="C30" s="178"/>
      <c r="D30" s="23" t="s">
        <v>81</v>
      </c>
      <c r="E30" s="24">
        <v>4</v>
      </c>
      <c r="F30" s="24">
        <v>22</v>
      </c>
      <c r="G30" s="23" t="s">
        <v>66</v>
      </c>
      <c r="H30" s="63"/>
      <c r="I30" s="64"/>
      <c r="L30" s="181"/>
      <c r="M30" s="178"/>
      <c r="N30" s="23" t="s">
        <v>81</v>
      </c>
      <c r="O30" s="24">
        <v>4</v>
      </c>
      <c r="P30" s="24">
        <v>22</v>
      </c>
      <c r="Q30" s="23" t="s">
        <v>66</v>
      </c>
      <c r="R30" s="63"/>
      <c r="S30" s="64"/>
    </row>
    <row r="31" spans="2:19" x14ac:dyDescent="0.25">
      <c r="B31" s="181"/>
      <c r="C31" s="178"/>
      <c r="D31" s="23" t="s">
        <v>82</v>
      </c>
      <c r="E31" s="24">
        <v>5</v>
      </c>
      <c r="F31" s="24">
        <v>23</v>
      </c>
      <c r="G31" s="23" t="s">
        <v>66</v>
      </c>
      <c r="H31" s="63"/>
      <c r="I31" s="64"/>
      <c r="L31" s="181"/>
      <c r="M31" s="178"/>
      <c r="N31" s="23" t="s">
        <v>82</v>
      </c>
      <c r="O31" s="24">
        <v>5</v>
      </c>
      <c r="P31" s="24">
        <v>23</v>
      </c>
      <c r="Q31" s="23" t="s">
        <v>66</v>
      </c>
      <c r="R31" s="63"/>
      <c r="S31" s="64"/>
    </row>
    <row r="32" spans="2:19" ht="15.75" thickBot="1" x14ac:dyDescent="0.3">
      <c r="B32" s="182"/>
      <c r="C32" s="179"/>
      <c r="D32" s="23" t="s">
        <v>83</v>
      </c>
      <c r="E32" s="24">
        <v>6</v>
      </c>
      <c r="F32" s="24">
        <v>24</v>
      </c>
      <c r="G32" s="23" t="s">
        <v>66</v>
      </c>
      <c r="H32" s="63"/>
      <c r="I32" s="64"/>
      <c r="L32" s="182"/>
      <c r="M32" s="179"/>
      <c r="N32" s="23" t="s">
        <v>83</v>
      </c>
      <c r="O32" s="24">
        <v>6</v>
      </c>
      <c r="P32" s="24">
        <v>24</v>
      </c>
      <c r="Q32" s="23" t="s">
        <v>66</v>
      </c>
      <c r="R32" s="63"/>
      <c r="S32" s="64"/>
    </row>
    <row r="33" spans="2:19" x14ac:dyDescent="0.25">
      <c r="B33" s="189" t="s">
        <v>80</v>
      </c>
      <c r="C33" s="192" t="s">
        <v>77</v>
      </c>
      <c r="D33" s="27" t="s">
        <v>2</v>
      </c>
      <c r="E33" s="28">
        <v>1</v>
      </c>
      <c r="F33" s="28">
        <v>25</v>
      </c>
      <c r="G33" s="27" t="s">
        <v>66</v>
      </c>
      <c r="H33" s="27"/>
      <c r="I33" s="48"/>
      <c r="L33" s="189" t="s">
        <v>80</v>
      </c>
      <c r="M33" s="192" t="s">
        <v>77</v>
      </c>
      <c r="N33" s="27" t="s">
        <v>2</v>
      </c>
      <c r="O33" s="28">
        <v>1</v>
      </c>
      <c r="P33" s="28">
        <v>25</v>
      </c>
      <c r="Q33" s="27" t="s">
        <v>66</v>
      </c>
      <c r="R33" s="27"/>
      <c r="S33" s="48"/>
    </row>
    <row r="34" spans="2:19" x14ac:dyDescent="0.25">
      <c r="B34" s="190"/>
      <c r="C34" s="193"/>
      <c r="D34" s="27" t="s">
        <v>3</v>
      </c>
      <c r="E34" s="28">
        <v>2</v>
      </c>
      <c r="F34" s="28">
        <v>26</v>
      </c>
      <c r="G34" s="27" t="s">
        <v>66</v>
      </c>
      <c r="H34" s="27"/>
      <c r="I34" s="48"/>
      <c r="L34" s="190"/>
      <c r="M34" s="193"/>
      <c r="N34" s="27" t="s">
        <v>3</v>
      </c>
      <c r="O34" s="28">
        <v>2</v>
      </c>
      <c r="P34" s="28">
        <v>26</v>
      </c>
      <c r="Q34" s="27" t="s">
        <v>66</v>
      </c>
      <c r="R34" s="27"/>
      <c r="S34" s="48"/>
    </row>
    <row r="35" spans="2:19" x14ac:dyDescent="0.25">
      <c r="B35" s="190"/>
      <c r="C35" s="193"/>
      <c r="D35" s="27" t="s">
        <v>80</v>
      </c>
      <c r="E35" s="28">
        <v>3</v>
      </c>
      <c r="F35" s="28">
        <v>27</v>
      </c>
      <c r="G35" s="27" t="s">
        <v>66</v>
      </c>
      <c r="H35" s="27"/>
      <c r="I35" s="48"/>
      <c r="L35" s="190"/>
      <c r="M35" s="193"/>
      <c r="N35" s="27" t="s">
        <v>80</v>
      </c>
      <c r="O35" s="28">
        <v>3</v>
      </c>
      <c r="P35" s="28">
        <v>27</v>
      </c>
      <c r="Q35" s="27" t="s">
        <v>66</v>
      </c>
      <c r="R35" s="27"/>
      <c r="S35" s="48"/>
    </row>
    <row r="36" spans="2:19" x14ac:dyDescent="0.25">
      <c r="B36" s="190"/>
      <c r="C36" s="193"/>
      <c r="D36" s="27" t="s">
        <v>81</v>
      </c>
      <c r="E36" s="28">
        <v>4</v>
      </c>
      <c r="F36" s="28">
        <v>28</v>
      </c>
      <c r="G36" s="27" t="s">
        <v>66</v>
      </c>
      <c r="H36" s="27"/>
      <c r="I36" s="48"/>
      <c r="L36" s="190"/>
      <c r="M36" s="193"/>
      <c r="N36" s="27" t="s">
        <v>81</v>
      </c>
      <c r="O36" s="28">
        <v>4</v>
      </c>
      <c r="P36" s="28">
        <v>28</v>
      </c>
      <c r="Q36" s="27" t="s">
        <v>66</v>
      </c>
      <c r="R36" s="27"/>
      <c r="S36" s="48"/>
    </row>
    <row r="37" spans="2:19" x14ac:dyDescent="0.25">
      <c r="B37" s="190"/>
      <c r="C37" s="193"/>
      <c r="D37" s="27" t="s">
        <v>82</v>
      </c>
      <c r="E37" s="28">
        <v>5</v>
      </c>
      <c r="F37" s="28">
        <v>29</v>
      </c>
      <c r="G37" s="27" t="s">
        <v>66</v>
      </c>
      <c r="H37" s="27"/>
      <c r="I37" s="48"/>
      <c r="L37" s="190"/>
      <c r="M37" s="193"/>
      <c r="N37" s="27" t="s">
        <v>82</v>
      </c>
      <c r="O37" s="28">
        <v>5</v>
      </c>
      <c r="P37" s="28">
        <v>29</v>
      </c>
      <c r="Q37" s="27" t="s">
        <v>66</v>
      </c>
      <c r="R37" s="27"/>
      <c r="S37" s="48"/>
    </row>
    <row r="38" spans="2:19" ht="15.75" thickBot="1" x14ac:dyDescent="0.3">
      <c r="B38" s="190"/>
      <c r="C38" s="194"/>
      <c r="D38" s="27" t="s">
        <v>83</v>
      </c>
      <c r="E38" s="28">
        <v>6</v>
      </c>
      <c r="F38" s="28">
        <v>30</v>
      </c>
      <c r="G38" s="27" t="s">
        <v>66</v>
      </c>
      <c r="H38" s="27"/>
      <c r="I38" s="48"/>
      <c r="L38" s="190"/>
      <c r="M38" s="194"/>
      <c r="N38" s="27" t="s">
        <v>83</v>
      </c>
      <c r="O38" s="28">
        <v>6</v>
      </c>
      <c r="P38" s="28">
        <v>30</v>
      </c>
      <c r="Q38" s="27" t="s">
        <v>66</v>
      </c>
      <c r="R38" s="27"/>
      <c r="S38" s="48"/>
    </row>
    <row r="39" spans="2:19" x14ac:dyDescent="0.25">
      <c r="B39" s="190"/>
      <c r="C39" s="192" t="s">
        <v>84</v>
      </c>
      <c r="D39" s="27" t="s">
        <v>2</v>
      </c>
      <c r="E39" s="28">
        <v>1</v>
      </c>
      <c r="F39" s="28">
        <v>31</v>
      </c>
      <c r="G39" s="27" t="s">
        <v>66</v>
      </c>
      <c r="H39" s="27"/>
      <c r="I39" s="48"/>
      <c r="L39" s="190"/>
      <c r="M39" s="192" t="s">
        <v>84</v>
      </c>
      <c r="N39" s="27" t="s">
        <v>2</v>
      </c>
      <c r="O39" s="28">
        <v>1</v>
      </c>
      <c r="P39" s="28">
        <v>31</v>
      </c>
      <c r="Q39" s="27" t="s">
        <v>66</v>
      </c>
      <c r="R39" s="27"/>
      <c r="S39" s="48"/>
    </row>
    <row r="40" spans="2:19" x14ac:dyDescent="0.25">
      <c r="B40" s="190"/>
      <c r="C40" s="193"/>
      <c r="D40" s="27" t="s">
        <v>3</v>
      </c>
      <c r="E40" s="28">
        <v>2</v>
      </c>
      <c r="F40" s="28">
        <v>32</v>
      </c>
      <c r="G40" s="27" t="s">
        <v>66</v>
      </c>
      <c r="H40" s="27"/>
      <c r="I40" s="48"/>
      <c r="L40" s="190"/>
      <c r="M40" s="193"/>
      <c r="N40" s="27" t="s">
        <v>3</v>
      </c>
      <c r="O40" s="28">
        <v>2</v>
      </c>
      <c r="P40" s="28">
        <v>32</v>
      </c>
      <c r="Q40" s="27" t="s">
        <v>66</v>
      </c>
      <c r="R40" s="27"/>
      <c r="S40" s="48"/>
    </row>
    <row r="41" spans="2:19" x14ac:dyDescent="0.25">
      <c r="B41" s="190"/>
      <c r="C41" s="193"/>
      <c r="D41" s="27" t="s">
        <v>80</v>
      </c>
      <c r="E41" s="28">
        <v>3</v>
      </c>
      <c r="F41" s="28">
        <v>33</v>
      </c>
      <c r="G41" s="27" t="s">
        <v>66</v>
      </c>
      <c r="H41" s="27"/>
      <c r="I41" s="48"/>
      <c r="L41" s="190"/>
      <c r="M41" s="193"/>
      <c r="N41" s="27" t="s">
        <v>80</v>
      </c>
      <c r="O41" s="28">
        <v>3</v>
      </c>
      <c r="P41" s="28">
        <v>33</v>
      </c>
      <c r="Q41" s="27" t="s">
        <v>66</v>
      </c>
      <c r="R41" s="27"/>
      <c r="S41" s="48"/>
    </row>
    <row r="42" spans="2:19" x14ac:dyDescent="0.25">
      <c r="B42" s="190"/>
      <c r="C42" s="193"/>
      <c r="D42" s="27" t="s">
        <v>81</v>
      </c>
      <c r="E42" s="28">
        <v>4</v>
      </c>
      <c r="F42" s="28">
        <v>34</v>
      </c>
      <c r="G42" s="27" t="s">
        <v>66</v>
      </c>
      <c r="H42" s="27"/>
      <c r="I42" s="48"/>
      <c r="L42" s="190"/>
      <c r="M42" s="193"/>
      <c r="N42" s="27" t="s">
        <v>81</v>
      </c>
      <c r="O42" s="28">
        <v>4</v>
      </c>
      <c r="P42" s="28">
        <v>34</v>
      </c>
      <c r="Q42" s="27" t="s">
        <v>66</v>
      </c>
      <c r="R42" s="27"/>
      <c r="S42" s="48"/>
    </row>
    <row r="43" spans="2:19" x14ac:dyDescent="0.25">
      <c r="B43" s="190"/>
      <c r="C43" s="193"/>
      <c r="D43" s="27" t="s">
        <v>82</v>
      </c>
      <c r="E43" s="28">
        <v>5</v>
      </c>
      <c r="F43" s="28">
        <v>35</v>
      </c>
      <c r="G43" s="27" t="s">
        <v>66</v>
      </c>
      <c r="H43" s="27"/>
      <c r="I43" s="48"/>
      <c r="L43" s="190"/>
      <c r="M43" s="193"/>
      <c r="N43" s="27" t="s">
        <v>82</v>
      </c>
      <c r="O43" s="28">
        <v>5</v>
      </c>
      <c r="P43" s="28">
        <v>35</v>
      </c>
      <c r="Q43" s="27" t="s">
        <v>66</v>
      </c>
      <c r="R43" s="27"/>
      <c r="S43" s="48"/>
    </row>
    <row r="44" spans="2:19" ht="15.75" thickBot="1" x14ac:dyDescent="0.3">
      <c r="B44" s="191"/>
      <c r="C44" s="194"/>
      <c r="D44" s="27" t="s">
        <v>83</v>
      </c>
      <c r="E44" s="28">
        <v>6</v>
      </c>
      <c r="F44" s="28">
        <v>36</v>
      </c>
      <c r="G44" s="27" t="s">
        <v>66</v>
      </c>
      <c r="H44" s="27"/>
      <c r="I44" s="48"/>
      <c r="L44" s="191"/>
      <c r="M44" s="194"/>
      <c r="N44" s="27" t="s">
        <v>83</v>
      </c>
      <c r="O44" s="28">
        <v>6</v>
      </c>
      <c r="P44" s="28">
        <v>36</v>
      </c>
      <c r="Q44" s="27" t="s">
        <v>66</v>
      </c>
      <c r="R44" s="27"/>
      <c r="S44" s="48"/>
    </row>
    <row r="45" spans="2:19" ht="15" customHeight="1" x14ac:dyDescent="0.25">
      <c r="B45" s="183" t="s">
        <v>81</v>
      </c>
      <c r="C45" s="186" t="s">
        <v>77</v>
      </c>
      <c r="D45" s="29" t="s">
        <v>2</v>
      </c>
      <c r="E45" s="30">
        <v>1</v>
      </c>
      <c r="F45" s="30">
        <v>37</v>
      </c>
      <c r="G45" s="29" t="s">
        <v>66</v>
      </c>
      <c r="H45" s="31"/>
      <c r="I45" s="60"/>
      <c r="L45" s="183" t="s">
        <v>81</v>
      </c>
      <c r="M45" s="186" t="s">
        <v>77</v>
      </c>
      <c r="N45" s="29" t="s">
        <v>2</v>
      </c>
      <c r="O45" s="30">
        <v>1</v>
      </c>
      <c r="P45" s="30">
        <v>37</v>
      </c>
      <c r="Q45" s="29" t="s">
        <v>66</v>
      </c>
      <c r="R45" s="31"/>
      <c r="S45" s="60"/>
    </row>
    <row r="46" spans="2:19" x14ac:dyDescent="0.25">
      <c r="B46" s="184"/>
      <c r="C46" s="187"/>
      <c r="D46" s="29" t="s">
        <v>3</v>
      </c>
      <c r="E46" s="30">
        <v>2</v>
      </c>
      <c r="F46" s="30">
        <v>38</v>
      </c>
      <c r="G46" s="29" t="s">
        <v>66</v>
      </c>
      <c r="H46" s="31"/>
      <c r="I46" s="60"/>
      <c r="L46" s="184"/>
      <c r="M46" s="187"/>
      <c r="N46" s="29" t="s">
        <v>3</v>
      </c>
      <c r="O46" s="30">
        <v>2</v>
      </c>
      <c r="P46" s="30">
        <v>38</v>
      </c>
      <c r="Q46" s="29" t="s">
        <v>66</v>
      </c>
      <c r="R46" s="31"/>
      <c r="S46" s="60"/>
    </row>
    <row r="47" spans="2:19" x14ac:dyDescent="0.25">
      <c r="B47" s="184"/>
      <c r="C47" s="187"/>
      <c r="D47" s="29" t="s">
        <v>80</v>
      </c>
      <c r="E47" s="30">
        <v>3</v>
      </c>
      <c r="F47" s="30">
        <v>39</v>
      </c>
      <c r="G47" s="29" t="s">
        <v>66</v>
      </c>
      <c r="H47" s="31"/>
      <c r="I47" s="60"/>
      <c r="L47" s="184"/>
      <c r="M47" s="187"/>
      <c r="N47" s="29" t="s">
        <v>80</v>
      </c>
      <c r="O47" s="30">
        <v>3</v>
      </c>
      <c r="P47" s="30">
        <v>39</v>
      </c>
      <c r="Q47" s="29" t="s">
        <v>66</v>
      </c>
      <c r="R47" s="31"/>
      <c r="S47" s="60"/>
    </row>
    <row r="48" spans="2:19" x14ac:dyDescent="0.25">
      <c r="B48" s="184"/>
      <c r="C48" s="187"/>
      <c r="D48" s="29" t="s">
        <v>81</v>
      </c>
      <c r="E48" s="30">
        <v>4</v>
      </c>
      <c r="F48" s="30">
        <v>40</v>
      </c>
      <c r="G48" s="29" t="s">
        <v>66</v>
      </c>
      <c r="H48" s="31"/>
      <c r="I48" s="60"/>
      <c r="L48" s="184"/>
      <c r="M48" s="187"/>
      <c r="N48" s="29" t="s">
        <v>81</v>
      </c>
      <c r="O48" s="30">
        <v>4</v>
      </c>
      <c r="P48" s="30">
        <v>40</v>
      </c>
      <c r="Q48" s="29" t="s">
        <v>66</v>
      </c>
      <c r="R48" s="31"/>
      <c r="S48" s="60"/>
    </row>
    <row r="49" spans="2:19" x14ac:dyDescent="0.25">
      <c r="B49" s="184"/>
      <c r="C49" s="187"/>
      <c r="D49" s="29" t="s">
        <v>82</v>
      </c>
      <c r="E49" s="30">
        <v>5</v>
      </c>
      <c r="F49" s="30">
        <v>41</v>
      </c>
      <c r="G49" s="29" t="s">
        <v>66</v>
      </c>
      <c r="H49" s="31"/>
      <c r="I49" s="60"/>
      <c r="L49" s="184"/>
      <c r="M49" s="187"/>
      <c r="N49" s="29" t="s">
        <v>82</v>
      </c>
      <c r="O49" s="30">
        <v>5</v>
      </c>
      <c r="P49" s="30">
        <v>41</v>
      </c>
      <c r="Q49" s="29" t="s">
        <v>66</v>
      </c>
      <c r="R49" s="31"/>
      <c r="S49" s="60"/>
    </row>
    <row r="50" spans="2:19" ht="15.75" thickBot="1" x14ac:dyDescent="0.3">
      <c r="B50" s="184"/>
      <c r="C50" s="188"/>
      <c r="D50" s="29" t="s">
        <v>83</v>
      </c>
      <c r="E50" s="30">
        <v>6</v>
      </c>
      <c r="F50" s="30">
        <v>42</v>
      </c>
      <c r="G50" s="29" t="s">
        <v>66</v>
      </c>
      <c r="H50" s="31"/>
      <c r="I50" s="60"/>
      <c r="L50" s="184"/>
      <c r="M50" s="188"/>
      <c r="N50" s="29" t="s">
        <v>83</v>
      </c>
      <c r="O50" s="30">
        <v>6</v>
      </c>
      <c r="P50" s="30">
        <v>42</v>
      </c>
      <c r="Q50" s="29" t="s">
        <v>66</v>
      </c>
      <c r="R50" s="31"/>
      <c r="S50" s="60"/>
    </row>
    <row r="51" spans="2:19" x14ac:dyDescent="0.25">
      <c r="B51" s="184"/>
      <c r="C51" s="186" t="s">
        <v>84</v>
      </c>
      <c r="D51" s="29" t="s">
        <v>2</v>
      </c>
      <c r="E51" s="30">
        <v>1</v>
      </c>
      <c r="F51" s="30">
        <v>43</v>
      </c>
      <c r="G51" s="29" t="s">
        <v>66</v>
      </c>
      <c r="H51" s="29"/>
      <c r="I51" s="49"/>
      <c r="L51" s="184"/>
      <c r="M51" s="186" t="s">
        <v>84</v>
      </c>
      <c r="N51" s="29" t="s">
        <v>2</v>
      </c>
      <c r="O51" s="30">
        <v>1</v>
      </c>
      <c r="P51" s="30">
        <v>43</v>
      </c>
      <c r="Q51" s="29" t="s">
        <v>66</v>
      </c>
      <c r="R51" s="29"/>
      <c r="S51" s="49"/>
    </row>
    <row r="52" spans="2:19" x14ac:dyDescent="0.25">
      <c r="B52" s="184"/>
      <c r="C52" s="187"/>
      <c r="D52" s="29" t="s">
        <v>3</v>
      </c>
      <c r="E52" s="30">
        <v>2</v>
      </c>
      <c r="F52" s="30">
        <v>44</v>
      </c>
      <c r="G52" s="29" t="s">
        <v>66</v>
      </c>
      <c r="H52" s="29"/>
      <c r="I52" s="49"/>
      <c r="L52" s="184"/>
      <c r="M52" s="187"/>
      <c r="N52" s="29" t="s">
        <v>3</v>
      </c>
      <c r="O52" s="30">
        <v>2</v>
      </c>
      <c r="P52" s="30">
        <v>44</v>
      </c>
      <c r="Q52" s="29" t="s">
        <v>66</v>
      </c>
      <c r="R52" s="29"/>
      <c r="S52" s="49"/>
    </row>
    <row r="53" spans="2:19" x14ac:dyDescent="0.25">
      <c r="B53" s="184"/>
      <c r="C53" s="187"/>
      <c r="D53" s="29" t="s">
        <v>80</v>
      </c>
      <c r="E53" s="30">
        <v>3</v>
      </c>
      <c r="F53" s="30">
        <v>45</v>
      </c>
      <c r="G53" s="29" t="s">
        <v>66</v>
      </c>
      <c r="H53" s="29"/>
      <c r="I53" s="49"/>
      <c r="L53" s="184"/>
      <c r="M53" s="187"/>
      <c r="N53" s="29" t="s">
        <v>80</v>
      </c>
      <c r="O53" s="30">
        <v>3</v>
      </c>
      <c r="P53" s="30">
        <v>45</v>
      </c>
      <c r="Q53" s="29" t="s">
        <v>66</v>
      </c>
      <c r="R53" s="29"/>
      <c r="S53" s="49"/>
    </row>
    <row r="54" spans="2:19" x14ac:dyDescent="0.25">
      <c r="B54" s="184"/>
      <c r="C54" s="187"/>
      <c r="D54" s="29" t="s">
        <v>81</v>
      </c>
      <c r="E54" s="30">
        <v>4</v>
      </c>
      <c r="F54" s="30">
        <v>46</v>
      </c>
      <c r="G54" s="29" t="s">
        <v>66</v>
      </c>
      <c r="H54" s="29"/>
      <c r="I54" s="49"/>
      <c r="L54" s="184"/>
      <c r="M54" s="187"/>
      <c r="N54" s="29" t="s">
        <v>81</v>
      </c>
      <c r="O54" s="30">
        <v>4</v>
      </c>
      <c r="P54" s="30">
        <v>46</v>
      </c>
      <c r="Q54" s="29" t="s">
        <v>66</v>
      </c>
      <c r="R54" s="29"/>
      <c r="S54" s="49"/>
    </row>
    <row r="55" spans="2:19" x14ac:dyDescent="0.25">
      <c r="B55" s="184"/>
      <c r="C55" s="187"/>
      <c r="D55" s="29" t="s">
        <v>82</v>
      </c>
      <c r="E55" s="30">
        <v>5</v>
      </c>
      <c r="F55" s="30">
        <v>47</v>
      </c>
      <c r="G55" s="29" t="s">
        <v>66</v>
      </c>
      <c r="H55" s="29"/>
      <c r="I55" s="49"/>
      <c r="L55" s="184"/>
      <c r="M55" s="187"/>
      <c r="N55" s="29" t="s">
        <v>82</v>
      </c>
      <c r="O55" s="30">
        <v>5</v>
      </c>
      <c r="P55" s="30">
        <v>47</v>
      </c>
      <c r="Q55" s="29" t="s">
        <v>66</v>
      </c>
      <c r="R55" s="29"/>
      <c r="S55" s="49"/>
    </row>
    <row r="56" spans="2:19" ht="15.75" thickBot="1" x14ac:dyDescent="0.3">
      <c r="B56" s="185"/>
      <c r="C56" s="188"/>
      <c r="D56" s="29" t="s">
        <v>83</v>
      </c>
      <c r="E56" s="30">
        <v>6</v>
      </c>
      <c r="F56" s="30">
        <v>48</v>
      </c>
      <c r="G56" s="29" t="s">
        <v>66</v>
      </c>
      <c r="H56" s="29"/>
      <c r="I56" s="49"/>
      <c r="L56" s="185"/>
      <c r="M56" s="188"/>
      <c r="N56" s="29" t="s">
        <v>83</v>
      </c>
      <c r="O56" s="30">
        <v>6</v>
      </c>
      <c r="P56" s="30">
        <v>48</v>
      </c>
      <c r="Q56" s="29" t="s">
        <v>66</v>
      </c>
      <c r="R56" s="29"/>
      <c r="S56" s="49"/>
    </row>
    <row r="57" spans="2:19" ht="15.75" thickBot="1" x14ac:dyDescent="0.3"/>
    <row r="58" spans="2:19" ht="15.75" thickBot="1" x14ac:dyDescent="0.3">
      <c r="B58" s="171" t="s">
        <v>346</v>
      </c>
      <c r="C58" s="172"/>
      <c r="D58" s="172"/>
      <c r="E58" s="172"/>
      <c r="F58" s="172"/>
      <c r="G58" s="172"/>
      <c r="H58" s="172"/>
      <c r="I58" s="173"/>
      <c r="L58" s="171" t="s">
        <v>347</v>
      </c>
      <c r="M58" s="172"/>
      <c r="N58" s="172"/>
      <c r="O58" s="172"/>
      <c r="P58" s="172"/>
      <c r="Q58" s="172"/>
      <c r="R58" s="172"/>
      <c r="S58" s="173"/>
    </row>
    <row r="60" spans="2:19" ht="26.25" thickBot="1" x14ac:dyDescent="0.3">
      <c r="B60" s="15" t="s">
        <v>70</v>
      </c>
      <c r="C60" s="16" t="s">
        <v>71</v>
      </c>
      <c r="D60" s="15" t="s">
        <v>72</v>
      </c>
      <c r="E60" s="17" t="s">
        <v>73</v>
      </c>
      <c r="F60" s="17" t="s">
        <v>74</v>
      </c>
      <c r="G60" s="15" t="s">
        <v>75</v>
      </c>
      <c r="H60" s="15" t="s">
        <v>86</v>
      </c>
      <c r="I60" s="15" t="s">
        <v>76</v>
      </c>
      <c r="L60" s="15" t="s">
        <v>70</v>
      </c>
      <c r="M60" s="16" t="s">
        <v>71</v>
      </c>
      <c r="N60" s="15" t="s">
        <v>72</v>
      </c>
      <c r="O60" s="17" t="s">
        <v>73</v>
      </c>
      <c r="P60" s="17" t="s">
        <v>74</v>
      </c>
      <c r="Q60" s="15" t="s">
        <v>75</v>
      </c>
      <c r="R60" s="15" t="s">
        <v>55</v>
      </c>
      <c r="S60" s="15" t="s">
        <v>76</v>
      </c>
    </row>
    <row r="61" spans="2:19" ht="15" customHeight="1" x14ac:dyDescent="0.25">
      <c r="B61" s="174" t="s">
        <v>2</v>
      </c>
      <c r="C61" s="168" t="s">
        <v>77</v>
      </c>
      <c r="D61" s="18" t="s">
        <v>2</v>
      </c>
      <c r="E61" s="19">
        <v>1</v>
      </c>
      <c r="F61" s="19">
        <v>1</v>
      </c>
      <c r="G61" s="18" t="s">
        <v>78</v>
      </c>
      <c r="H61" s="156" t="s">
        <v>141</v>
      </c>
      <c r="I61" s="165" t="s">
        <v>156</v>
      </c>
      <c r="L61" s="174" t="s">
        <v>2</v>
      </c>
      <c r="M61" s="168" t="s">
        <v>77</v>
      </c>
      <c r="N61" s="18" t="s">
        <v>2</v>
      </c>
      <c r="O61" s="19">
        <v>1</v>
      </c>
      <c r="P61" s="19">
        <v>1</v>
      </c>
      <c r="Q61" s="18" t="s">
        <v>78</v>
      </c>
      <c r="R61" s="156" t="s">
        <v>141</v>
      </c>
      <c r="S61" s="165" t="s">
        <v>194</v>
      </c>
    </row>
    <row r="62" spans="2:19" x14ac:dyDescent="0.25">
      <c r="B62" s="175"/>
      <c r="C62" s="169"/>
      <c r="D62" s="18" t="s">
        <v>3</v>
      </c>
      <c r="E62" s="19">
        <v>2</v>
      </c>
      <c r="F62" s="19">
        <v>2</v>
      </c>
      <c r="G62" s="18" t="s">
        <v>78</v>
      </c>
      <c r="H62" s="157"/>
      <c r="I62" s="166"/>
      <c r="L62" s="175"/>
      <c r="M62" s="169"/>
      <c r="N62" s="18" t="s">
        <v>3</v>
      </c>
      <c r="O62" s="19">
        <v>2</v>
      </c>
      <c r="P62" s="19">
        <v>2</v>
      </c>
      <c r="Q62" s="18" t="s">
        <v>78</v>
      </c>
      <c r="R62" s="157"/>
      <c r="S62" s="166"/>
    </row>
    <row r="63" spans="2:19" x14ac:dyDescent="0.25">
      <c r="B63" s="175"/>
      <c r="C63" s="169"/>
      <c r="D63" s="18" t="s">
        <v>80</v>
      </c>
      <c r="E63" s="20">
        <v>3</v>
      </c>
      <c r="F63" s="20">
        <v>3</v>
      </c>
      <c r="G63" s="18" t="s">
        <v>66</v>
      </c>
      <c r="H63" s="157"/>
      <c r="I63" s="166"/>
      <c r="L63" s="175"/>
      <c r="M63" s="169"/>
      <c r="N63" s="18" t="s">
        <v>80</v>
      </c>
      <c r="O63" s="20">
        <v>3</v>
      </c>
      <c r="P63" s="20">
        <v>3</v>
      </c>
      <c r="Q63" s="18" t="s">
        <v>66</v>
      </c>
      <c r="R63" s="157"/>
      <c r="S63" s="166"/>
    </row>
    <row r="64" spans="2:19" x14ac:dyDescent="0.25">
      <c r="B64" s="175"/>
      <c r="C64" s="169"/>
      <c r="D64" s="18" t="s">
        <v>81</v>
      </c>
      <c r="E64" s="20">
        <v>4</v>
      </c>
      <c r="F64" s="20">
        <v>4</v>
      </c>
      <c r="G64" s="18" t="s">
        <v>66</v>
      </c>
      <c r="H64" s="157"/>
      <c r="I64" s="166"/>
      <c r="L64" s="175"/>
      <c r="M64" s="169"/>
      <c r="N64" s="18" t="s">
        <v>81</v>
      </c>
      <c r="O64" s="20">
        <v>4</v>
      </c>
      <c r="P64" s="20">
        <v>4</v>
      </c>
      <c r="Q64" s="18" t="s">
        <v>66</v>
      </c>
      <c r="R64" s="157"/>
      <c r="S64" s="166"/>
    </row>
    <row r="65" spans="2:19" x14ac:dyDescent="0.25">
      <c r="B65" s="175"/>
      <c r="C65" s="169"/>
      <c r="D65" s="18" t="s">
        <v>82</v>
      </c>
      <c r="E65" s="20">
        <v>5</v>
      </c>
      <c r="F65" s="20">
        <v>5</v>
      </c>
      <c r="G65" s="18" t="s">
        <v>66</v>
      </c>
      <c r="H65" s="157"/>
      <c r="I65" s="166"/>
      <c r="L65" s="175"/>
      <c r="M65" s="169"/>
      <c r="N65" s="18" t="s">
        <v>82</v>
      </c>
      <c r="O65" s="20">
        <v>5</v>
      </c>
      <c r="P65" s="20">
        <v>5</v>
      </c>
      <c r="Q65" s="18" t="s">
        <v>66</v>
      </c>
      <c r="R65" s="157"/>
      <c r="S65" s="166"/>
    </row>
    <row r="66" spans="2:19" ht="15.75" thickBot="1" x14ac:dyDescent="0.3">
      <c r="B66" s="175"/>
      <c r="C66" s="170"/>
      <c r="D66" s="18" t="s">
        <v>83</v>
      </c>
      <c r="E66" s="20">
        <v>6</v>
      </c>
      <c r="F66" s="20">
        <v>6</v>
      </c>
      <c r="G66" s="18" t="s">
        <v>66</v>
      </c>
      <c r="H66" s="158"/>
      <c r="I66" s="167"/>
      <c r="L66" s="175"/>
      <c r="M66" s="170"/>
      <c r="N66" s="18" t="s">
        <v>83</v>
      </c>
      <c r="O66" s="20">
        <v>6</v>
      </c>
      <c r="P66" s="20">
        <v>6</v>
      </c>
      <c r="Q66" s="18" t="s">
        <v>66</v>
      </c>
      <c r="R66" s="158"/>
      <c r="S66" s="167"/>
    </row>
    <row r="67" spans="2:19" x14ac:dyDescent="0.25">
      <c r="B67" s="175"/>
      <c r="C67" s="168" t="s">
        <v>84</v>
      </c>
      <c r="D67" s="18" t="s">
        <v>2</v>
      </c>
      <c r="E67" s="19">
        <v>1</v>
      </c>
      <c r="F67" s="19">
        <v>7</v>
      </c>
      <c r="G67" s="18" t="s">
        <v>66</v>
      </c>
      <c r="H67" s="32"/>
      <c r="I67" s="50"/>
      <c r="L67" s="175"/>
      <c r="M67" s="168" t="s">
        <v>84</v>
      </c>
      <c r="N67" s="18" t="s">
        <v>2</v>
      </c>
      <c r="O67" s="19">
        <v>1</v>
      </c>
      <c r="P67" s="19">
        <v>7</v>
      </c>
      <c r="Q67" s="18" t="s">
        <v>66</v>
      </c>
      <c r="R67" s="32"/>
      <c r="S67" s="50"/>
    </row>
    <row r="68" spans="2:19" x14ac:dyDescent="0.25">
      <c r="B68" s="175"/>
      <c r="C68" s="169"/>
      <c r="D68" s="18" t="s">
        <v>3</v>
      </c>
      <c r="E68" s="19">
        <v>2</v>
      </c>
      <c r="F68" s="19">
        <v>8</v>
      </c>
      <c r="G68" s="18" t="s">
        <v>66</v>
      </c>
      <c r="H68" s="32"/>
      <c r="I68" s="50"/>
      <c r="L68" s="175"/>
      <c r="M68" s="169"/>
      <c r="N68" s="18" t="s">
        <v>3</v>
      </c>
      <c r="O68" s="19">
        <v>2</v>
      </c>
      <c r="P68" s="19">
        <v>8</v>
      </c>
      <c r="Q68" s="18" t="s">
        <v>66</v>
      </c>
      <c r="R68" s="32"/>
      <c r="S68" s="50"/>
    </row>
    <row r="69" spans="2:19" x14ac:dyDescent="0.25">
      <c r="B69" s="175"/>
      <c r="C69" s="169"/>
      <c r="D69" s="18" t="s">
        <v>80</v>
      </c>
      <c r="E69" s="20">
        <v>3</v>
      </c>
      <c r="F69" s="20">
        <v>9</v>
      </c>
      <c r="G69" s="18" t="s">
        <v>66</v>
      </c>
      <c r="H69" s="32"/>
      <c r="I69" s="50"/>
      <c r="L69" s="175"/>
      <c r="M69" s="169"/>
      <c r="N69" s="18" t="s">
        <v>80</v>
      </c>
      <c r="O69" s="20">
        <v>3</v>
      </c>
      <c r="P69" s="20">
        <v>9</v>
      </c>
      <c r="Q69" s="18" t="s">
        <v>66</v>
      </c>
      <c r="R69" s="32"/>
      <c r="S69" s="50"/>
    </row>
    <row r="70" spans="2:19" x14ac:dyDescent="0.25">
      <c r="B70" s="175"/>
      <c r="C70" s="169"/>
      <c r="D70" s="18" t="s">
        <v>81</v>
      </c>
      <c r="E70" s="20">
        <v>4</v>
      </c>
      <c r="F70" s="20">
        <v>10</v>
      </c>
      <c r="G70" s="18" t="s">
        <v>66</v>
      </c>
      <c r="H70" s="32"/>
      <c r="I70" s="50"/>
      <c r="L70" s="175"/>
      <c r="M70" s="169"/>
      <c r="N70" s="18" t="s">
        <v>81</v>
      </c>
      <c r="O70" s="20">
        <v>4</v>
      </c>
      <c r="P70" s="20">
        <v>10</v>
      </c>
      <c r="Q70" s="18" t="s">
        <v>66</v>
      </c>
      <c r="R70" s="32"/>
      <c r="S70" s="50"/>
    </row>
    <row r="71" spans="2:19" x14ac:dyDescent="0.25">
      <c r="B71" s="175"/>
      <c r="C71" s="169"/>
      <c r="D71" s="18" t="s">
        <v>82</v>
      </c>
      <c r="E71" s="20">
        <v>5</v>
      </c>
      <c r="F71" s="20">
        <v>11</v>
      </c>
      <c r="G71" s="18" t="s">
        <v>66</v>
      </c>
      <c r="H71" s="32"/>
      <c r="I71" s="50"/>
      <c r="L71" s="175"/>
      <c r="M71" s="169"/>
      <c r="N71" s="18" t="s">
        <v>82</v>
      </c>
      <c r="O71" s="20">
        <v>5</v>
      </c>
      <c r="P71" s="20">
        <v>11</v>
      </c>
      <c r="Q71" s="18" t="s">
        <v>66</v>
      </c>
      <c r="R71" s="32"/>
      <c r="S71" s="50"/>
    </row>
    <row r="72" spans="2:19" ht="15.75" thickBot="1" x14ac:dyDescent="0.3">
      <c r="B72" s="176"/>
      <c r="C72" s="170"/>
      <c r="D72" s="18" t="s">
        <v>83</v>
      </c>
      <c r="E72" s="20">
        <v>6</v>
      </c>
      <c r="F72" s="20">
        <v>12</v>
      </c>
      <c r="G72" s="18" t="s">
        <v>66</v>
      </c>
      <c r="H72" s="32"/>
      <c r="I72" s="50"/>
      <c r="L72" s="176"/>
      <c r="M72" s="170"/>
      <c r="N72" s="18" t="s">
        <v>83</v>
      </c>
      <c r="O72" s="20">
        <v>6</v>
      </c>
      <c r="P72" s="20">
        <v>12</v>
      </c>
      <c r="Q72" s="18" t="s">
        <v>66</v>
      </c>
      <c r="R72" s="32"/>
      <c r="S72" s="50"/>
    </row>
    <row r="73" spans="2:19" x14ac:dyDescent="0.25">
      <c r="B73" s="180" t="s">
        <v>3</v>
      </c>
      <c r="C73" s="177" t="s">
        <v>77</v>
      </c>
      <c r="D73" s="21" t="s">
        <v>2</v>
      </c>
      <c r="E73" s="22">
        <v>1</v>
      </c>
      <c r="F73" s="22">
        <v>13</v>
      </c>
      <c r="G73" s="21" t="s">
        <v>66</v>
      </c>
      <c r="H73" s="21"/>
      <c r="I73" s="51"/>
      <c r="L73" s="180" t="s">
        <v>3</v>
      </c>
      <c r="M73" s="177" t="s">
        <v>77</v>
      </c>
      <c r="N73" s="21" t="s">
        <v>2</v>
      </c>
      <c r="O73" s="22">
        <v>1</v>
      </c>
      <c r="P73" s="22">
        <v>13</v>
      </c>
      <c r="Q73" s="21" t="s">
        <v>66</v>
      </c>
      <c r="R73" s="21"/>
      <c r="S73" s="51"/>
    </row>
    <row r="74" spans="2:19" x14ac:dyDescent="0.25">
      <c r="B74" s="181"/>
      <c r="C74" s="178"/>
      <c r="D74" s="23" t="s">
        <v>3</v>
      </c>
      <c r="E74" s="24">
        <v>2</v>
      </c>
      <c r="F74" s="24">
        <v>14</v>
      </c>
      <c r="G74" s="23" t="s">
        <v>66</v>
      </c>
      <c r="H74" s="23"/>
      <c r="I74" s="47"/>
      <c r="L74" s="181"/>
      <c r="M74" s="178"/>
      <c r="N74" s="23" t="s">
        <v>3</v>
      </c>
      <c r="O74" s="24">
        <v>2</v>
      </c>
      <c r="P74" s="24">
        <v>14</v>
      </c>
      <c r="Q74" s="23" t="s">
        <v>66</v>
      </c>
      <c r="R74" s="23"/>
      <c r="S74" s="47"/>
    </row>
    <row r="75" spans="2:19" x14ac:dyDescent="0.25">
      <c r="B75" s="181"/>
      <c r="C75" s="178"/>
      <c r="D75" s="23" t="s">
        <v>80</v>
      </c>
      <c r="E75" s="24">
        <v>3</v>
      </c>
      <c r="F75" s="24">
        <v>15</v>
      </c>
      <c r="G75" s="23" t="s">
        <v>66</v>
      </c>
      <c r="H75" s="23"/>
      <c r="I75" s="47"/>
      <c r="L75" s="181"/>
      <c r="M75" s="178"/>
      <c r="N75" s="23" t="s">
        <v>80</v>
      </c>
      <c r="O75" s="24">
        <v>3</v>
      </c>
      <c r="P75" s="24">
        <v>15</v>
      </c>
      <c r="Q75" s="23" t="s">
        <v>66</v>
      </c>
      <c r="R75" s="23"/>
      <c r="S75" s="47"/>
    </row>
    <row r="76" spans="2:19" x14ac:dyDescent="0.25">
      <c r="B76" s="181"/>
      <c r="C76" s="178"/>
      <c r="D76" s="23" t="s">
        <v>81</v>
      </c>
      <c r="E76" s="24">
        <v>4</v>
      </c>
      <c r="F76" s="24">
        <v>16</v>
      </c>
      <c r="G76" s="23" t="s">
        <v>66</v>
      </c>
      <c r="H76" s="23"/>
      <c r="I76" s="47"/>
      <c r="L76" s="181"/>
      <c r="M76" s="178"/>
      <c r="N76" s="23" t="s">
        <v>81</v>
      </c>
      <c r="O76" s="24">
        <v>4</v>
      </c>
      <c r="P76" s="24">
        <v>16</v>
      </c>
      <c r="Q76" s="23" t="s">
        <v>66</v>
      </c>
      <c r="R76" s="23"/>
      <c r="S76" s="47"/>
    </row>
    <row r="77" spans="2:19" x14ac:dyDescent="0.25">
      <c r="B77" s="181"/>
      <c r="C77" s="178"/>
      <c r="D77" s="23" t="s">
        <v>82</v>
      </c>
      <c r="E77" s="24">
        <v>5</v>
      </c>
      <c r="F77" s="24">
        <v>17</v>
      </c>
      <c r="G77" s="23" t="s">
        <v>66</v>
      </c>
      <c r="H77" s="23"/>
      <c r="I77" s="47"/>
      <c r="L77" s="181"/>
      <c r="M77" s="178"/>
      <c r="N77" s="23" t="s">
        <v>82</v>
      </c>
      <c r="O77" s="24">
        <v>5</v>
      </c>
      <c r="P77" s="24">
        <v>17</v>
      </c>
      <c r="Q77" s="23" t="s">
        <v>66</v>
      </c>
      <c r="R77" s="23"/>
      <c r="S77" s="47"/>
    </row>
    <row r="78" spans="2:19" ht="15.75" thickBot="1" x14ac:dyDescent="0.3">
      <c r="B78" s="181"/>
      <c r="C78" s="179"/>
      <c r="D78" s="23" t="s">
        <v>83</v>
      </c>
      <c r="E78" s="24">
        <v>6</v>
      </c>
      <c r="F78" s="24">
        <v>18</v>
      </c>
      <c r="G78" s="23" t="s">
        <v>66</v>
      </c>
      <c r="H78" s="23"/>
      <c r="I78" s="47"/>
      <c r="L78" s="181"/>
      <c r="M78" s="179"/>
      <c r="N78" s="23" t="s">
        <v>83</v>
      </c>
      <c r="O78" s="24">
        <v>6</v>
      </c>
      <c r="P78" s="24">
        <v>18</v>
      </c>
      <c r="Q78" s="23" t="s">
        <v>66</v>
      </c>
      <c r="R78" s="23"/>
      <c r="S78" s="47"/>
    </row>
    <row r="79" spans="2:19" x14ac:dyDescent="0.25">
      <c r="B79" s="181"/>
      <c r="C79" s="177" t="s">
        <v>84</v>
      </c>
      <c r="D79" s="23" t="s">
        <v>2</v>
      </c>
      <c r="E79" s="24">
        <v>1</v>
      </c>
      <c r="F79" s="24">
        <v>19</v>
      </c>
      <c r="G79" s="23" t="s">
        <v>66</v>
      </c>
      <c r="H79" s="23"/>
      <c r="I79" s="47"/>
      <c r="L79" s="181"/>
      <c r="M79" s="177" t="s">
        <v>84</v>
      </c>
      <c r="N79" s="23" t="s">
        <v>2</v>
      </c>
      <c r="O79" s="24">
        <v>1</v>
      </c>
      <c r="P79" s="24">
        <v>19</v>
      </c>
      <c r="Q79" s="23" t="s">
        <v>66</v>
      </c>
      <c r="R79" s="23"/>
      <c r="S79" s="47"/>
    </row>
    <row r="80" spans="2:19" x14ac:dyDescent="0.25">
      <c r="B80" s="181"/>
      <c r="C80" s="178"/>
      <c r="D80" s="23" t="s">
        <v>3</v>
      </c>
      <c r="E80" s="24">
        <v>2</v>
      </c>
      <c r="F80" s="24">
        <v>20</v>
      </c>
      <c r="G80" s="23" t="s">
        <v>66</v>
      </c>
      <c r="H80" s="23"/>
      <c r="I80" s="47"/>
      <c r="L80" s="181"/>
      <c r="M80" s="178"/>
      <c r="N80" s="23" t="s">
        <v>3</v>
      </c>
      <c r="O80" s="24">
        <v>2</v>
      </c>
      <c r="P80" s="24">
        <v>20</v>
      </c>
      <c r="Q80" s="23" t="s">
        <v>66</v>
      </c>
      <c r="R80" s="23"/>
      <c r="S80" s="47"/>
    </row>
    <row r="81" spans="2:19" x14ac:dyDescent="0.25">
      <c r="B81" s="181"/>
      <c r="C81" s="178"/>
      <c r="D81" s="23" t="s">
        <v>80</v>
      </c>
      <c r="E81" s="26">
        <v>3</v>
      </c>
      <c r="F81" s="24">
        <v>21</v>
      </c>
      <c r="G81" s="23" t="s">
        <v>66</v>
      </c>
      <c r="H81" s="23"/>
      <c r="I81" s="47"/>
      <c r="L81" s="181"/>
      <c r="M81" s="178"/>
      <c r="N81" s="23" t="s">
        <v>80</v>
      </c>
      <c r="O81" s="26">
        <v>3</v>
      </c>
      <c r="P81" s="24">
        <v>21</v>
      </c>
      <c r="Q81" s="23" t="s">
        <v>66</v>
      </c>
      <c r="R81" s="23"/>
      <c r="S81" s="47"/>
    </row>
    <row r="82" spans="2:19" x14ac:dyDescent="0.25">
      <c r="B82" s="181"/>
      <c r="C82" s="178"/>
      <c r="D82" s="23" t="s">
        <v>81</v>
      </c>
      <c r="E82" s="24">
        <v>4</v>
      </c>
      <c r="F82" s="24">
        <v>22</v>
      </c>
      <c r="G82" s="23" t="s">
        <v>66</v>
      </c>
      <c r="H82" s="23"/>
      <c r="I82" s="47"/>
      <c r="L82" s="181"/>
      <c r="M82" s="178"/>
      <c r="N82" s="23" t="s">
        <v>81</v>
      </c>
      <c r="O82" s="24">
        <v>4</v>
      </c>
      <c r="P82" s="24">
        <v>22</v>
      </c>
      <c r="Q82" s="23" t="s">
        <v>66</v>
      </c>
      <c r="R82" s="23"/>
      <c r="S82" s="47"/>
    </row>
    <row r="83" spans="2:19" x14ac:dyDescent="0.25">
      <c r="B83" s="181"/>
      <c r="C83" s="178"/>
      <c r="D83" s="23" t="s">
        <v>82</v>
      </c>
      <c r="E83" s="24">
        <v>5</v>
      </c>
      <c r="F83" s="24">
        <v>23</v>
      </c>
      <c r="G83" s="23" t="s">
        <v>66</v>
      </c>
      <c r="H83" s="23"/>
      <c r="I83" s="47"/>
      <c r="L83" s="181"/>
      <c r="M83" s="178"/>
      <c r="N83" s="23" t="s">
        <v>82</v>
      </c>
      <c r="O83" s="24">
        <v>5</v>
      </c>
      <c r="P83" s="24">
        <v>23</v>
      </c>
      <c r="Q83" s="23" t="s">
        <v>66</v>
      </c>
      <c r="R83" s="23"/>
      <c r="S83" s="47"/>
    </row>
    <row r="84" spans="2:19" ht="15.75" thickBot="1" x14ac:dyDescent="0.3">
      <c r="B84" s="182"/>
      <c r="C84" s="179"/>
      <c r="D84" s="23" t="s">
        <v>83</v>
      </c>
      <c r="E84" s="24">
        <v>6</v>
      </c>
      <c r="F84" s="24">
        <v>24</v>
      </c>
      <c r="G84" s="23" t="s">
        <v>66</v>
      </c>
      <c r="H84" s="23"/>
      <c r="I84" s="47"/>
      <c r="L84" s="182"/>
      <c r="M84" s="179"/>
      <c r="N84" s="23" t="s">
        <v>83</v>
      </c>
      <c r="O84" s="24">
        <v>6</v>
      </c>
      <c r="P84" s="24">
        <v>24</v>
      </c>
      <c r="Q84" s="23" t="s">
        <v>66</v>
      </c>
      <c r="R84" s="23"/>
      <c r="S84" s="47"/>
    </row>
    <row r="85" spans="2:19" x14ac:dyDescent="0.25">
      <c r="B85" s="189" t="s">
        <v>80</v>
      </c>
      <c r="C85" s="192" t="s">
        <v>77</v>
      </c>
      <c r="D85" s="27" t="s">
        <v>2</v>
      </c>
      <c r="E85" s="28">
        <v>1</v>
      </c>
      <c r="F85" s="28">
        <v>25</v>
      </c>
      <c r="G85" s="27" t="s">
        <v>66</v>
      </c>
      <c r="H85" s="27"/>
      <c r="I85" s="48"/>
      <c r="L85" s="189" t="s">
        <v>80</v>
      </c>
      <c r="M85" s="192" t="s">
        <v>77</v>
      </c>
      <c r="N85" s="27" t="s">
        <v>2</v>
      </c>
      <c r="O85" s="28">
        <v>1</v>
      </c>
      <c r="P85" s="28">
        <v>25</v>
      </c>
      <c r="Q85" s="27" t="s">
        <v>66</v>
      </c>
      <c r="R85" s="27"/>
      <c r="S85" s="48"/>
    </row>
    <row r="86" spans="2:19" x14ac:dyDescent="0.25">
      <c r="B86" s="190"/>
      <c r="C86" s="193"/>
      <c r="D86" s="27" t="s">
        <v>3</v>
      </c>
      <c r="E86" s="28">
        <v>2</v>
      </c>
      <c r="F86" s="28">
        <v>26</v>
      </c>
      <c r="G86" s="27" t="s">
        <v>66</v>
      </c>
      <c r="H86" s="27"/>
      <c r="I86" s="48"/>
      <c r="L86" s="190"/>
      <c r="M86" s="193"/>
      <c r="N86" s="27" t="s">
        <v>3</v>
      </c>
      <c r="O86" s="28">
        <v>2</v>
      </c>
      <c r="P86" s="28">
        <v>26</v>
      </c>
      <c r="Q86" s="27" t="s">
        <v>66</v>
      </c>
      <c r="R86" s="27"/>
      <c r="S86" s="48"/>
    </row>
    <row r="87" spans="2:19" x14ac:dyDescent="0.25">
      <c r="B87" s="190"/>
      <c r="C87" s="193"/>
      <c r="D87" s="27" t="s">
        <v>80</v>
      </c>
      <c r="E87" s="28">
        <v>3</v>
      </c>
      <c r="F87" s="28">
        <v>27</v>
      </c>
      <c r="G87" s="27" t="s">
        <v>66</v>
      </c>
      <c r="H87" s="27"/>
      <c r="I87" s="48"/>
      <c r="L87" s="190"/>
      <c r="M87" s="193"/>
      <c r="N87" s="27" t="s">
        <v>80</v>
      </c>
      <c r="O87" s="28">
        <v>3</v>
      </c>
      <c r="P87" s="28">
        <v>27</v>
      </c>
      <c r="Q87" s="27" t="s">
        <v>66</v>
      </c>
      <c r="R87" s="27"/>
      <c r="S87" s="48"/>
    </row>
    <row r="88" spans="2:19" x14ac:dyDescent="0.25">
      <c r="B88" s="190"/>
      <c r="C88" s="193"/>
      <c r="D88" s="27" t="s">
        <v>81</v>
      </c>
      <c r="E88" s="28">
        <v>4</v>
      </c>
      <c r="F88" s="28">
        <v>28</v>
      </c>
      <c r="G88" s="27" t="s">
        <v>66</v>
      </c>
      <c r="H88" s="27"/>
      <c r="I88" s="48"/>
      <c r="L88" s="190"/>
      <c r="M88" s="193"/>
      <c r="N88" s="27" t="s">
        <v>81</v>
      </c>
      <c r="O88" s="28">
        <v>4</v>
      </c>
      <c r="P88" s="28">
        <v>28</v>
      </c>
      <c r="Q88" s="27" t="s">
        <v>66</v>
      </c>
      <c r="R88" s="27"/>
      <c r="S88" s="48"/>
    </row>
    <row r="89" spans="2:19" x14ac:dyDescent="0.25">
      <c r="B89" s="190"/>
      <c r="C89" s="193"/>
      <c r="D89" s="27" t="s">
        <v>82</v>
      </c>
      <c r="E89" s="28">
        <v>5</v>
      </c>
      <c r="F89" s="28">
        <v>29</v>
      </c>
      <c r="G89" s="27" t="s">
        <v>66</v>
      </c>
      <c r="H89" s="27"/>
      <c r="I89" s="48"/>
      <c r="L89" s="190"/>
      <c r="M89" s="193"/>
      <c r="N89" s="27" t="s">
        <v>82</v>
      </c>
      <c r="O89" s="28">
        <v>5</v>
      </c>
      <c r="P89" s="28">
        <v>29</v>
      </c>
      <c r="Q89" s="27" t="s">
        <v>66</v>
      </c>
      <c r="R89" s="27"/>
      <c r="S89" s="48"/>
    </row>
    <row r="90" spans="2:19" ht="15.75" thickBot="1" x14ac:dyDescent="0.3">
      <c r="B90" s="190"/>
      <c r="C90" s="194"/>
      <c r="D90" s="27" t="s">
        <v>83</v>
      </c>
      <c r="E90" s="28">
        <v>6</v>
      </c>
      <c r="F90" s="28">
        <v>30</v>
      </c>
      <c r="G90" s="27" t="s">
        <v>66</v>
      </c>
      <c r="H90" s="27"/>
      <c r="I90" s="48"/>
      <c r="L90" s="190"/>
      <c r="M90" s="194"/>
      <c r="N90" s="27" t="s">
        <v>83</v>
      </c>
      <c r="O90" s="28">
        <v>6</v>
      </c>
      <c r="P90" s="28">
        <v>30</v>
      </c>
      <c r="Q90" s="27" t="s">
        <v>66</v>
      </c>
      <c r="R90" s="27"/>
      <c r="S90" s="48"/>
    </row>
    <row r="91" spans="2:19" x14ac:dyDescent="0.25">
      <c r="B91" s="190"/>
      <c r="C91" s="192" t="s">
        <v>84</v>
      </c>
      <c r="D91" s="27" t="s">
        <v>2</v>
      </c>
      <c r="E91" s="28">
        <v>1</v>
      </c>
      <c r="F91" s="28">
        <v>31</v>
      </c>
      <c r="G91" s="27" t="s">
        <v>66</v>
      </c>
      <c r="H91" s="27"/>
      <c r="I91" s="48"/>
      <c r="L91" s="190"/>
      <c r="M91" s="192" t="s">
        <v>84</v>
      </c>
      <c r="N91" s="27" t="s">
        <v>2</v>
      </c>
      <c r="O91" s="28">
        <v>1</v>
      </c>
      <c r="P91" s="28">
        <v>31</v>
      </c>
      <c r="Q91" s="27" t="s">
        <v>66</v>
      </c>
      <c r="R91" s="27"/>
      <c r="S91" s="48"/>
    </row>
    <row r="92" spans="2:19" x14ac:dyDescent="0.25">
      <c r="B92" s="190"/>
      <c r="C92" s="193"/>
      <c r="D92" s="27" t="s">
        <v>3</v>
      </c>
      <c r="E92" s="28">
        <v>2</v>
      </c>
      <c r="F92" s="28">
        <v>32</v>
      </c>
      <c r="G92" s="27" t="s">
        <v>66</v>
      </c>
      <c r="H92" s="27"/>
      <c r="I92" s="48"/>
      <c r="L92" s="190"/>
      <c r="M92" s="193"/>
      <c r="N92" s="27" t="s">
        <v>3</v>
      </c>
      <c r="O92" s="28">
        <v>2</v>
      </c>
      <c r="P92" s="28">
        <v>32</v>
      </c>
      <c r="Q92" s="27" t="s">
        <v>66</v>
      </c>
      <c r="R92" s="27"/>
      <c r="S92" s="48"/>
    </row>
    <row r="93" spans="2:19" x14ac:dyDescent="0.25">
      <c r="B93" s="190"/>
      <c r="C93" s="193"/>
      <c r="D93" s="27" t="s">
        <v>80</v>
      </c>
      <c r="E93" s="28">
        <v>3</v>
      </c>
      <c r="F93" s="28">
        <v>33</v>
      </c>
      <c r="G93" s="27" t="s">
        <v>66</v>
      </c>
      <c r="H93" s="27"/>
      <c r="I93" s="48"/>
      <c r="L93" s="190"/>
      <c r="M93" s="193"/>
      <c r="N93" s="27" t="s">
        <v>80</v>
      </c>
      <c r="O93" s="28">
        <v>3</v>
      </c>
      <c r="P93" s="28">
        <v>33</v>
      </c>
      <c r="Q93" s="27" t="s">
        <v>66</v>
      </c>
      <c r="R93" s="27"/>
      <c r="S93" s="48"/>
    </row>
    <row r="94" spans="2:19" x14ac:dyDescent="0.25">
      <c r="B94" s="190"/>
      <c r="C94" s="193"/>
      <c r="D94" s="27" t="s">
        <v>81</v>
      </c>
      <c r="E94" s="28">
        <v>4</v>
      </c>
      <c r="F94" s="28">
        <v>34</v>
      </c>
      <c r="G94" s="27" t="s">
        <v>66</v>
      </c>
      <c r="H94" s="27"/>
      <c r="I94" s="48"/>
      <c r="L94" s="190"/>
      <c r="M94" s="193"/>
      <c r="N94" s="27" t="s">
        <v>81</v>
      </c>
      <c r="O94" s="28">
        <v>4</v>
      </c>
      <c r="P94" s="28">
        <v>34</v>
      </c>
      <c r="Q94" s="27" t="s">
        <v>66</v>
      </c>
      <c r="R94" s="27"/>
      <c r="S94" s="48"/>
    </row>
    <row r="95" spans="2:19" x14ac:dyDescent="0.25">
      <c r="B95" s="190"/>
      <c r="C95" s="193"/>
      <c r="D95" s="27" t="s">
        <v>82</v>
      </c>
      <c r="E95" s="28">
        <v>5</v>
      </c>
      <c r="F95" s="28">
        <v>35</v>
      </c>
      <c r="G95" s="27" t="s">
        <v>66</v>
      </c>
      <c r="H95" s="27"/>
      <c r="I95" s="48"/>
      <c r="L95" s="190"/>
      <c r="M95" s="193"/>
      <c r="N95" s="27" t="s">
        <v>82</v>
      </c>
      <c r="O95" s="28">
        <v>5</v>
      </c>
      <c r="P95" s="28">
        <v>35</v>
      </c>
      <c r="Q95" s="27" t="s">
        <v>66</v>
      </c>
      <c r="R95" s="27"/>
      <c r="S95" s="48"/>
    </row>
    <row r="96" spans="2:19" ht="15.75" thickBot="1" x14ac:dyDescent="0.3">
      <c r="B96" s="191"/>
      <c r="C96" s="194"/>
      <c r="D96" s="27" t="s">
        <v>83</v>
      </c>
      <c r="E96" s="28">
        <v>6</v>
      </c>
      <c r="F96" s="28">
        <v>36</v>
      </c>
      <c r="G96" s="27" t="s">
        <v>66</v>
      </c>
      <c r="H96" s="27"/>
      <c r="I96" s="48"/>
      <c r="L96" s="191"/>
      <c r="M96" s="194"/>
      <c r="N96" s="27" t="s">
        <v>83</v>
      </c>
      <c r="O96" s="28">
        <v>6</v>
      </c>
      <c r="P96" s="28">
        <v>36</v>
      </c>
      <c r="Q96" s="27" t="s">
        <v>66</v>
      </c>
      <c r="R96" s="27"/>
      <c r="S96" s="48"/>
    </row>
    <row r="97" spans="2:19" x14ac:dyDescent="0.25">
      <c r="B97" s="183" t="s">
        <v>81</v>
      </c>
      <c r="C97" s="186" t="s">
        <v>77</v>
      </c>
      <c r="D97" s="29" t="s">
        <v>2</v>
      </c>
      <c r="E97" s="30">
        <v>1</v>
      </c>
      <c r="F97" s="30">
        <v>37</v>
      </c>
      <c r="G97" s="29" t="s">
        <v>66</v>
      </c>
      <c r="H97" s="29"/>
      <c r="I97" s="49"/>
      <c r="L97" s="183" t="s">
        <v>81</v>
      </c>
      <c r="M97" s="186" t="s">
        <v>77</v>
      </c>
      <c r="N97" s="29" t="s">
        <v>2</v>
      </c>
      <c r="O97" s="30">
        <v>1</v>
      </c>
      <c r="P97" s="30">
        <v>37</v>
      </c>
      <c r="Q97" s="29" t="s">
        <v>66</v>
      </c>
      <c r="R97" s="29"/>
      <c r="S97" s="49"/>
    </row>
    <row r="98" spans="2:19" x14ac:dyDescent="0.25">
      <c r="B98" s="184"/>
      <c r="C98" s="187"/>
      <c r="D98" s="29" t="s">
        <v>3</v>
      </c>
      <c r="E98" s="30">
        <v>2</v>
      </c>
      <c r="F98" s="30">
        <v>38</v>
      </c>
      <c r="G98" s="29" t="s">
        <v>66</v>
      </c>
      <c r="H98" s="29"/>
      <c r="I98" s="49"/>
      <c r="L98" s="184"/>
      <c r="M98" s="187"/>
      <c r="N98" s="29" t="s">
        <v>3</v>
      </c>
      <c r="O98" s="30">
        <v>2</v>
      </c>
      <c r="P98" s="30">
        <v>38</v>
      </c>
      <c r="Q98" s="29" t="s">
        <v>66</v>
      </c>
      <c r="R98" s="29"/>
      <c r="S98" s="49"/>
    </row>
    <row r="99" spans="2:19" x14ac:dyDescent="0.25">
      <c r="B99" s="184"/>
      <c r="C99" s="187"/>
      <c r="D99" s="29" t="s">
        <v>80</v>
      </c>
      <c r="E99" s="30">
        <v>3</v>
      </c>
      <c r="F99" s="30">
        <v>39</v>
      </c>
      <c r="G99" s="29" t="s">
        <v>66</v>
      </c>
      <c r="H99" s="29"/>
      <c r="I99" s="49"/>
      <c r="L99" s="184"/>
      <c r="M99" s="187"/>
      <c r="N99" s="29" t="s">
        <v>80</v>
      </c>
      <c r="O99" s="30">
        <v>3</v>
      </c>
      <c r="P99" s="30">
        <v>39</v>
      </c>
      <c r="Q99" s="29" t="s">
        <v>66</v>
      </c>
      <c r="R99" s="29"/>
      <c r="S99" s="49"/>
    </row>
    <row r="100" spans="2:19" x14ac:dyDescent="0.25">
      <c r="B100" s="184"/>
      <c r="C100" s="187"/>
      <c r="D100" s="29" t="s">
        <v>81</v>
      </c>
      <c r="E100" s="30">
        <v>4</v>
      </c>
      <c r="F100" s="30">
        <v>40</v>
      </c>
      <c r="G100" s="29" t="s">
        <v>66</v>
      </c>
      <c r="H100" s="29"/>
      <c r="I100" s="49"/>
      <c r="L100" s="184"/>
      <c r="M100" s="187"/>
      <c r="N100" s="29" t="s">
        <v>81</v>
      </c>
      <c r="O100" s="30">
        <v>4</v>
      </c>
      <c r="P100" s="30">
        <v>40</v>
      </c>
      <c r="Q100" s="29" t="s">
        <v>66</v>
      </c>
      <c r="R100" s="29"/>
      <c r="S100" s="49"/>
    </row>
    <row r="101" spans="2:19" x14ac:dyDescent="0.25">
      <c r="B101" s="184"/>
      <c r="C101" s="187"/>
      <c r="D101" s="29" t="s">
        <v>82</v>
      </c>
      <c r="E101" s="30">
        <v>5</v>
      </c>
      <c r="F101" s="30">
        <v>41</v>
      </c>
      <c r="G101" s="29" t="s">
        <v>66</v>
      </c>
      <c r="H101" s="29"/>
      <c r="I101" s="49"/>
      <c r="L101" s="184"/>
      <c r="M101" s="187"/>
      <c r="N101" s="29" t="s">
        <v>82</v>
      </c>
      <c r="O101" s="30">
        <v>5</v>
      </c>
      <c r="P101" s="30">
        <v>41</v>
      </c>
      <c r="Q101" s="29" t="s">
        <v>66</v>
      </c>
      <c r="R101" s="29"/>
      <c r="S101" s="49"/>
    </row>
    <row r="102" spans="2:19" ht="15.75" thickBot="1" x14ac:dyDescent="0.3">
      <c r="B102" s="184"/>
      <c r="C102" s="188"/>
      <c r="D102" s="29" t="s">
        <v>83</v>
      </c>
      <c r="E102" s="30">
        <v>6</v>
      </c>
      <c r="F102" s="30">
        <v>42</v>
      </c>
      <c r="G102" s="29" t="s">
        <v>66</v>
      </c>
      <c r="H102" s="29"/>
      <c r="I102" s="49"/>
      <c r="L102" s="184"/>
      <c r="M102" s="188"/>
      <c r="N102" s="29" t="s">
        <v>83</v>
      </c>
      <c r="O102" s="30">
        <v>6</v>
      </c>
      <c r="P102" s="30">
        <v>42</v>
      </c>
      <c r="Q102" s="29" t="s">
        <v>66</v>
      </c>
      <c r="R102" s="29"/>
      <c r="S102" s="49"/>
    </row>
    <row r="103" spans="2:19" x14ac:dyDescent="0.25">
      <c r="B103" s="184"/>
      <c r="C103" s="186" t="s">
        <v>84</v>
      </c>
      <c r="D103" s="29" t="s">
        <v>2</v>
      </c>
      <c r="E103" s="30">
        <v>1</v>
      </c>
      <c r="F103" s="30">
        <v>43</v>
      </c>
      <c r="G103" s="29" t="s">
        <v>66</v>
      </c>
      <c r="H103" s="29"/>
      <c r="I103" s="49"/>
      <c r="L103" s="184"/>
      <c r="M103" s="186" t="s">
        <v>84</v>
      </c>
      <c r="N103" s="29" t="s">
        <v>2</v>
      </c>
      <c r="O103" s="30">
        <v>1</v>
      </c>
      <c r="P103" s="30">
        <v>43</v>
      </c>
      <c r="Q103" s="29" t="s">
        <v>66</v>
      </c>
      <c r="R103" s="29"/>
      <c r="S103" s="49"/>
    </row>
    <row r="104" spans="2:19" x14ac:dyDescent="0.25">
      <c r="B104" s="184"/>
      <c r="C104" s="187"/>
      <c r="D104" s="29" t="s">
        <v>3</v>
      </c>
      <c r="E104" s="30">
        <v>2</v>
      </c>
      <c r="F104" s="30">
        <v>44</v>
      </c>
      <c r="G104" s="29" t="s">
        <v>66</v>
      </c>
      <c r="H104" s="29"/>
      <c r="I104" s="49"/>
      <c r="L104" s="184"/>
      <c r="M104" s="187"/>
      <c r="N104" s="29" t="s">
        <v>3</v>
      </c>
      <c r="O104" s="30">
        <v>2</v>
      </c>
      <c r="P104" s="30">
        <v>44</v>
      </c>
      <c r="Q104" s="29" t="s">
        <v>66</v>
      </c>
      <c r="R104" s="29"/>
      <c r="S104" s="49"/>
    </row>
    <row r="105" spans="2:19" x14ac:dyDescent="0.25">
      <c r="B105" s="184"/>
      <c r="C105" s="187"/>
      <c r="D105" s="29" t="s">
        <v>80</v>
      </c>
      <c r="E105" s="30">
        <v>3</v>
      </c>
      <c r="F105" s="30">
        <v>45</v>
      </c>
      <c r="G105" s="29" t="s">
        <v>66</v>
      </c>
      <c r="H105" s="29"/>
      <c r="I105" s="49"/>
      <c r="L105" s="184"/>
      <c r="M105" s="187"/>
      <c r="N105" s="29" t="s">
        <v>80</v>
      </c>
      <c r="O105" s="30">
        <v>3</v>
      </c>
      <c r="P105" s="30">
        <v>45</v>
      </c>
      <c r="Q105" s="29" t="s">
        <v>66</v>
      </c>
      <c r="R105" s="29"/>
      <c r="S105" s="49"/>
    </row>
    <row r="106" spans="2:19" x14ac:dyDescent="0.25">
      <c r="B106" s="184"/>
      <c r="C106" s="187"/>
      <c r="D106" s="29" t="s">
        <v>81</v>
      </c>
      <c r="E106" s="30">
        <v>4</v>
      </c>
      <c r="F106" s="30">
        <v>46</v>
      </c>
      <c r="G106" s="29" t="s">
        <v>66</v>
      </c>
      <c r="H106" s="29"/>
      <c r="I106" s="49"/>
      <c r="L106" s="184"/>
      <c r="M106" s="187"/>
      <c r="N106" s="29" t="s">
        <v>81</v>
      </c>
      <c r="O106" s="30">
        <v>4</v>
      </c>
      <c r="P106" s="30">
        <v>46</v>
      </c>
      <c r="Q106" s="29" t="s">
        <v>66</v>
      </c>
      <c r="R106" s="29"/>
      <c r="S106" s="49"/>
    </row>
    <row r="107" spans="2:19" x14ac:dyDescent="0.25">
      <c r="B107" s="184"/>
      <c r="C107" s="187"/>
      <c r="D107" s="29" t="s">
        <v>82</v>
      </c>
      <c r="E107" s="30">
        <v>5</v>
      </c>
      <c r="F107" s="30">
        <v>47</v>
      </c>
      <c r="G107" s="29" t="s">
        <v>66</v>
      </c>
      <c r="H107" s="29"/>
      <c r="I107" s="49"/>
      <c r="L107" s="184"/>
      <c r="M107" s="187"/>
      <c r="N107" s="29" t="s">
        <v>82</v>
      </c>
      <c r="O107" s="30">
        <v>5</v>
      </c>
      <c r="P107" s="30">
        <v>47</v>
      </c>
      <c r="Q107" s="29" t="s">
        <v>66</v>
      </c>
      <c r="R107" s="29"/>
      <c r="S107" s="49"/>
    </row>
    <row r="108" spans="2:19" ht="15.75" thickBot="1" x14ac:dyDescent="0.3">
      <c r="B108" s="185"/>
      <c r="C108" s="188"/>
      <c r="D108" s="29" t="s">
        <v>83</v>
      </c>
      <c r="E108" s="30">
        <v>6</v>
      </c>
      <c r="F108" s="30">
        <v>48</v>
      </c>
      <c r="G108" s="29" t="s">
        <v>66</v>
      </c>
      <c r="H108" s="29"/>
      <c r="I108" s="49"/>
      <c r="L108" s="185"/>
      <c r="M108" s="188"/>
      <c r="N108" s="29" t="s">
        <v>83</v>
      </c>
      <c r="O108" s="30">
        <v>6</v>
      </c>
      <c r="P108" s="30">
        <v>48</v>
      </c>
      <c r="Q108" s="29" t="s">
        <v>66</v>
      </c>
      <c r="R108" s="29"/>
      <c r="S108" s="49"/>
    </row>
    <row r="109" spans="2:19" ht="15.75" thickBot="1" x14ac:dyDescent="0.3"/>
    <row r="110" spans="2:19" ht="15.75" thickBot="1" x14ac:dyDescent="0.3">
      <c r="B110" s="171" t="s">
        <v>348</v>
      </c>
      <c r="C110" s="172"/>
      <c r="D110" s="172"/>
      <c r="E110" s="172"/>
      <c r="F110" s="172"/>
      <c r="G110" s="172"/>
      <c r="H110" s="172"/>
      <c r="I110" s="173"/>
      <c r="L110" s="171" t="s">
        <v>349</v>
      </c>
      <c r="M110" s="172"/>
      <c r="N110" s="172"/>
      <c r="O110" s="172"/>
      <c r="P110" s="172"/>
      <c r="Q110" s="172"/>
      <c r="R110" s="172"/>
      <c r="S110" s="173"/>
    </row>
    <row r="112" spans="2:19" ht="26.25" thickBot="1" x14ac:dyDescent="0.3">
      <c r="B112" s="15" t="s">
        <v>70</v>
      </c>
      <c r="C112" s="16" t="s">
        <v>71</v>
      </c>
      <c r="D112" s="15" t="s">
        <v>72</v>
      </c>
      <c r="E112" s="17" t="s">
        <v>73</v>
      </c>
      <c r="F112" s="17" t="s">
        <v>74</v>
      </c>
      <c r="G112" s="15" t="s">
        <v>75</v>
      </c>
      <c r="H112" s="15" t="s">
        <v>55</v>
      </c>
      <c r="I112" s="15" t="s">
        <v>76</v>
      </c>
      <c r="L112" s="15" t="s">
        <v>70</v>
      </c>
      <c r="M112" s="16" t="s">
        <v>71</v>
      </c>
      <c r="N112" s="15" t="s">
        <v>72</v>
      </c>
      <c r="O112" s="17" t="s">
        <v>73</v>
      </c>
      <c r="P112" s="17" t="s">
        <v>74</v>
      </c>
      <c r="Q112" s="15" t="s">
        <v>75</v>
      </c>
      <c r="R112" s="15" t="s">
        <v>55</v>
      </c>
      <c r="S112" s="15" t="s">
        <v>76</v>
      </c>
    </row>
    <row r="113" spans="2:19" x14ac:dyDescent="0.25">
      <c r="B113" s="174" t="s">
        <v>2</v>
      </c>
      <c r="C113" s="168" t="s">
        <v>77</v>
      </c>
      <c r="D113" s="18" t="s">
        <v>2</v>
      </c>
      <c r="E113" s="19">
        <v>1</v>
      </c>
      <c r="F113" s="19">
        <v>1</v>
      </c>
      <c r="G113" s="18" t="s">
        <v>78</v>
      </c>
      <c r="H113" s="156" t="s">
        <v>141</v>
      </c>
      <c r="I113" s="165" t="s">
        <v>193</v>
      </c>
      <c r="L113" s="174" t="s">
        <v>2</v>
      </c>
      <c r="M113" s="168" t="s">
        <v>77</v>
      </c>
      <c r="N113" s="18" t="s">
        <v>2</v>
      </c>
      <c r="O113" s="19">
        <v>1</v>
      </c>
      <c r="P113" s="19">
        <v>1</v>
      </c>
      <c r="Q113" s="18" t="s">
        <v>78</v>
      </c>
      <c r="R113" s="156" t="s">
        <v>141</v>
      </c>
      <c r="S113" s="165" t="s">
        <v>195</v>
      </c>
    </row>
    <row r="114" spans="2:19" x14ac:dyDescent="0.25">
      <c r="B114" s="175"/>
      <c r="C114" s="169"/>
      <c r="D114" s="18" t="s">
        <v>3</v>
      </c>
      <c r="E114" s="19">
        <v>2</v>
      </c>
      <c r="F114" s="19">
        <v>2</v>
      </c>
      <c r="G114" s="18" t="s">
        <v>78</v>
      </c>
      <c r="H114" s="157"/>
      <c r="I114" s="166"/>
      <c r="L114" s="175"/>
      <c r="M114" s="169"/>
      <c r="N114" s="18" t="s">
        <v>3</v>
      </c>
      <c r="O114" s="19">
        <v>2</v>
      </c>
      <c r="P114" s="19">
        <v>2</v>
      </c>
      <c r="Q114" s="18" t="s">
        <v>78</v>
      </c>
      <c r="R114" s="157"/>
      <c r="S114" s="166"/>
    </row>
    <row r="115" spans="2:19" x14ac:dyDescent="0.25">
      <c r="B115" s="175"/>
      <c r="C115" s="169"/>
      <c r="D115" s="18" t="s">
        <v>80</v>
      </c>
      <c r="E115" s="20">
        <v>3</v>
      </c>
      <c r="F115" s="20">
        <v>3</v>
      </c>
      <c r="G115" s="18" t="s">
        <v>66</v>
      </c>
      <c r="H115" s="157"/>
      <c r="I115" s="166"/>
      <c r="L115" s="175"/>
      <c r="M115" s="169"/>
      <c r="N115" s="18" t="s">
        <v>80</v>
      </c>
      <c r="O115" s="20">
        <v>3</v>
      </c>
      <c r="P115" s="20">
        <v>3</v>
      </c>
      <c r="Q115" s="18" t="s">
        <v>66</v>
      </c>
      <c r="R115" s="157"/>
      <c r="S115" s="166"/>
    </row>
    <row r="116" spans="2:19" x14ac:dyDescent="0.25">
      <c r="B116" s="175"/>
      <c r="C116" s="169"/>
      <c r="D116" s="18" t="s">
        <v>81</v>
      </c>
      <c r="E116" s="20">
        <v>4</v>
      </c>
      <c r="F116" s="20">
        <v>4</v>
      </c>
      <c r="G116" s="18" t="s">
        <v>66</v>
      </c>
      <c r="H116" s="157"/>
      <c r="I116" s="166"/>
      <c r="L116" s="175"/>
      <c r="M116" s="169"/>
      <c r="N116" s="18" t="s">
        <v>81</v>
      </c>
      <c r="O116" s="20">
        <v>4</v>
      </c>
      <c r="P116" s="20">
        <v>4</v>
      </c>
      <c r="Q116" s="18" t="s">
        <v>66</v>
      </c>
      <c r="R116" s="157"/>
      <c r="S116" s="166"/>
    </row>
    <row r="117" spans="2:19" x14ac:dyDescent="0.25">
      <c r="B117" s="175"/>
      <c r="C117" s="169"/>
      <c r="D117" s="18" t="s">
        <v>82</v>
      </c>
      <c r="E117" s="20">
        <v>5</v>
      </c>
      <c r="F117" s="20">
        <v>5</v>
      </c>
      <c r="G117" s="18" t="s">
        <v>66</v>
      </c>
      <c r="H117" s="157"/>
      <c r="I117" s="166"/>
      <c r="L117" s="175"/>
      <c r="M117" s="169"/>
      <c r="N117" s="18" t="s">
        <v>82</v>
      </c>
      <c r="O117" s="20">
        <v>5</v>
      </c>
      <c r="P117" s="20">
        <v>5</v>
      </c>
      <c r="Q117" s="18" t="s">
        <v>66</v>
      </c>
      <c r="R117" s="157"/>
      <c r="S117" s="166"/>
    </row>
    <row r="118" spans="2:19" ht="15.75" thickBot="1" x14ac:dyDescent="0.3">
      <c r="B118" s="175"/>
      <c r="C118" s="170"/>
      <c r="D118" s="18" t="s">
        <v>83</v>
      </c>
      <c r="E118" s="20">
        <v>6</v>
      </c>
      <c r="F118" s="20">
        <v>6</v>
      </c>
      <c r="G118" s="18" t="s">
        <v>66</v>
      </c>
      <c r="H118" s="158"/>
      <c r="I118" s="167"/>
      <c r="L118" s="175"/>
      <c r="M118" s="170"/>
      <c r="N118" s="18" t="s">
        <v>83</v>
      </c>
      <c r="O118" s="20">
        <v>6</v>
      </c>
      <c r="P118" s="20">
        <v>6</v>
      </c>
      <c r="Q118" s="18" t="s">
        <v>66</v>
      </c>
      <c r="R118" s="158"/>
      <c r="S118" s="167"/>
    </row>
    <row r="119" spans="2:19" x14ac:dyDescent="0.25">
      <c r="B119" s="175"/>
      <c r="C119" s="168" t="s">
        <v>84</v>
      </c>
      <c r="D119" s="18" t="s">
        <v>2</v>
      </c>
      <c r="E119" s="19">
        <v>1</v>
      </c>
      <c r="F119" s="19">
        <v>7</v>
      </c>
      <c r="G119" s="18" t="s">
        <v>66</v>
      </c>
      <c r="H119" s="32"/>
      <c r="I119" s="50"/>
      <c r="L119" s="175"/>
      <c r="M119" s="168" t="s">
        <v>84</v>
      </c>
      <c r="N119" s="18" t="s">
        <v>2</v>
      </c>
      <c r="O119" s="19">
        <v>1</v>
      </c>
      <c r="P119" s="19">
        <v>7</v>
      </c>
      <c r="Q119" s="18" t="s">
        <v>66</v>
      </c>
      <c r="R119" s="32"/>
      <c r="S119" s="50"/>
    </row>
    <row r="120" spans="2:19" x14ac:dyDescent="0.25">
      <c r="B120" s="175"/>
      <c r="C120" s="169"/>
      <c r="D120" s="18" t="s">
        <v>3</v>
      </c>
      <c r="E120" s="19">
        <v>2</v>
      </c>
      <c r="F120" s="19">
        <v>8</v>
      </c>
      <c r="G120" s="18" t="s">
        <v>66</v>
      </c>
      <c r="H120" s="32"/>
      <c r="I120" s="50"/>
      <c r="L120" s="175"/>
      <c r="M120" s="169"/>
      <c r="N120" s="18" t="s">
        <v>3</v>
      </c>
      <c r="O120" s="19">
        <v>2</v>
      </c>
      <c r="P120" s="19">
        <v>8</v>
      </c>
      <c r="Q120" s="18" t="s">
        <v>66</v>
      </c>
      <c r="R120" s="32"/>
      <c r="S120" s="50"/>
    </row>
    <row r="121" spans="2:19" x14ac:dyDescent="0.25">
      <c r="B121" s="175"/>
      <c r="C121" s="169"/>
      <c r="D121" s="18" t="s">
        <v>80</v>
      </c>
      <c r="E121" s="20">
        <v>3</v>
      </c>
      <c r="F121" s="20">
        <v>9</v>
      </c>
      <c r="G121" s="18" t="s">
        <v>66</v>
      </c>
      <c r="H121" s="32"/>
      <c r="I121" s="50"/>
      <c r="L121" s="175"/>
      <c r="M121" s="169"/>
      <c r="N121" s="18" t="s">
        <v>80</v>
      </c>
      <c r="O121" s="20">
        <v>3</v>
      </c>
      <c r="P121" s="20">
        <v>9</v>
      </c>
      <c r="Q121" s="18" t="s">
        <v>66</v>
      </c>
      <c r="R121" s="32"/>
      <c r="S121" s="50"/>
    </row>
    <row r="122" spans="2:19" x14ac:dyDescent="0.25">
      <c r="B122" s="175"/>
      <c r="C122" s="169"/>
      <c r="D122" s="18" t="s">
        <v>81</v>
      </c>
      <c r="E122" s="20">
        <v>4</v>
      </c>
      <c r="F122" s="20">
        <v>10</v>
      </c>
      <c r="G122" s="18" t="s">
        <v>66</v>
      </c>
      <c r="H122" s="32"/>
      <c r="I122" s="50"/>
      <c r="L122" s="175"/>
      <c r="M122" s="169"/>
      <c r="N122" s="18" t="s">
        <v>81</v>
      </c>
      <c r="O122" s="20">
        <v>4</v>
      </c>
      <c r="P122" s="20">
        <v>10</v>
      </c>
      <c r="Q122" s="18" t="s">
        <v>66</v>
      </c>
      <c r="R122" s="32"/>
      <c r="S122" s="50"/>
    </row>
    <row r="123" spans="2:19" x14ac:dyDescent="0.25">
      <c r="B123" s="175"/>
      <c r="C123" s="169"/>
      <c r="D123" s="18" t="s">
        <v>82</v>
      </c>
      <c r="E123" s="20">
        <v>5</v>
      </c>
      <c r="F123" s="20">
        <v>11</v>
      </c>
      <c r="G123" s="18" t="s">
        <v>66</v>
      </c>
      <c r="H123" s="32"/>
      <c r="I123" s="50"/>
      <c r="L123" s="175"/>
      <c r="M123" s="169"/>
      <c r="N123" s="18" t="s">
        <v>82</v>
      </c>
      <c r="O123" s="20">
        <v>5</v>
      </c>
      <c r="P123" s="20">
        <v>11</v>
      </c>
      <c r="Q123" s="18" t="s">
        <v>66</v>
      </c>
      <c r="R123" s="32"/>
      <c r="S123" s="50"/>
    </row>
    <row r="124" spans="2:19" ht="15.75" thickBot="1" x14ac:dyDescent="0.3">
      <c r="B124" s="176"/>
      <c r="C124" s="170"/>
      <c r="D124" s="18" t="s">
        <v>83</v>
      </c>
      <c r="E124" s="20">
        <v>6</v>
      </c>
      <c r="F124" s="20">
        <v>12</v>
      </c>
      <c r="G124" s="18" t="s">
        <v>66</v>
      </c>
      <c r="H124" s="32"/>
      <c r="I124" s="50"/>
      <c r="L124" s="176"/>
      <c r="M124" s="170"/>
      <c r="N124" s="18" t="s">
        <v>83</v>
      </c>
      <c r="O124" s="20">
        <v>6</v>
      </c>
      <c r="P124" s="20">
        <v>12</v>
      </c>
      <c r="Q124" s="18" t="s">
        <v>66</v>
      </c>
      <c r="R124" s="32"/>
      <c r="S124" s="50"/>
    </row>
    <row r="125" spans="2:19" x14ac:dyDescent="0.25">
      <c r="B125" s="180" t="s">
        <v>3</v>
      </c>
      <c r="C125" s="177" t="s">
        <v>77</v>
      </c>
      <c r="D125" s="21" t="s">
        <v>2</v>
      </c>
      <c r="E125" s="22">
        <v>1</v>
      </c>
      <c r="F125" s="22">
        <v>13</v>
      </c>
      <c r="G125" s="21" t="s">
        <v>66</v>
      </c>
      <c r="H125" s="21"/>
      <c r="I125" s="51"/>
      <c r="L125" s="180" t="s">
        <v>3</v>
      </c>
      <c r="M125" s="177" t="s">
        <v>77</v>
      </c>
      <c r="N125" s="21" t="s">
        <v>2</v>
      </c>
      <c r="O125" s="22">
        <v>1</v>
      </c>
      <c r="P125" s="22">
        <v>13</v>
      </c>
      <c r="Q125" s="21" t="s">
        <v>66</v>
      </c>
      <c r="R125" s="21"/>
      <c r="S125" s="51"/>
    </row>
    <row r="126" spans="2:19" x14ac:dyDescent="0.25">
      <c r="B126" s="181"/>
      <c r="C126" s="178"/>
      <c r="D126" s="23" t="s">
        <v>3</v>
      </c>
      <c r="E126" s="24">
        <v>2</v>
      </c>
      <c r="F126" s="24">
        <v>14</v>
      </c>
      <c r="G126" s="23" t="s">
        <v>66</v>
      </c>
      <c r="H126" s="23"/>
      <c r="I126" s="47"/>
      <c r="L126" s="181"/>
      <c r="M126" s="178"/>
      <c r="N126" s="23" t="s">
        <v>3</v>
      </c>
      <c r="O126" s="24">
        <v>2</v>
      </c>
      <c r="P126" s="24">
        <v>14</v>
      </c>
      <c r="Q126" s="23" t="s">
        <v>66</v>
      </c>
      <c r="R126" s="23"/>
      <c r="S126" s="47"/>
    </row>
    <row r="127" spans="2:19" x14ac:dyDescent="0.25">
      <c r="B127" s="181"/>
      <c r="C127" s="178"/>
      <c r="D127" s="23" t="s">
        <v>80</v>
      </c>
      <c r="E127" s="24">
        <v>3</v>
      </c>
      <c r="F127" s="24">
        <v>15</v>
      </c>
      <c r="G127" s="23" t="s">
        <v>66</v>
      </c>
      <c r="H127" s="23"/>
      <c r="I127" s="47"/>
      <c r="L127" s="181"/>
      <c r="M127" s="178"/>
      <c r="N127" s="23" t="s">
        <v>80</v>
      </c>
      <c r="O127" s="24">
        <v>3</v>
      </c>
      <c r="P127" s="24">
        <v>15</v>
      </c>
      <c r="Q127" s="23" t="s">
        <v>66</v>
      </c>
      <c r="R127" s="23"/>
      <c r="S127" s="47"/>
    </row>
    <row r="128" spans="2:19" x14ac:dyDescent="0.25">
      <c r="B128" s="181"/>
      <c r="C128" s="178"/>
      <c r="D128" s="23" t="s">
        <v>81</v>
      </c>
      <c r="E128" s="24">
        <v>4</v>
      </c>
      <c r="F128" s="24">
        <v>16</v>
      </c>
      <c r="G128" s="23" t="s">
        <v>66</v>
      </c>
      <c r="H128" s="23"/>
      <c r="I128" s="47"/>
      <c r="L128" s="181"/>
      <c r="M128" s="178"/>
      <c r="N128" s="23" t="s">
        <v>81</v>
      </c>
      <c r="O128" s="24">
        <v>4</v>
      </c>
      <c r="P128" s="24">
        <v>16</v>
      </c>
      <c r="Q128" s="23" t="s">
        <v>66</v>
      </c>
      <c r="R128" s="23"/>
      <c r="S128" s="47"/>
    </row>
    <row r="129" spans="2:19" x14ac:dyDescent="0.25">
      <c r="B129" s="181"/>
      <c r="C129" s="178"/>
      <c r="D129" s="23" t="s">
        <v>82</v>
      </c>
      <c r="E129" s="24">
        <v>5</v>
      </c>
      <c r="F129" s="24">
        <v>17</v>
      </c>
      <c r="G129" s="23" t="s">
        <v>66</v>
      </c>
      <c r="H129" s="23"/>
      <c r="I129" s="47"/>
      <c r="L129" s="181"/>
      <c r="M129" s="178"/>
      <c r="N129" s="23" t="s">
        <v>82</v>
      </c>
      <c r="O129" s="24">
        <v>5</v>
      </c>
      <c r="P129" s="24">
        <v>17</v>
      </c>
      <c r="Q129" s="23" t="s">
        <v>66</v>
      </c>
      <c r="R129" s="23"/>
      <c r="S129" s="47"/>
    </row>
    <row r="130" spans="2:19" ht="15.75" thickBot="1" x14ac:dyDescent="0.3">
      <c r="B130" s="181"/>
      <c r="C130" s="179"/>
      <c r="D130" s="23" t="s">
        <v>83</v>
      </c>
      <c r="E130" s="24">
        <v>6</v>
      </c>
      <c r="F130" s="24">
        <v>18</v>
      </c>
      <c r="G130" s="23" t="s">
        <v>66</v>
      </c>
      <c r="H130" s="23"/>
      <c r="I130" s="47"/>
      <c r="L130" s="181"/>
      <c r="M130" s="179"/>
      <c r="N130" s="23" t="s">
        <v>83</v>
      </c>
      <c r="O130" s="24">
        <v>6</v>
      </c>
      <c r="P130" s="24">
        <v>18</v>
      </c>
      <c r="Q130" s="23" t="s">
        <v>66</v>
      </c>
      <c r="R130" s="23"/>
      <c r="S130" s="47"/>
    </row>
    <row r="131" spans="2:19" x14ac:dyDescent="0.25">
      <c r="B131" s="181"/>
      <c r="C131" s="177" t="s">
        <v>84</v>
      </c>
      <c r="D131" s="23" t="s">
        <v>2</v>
      </c>
      <c r="E131" s="24">
        <v>1</v>
      </c>
      <c r="F131" s="24">
        <v>19</v>
      </c>
      <c r="G131" s="23" t="s">
        <v>66</v>
      </c>
      <c r="H131" s="23"/>
      <c r="I131" s="47"/>
      <c r="L131" s="181"/>
      <c r="M131" s="177" t="s">
        <v>84</v>
      </c>
      <c r="N131" s="23" t="s">
        <v>2</v>
      </c>
      <c r="O131" s="24">
        <v>1</v>
      </c>
      <c r="P131" s="24">
        <v>19</v>
      </c>
      <c r="Q131" s="23" t="s">
        <v>66</v>
      </c>
      <c r="R131" s="23"/>
      <c r="S131" s="47"/>
    </row>
    <row r="132" spans="2:19" x14ac:dyDescent="0.25">
      <c r="B132" s="181"/>
      <c r="C132" s="178"/>
      <c r="D132" s="23" t="s">
        <v>3</v>
      </c>
      <c r="E132" s="24">
        <v>2</v>
      </c>
      <c r="F132" s="24">
        <v>20</v>
      </c>
      <c r="G132" s="23" t="s">
        <v>66</v>
      </c>
      <c r="H132" s="23"/>
      <c r="I132" s="47"/>
      <c r="L132" s="181"/>
      <c r="M132" s="178"/>
      <c r="N132" s="23" t="s">
        <v>3</v>
      </c>
      <c r="O132" s="24">
        <v>2</v>
      </c>
      <c r="P132" s="24">
        <v>20</v>
      </c>
      <c r="Q132" s="23" t="s">
        <v>66</v>
      </c>
      <c r="R132" s="23"/>
      <c r="S132" s="47"/>
    </row>
    <row r="133" spans="2:19" x14ac:dyDescent="0.25">
      <c r="B133" s="181"/>
      <c r="C133" s="178"/>
      <c r="D133" s="23" t="s">
        <v>80</v>
      </c>
      <c r="E133" s="26">
        <v>3</v>
      </c>
      <c r="F133" s="24">
        <v>21</v>
      </c>
      <c r="G133" s="23" t="s">
        <v>66</v>
      </c>
      <c r="H133" s="23"/>
      <c r="I133" s="47"/>
      <c r="L133" s="181"/>
      <c r="M133" s="178"/>
      <c r="N133" s="23" t="s">
        <v>80</v>
      </c>
      <c r="O133" s="26">
        <v>3</v>
      </c>
      <c r="P133" s="24">
        <v>21</v>
      </c>
      <c r="Q133" s="23" t="s">
        <v>66</v>
      </c>
      <c r="R133" s="23"/>
      <c r="S133" s="47"/>
    </row>
    <row r="134" spans="2:19" x14ac:dyDescent="0.25">
      <c r="B134" s="181"/>
      <c r="C134" s="178"/>
      <c r="D134" s="23" t="s">
        <v>81</v>
      </c>
      <c r="E134" s="24">
        <v>4</v>
      </c>
      <c r="F134" s="24">
        <v>22</v>
      </c>
      <c r="G134" s="23" t="s">
        <v>66</v>
      </c>
      <c r="H134" s="23"/>
      <c r="I134" s="47"/>
      <c r="L134" s="181"/>
      <c r="M134" s="178"/>
      <c r="N134" s="23" t="s">
        <v>81</v>
      </c>
      <c r="O134" s="24">
        <v>4</v>
      </c>
      <c r="P134" s="24">
        <v>22</v>
      </c>
      <c r="Q134" s="23" t="s">
        <v>66</v>
      </c>
      <c r="R134" s="23"/>
      <c r="S134" s="47"/>
    </row>
    <row r="135" spans="2:19" x14ac:dyDescent="0.25">
      <c r="B135" s="181"/>
      <c r="C135" s="178"/>
      <c r="D135" s="23" t="s">
        <v>82</v>
      </c>
      <c r="E135" s="24">
        <v>5</v>
      </c>
      <c r="F135" s="24">
        <v>23</v>
      </c>
      <c r="G135" s="23" t="s">
        <v>66</v>
      </c>
      <c r="H135" s="23"/>
      <c r="I135" s="47"/>
      <c r="L135" s="181"/>
      <c r="M135" s="178"/>
      <c r="N135" s="23" t="s">
        <v>82</v>
      </c>
      <c r="O135" s="24">
        <v>5</v>
      </c>
      <c r="P135" s="24">
        <v>23</v>
      </c>
      <c r="Q135" s="23" t="s">
        <v>66</v>
      </c>
      <c r="R135" s="23"/>
      <c r="S135" s="47"/>
    </row>
    <row r="136" spans="2:19" ht="15.75" thickBot="1" x14ac:dyDescent="0.3">
      <c r="B136" s="182"/>
      <c r="C136" s="179"/>
      <c r="D136" s="23" t="s">
        <v>83</v>
      </c>
      <c r="E136" s="24">
        <v>6</v>
      </c>
      <c r="F136" s="24">
        <v>24</v>
      </c>
      <c r="G136" s="23" t="s">
        <v>66</v>
      </c>
      <c r="H136" s="23"/>
      <c r="I136" s="47"/>
      <c r="L136" s="182"/>
      <c r="M136" s="179"/>
      <c r="N136" s="23" t="s">
        <v>83</v>
      </c>
      <c r="O136" s="24">
        <v>6</v>
      </c>
      <c r="P136" s="24">
        <v>24</v>
      </c>
      <c r="Q136" s="23" t="s">
        <v>66</v>
      </c>
      <c r="R136" s="23"/>
      <c r="S136" s="47"/>
    </row>
    <row r="137" spans="2:19" x14ac:dyDescent="0.25">
      <c r="B137" s="189" t="s">
        <v>80</v>
      </c>
      <c r="C137" s="192" t="s">
        <v>77</v>
      </c>
      <c r="D137" s="27" t="s">
        <v>2</v>
      </c>
      <c r="E137" s="28">
        <v>1</v>
      </c>
      <c r="F137" s="28">
        <v>25</v>
      </c>
      <c r="G137" s="27" t="s">
        <v>66</v>
      </c>
      <c r="H137" s="27"/>
      <c r="I137" s="48"/>
      <c r="L137" s="189" t="s">
        <v>80</v>
      </c>
      <c r="M137" s="192" t="s">
        <v>77</v>
      </c>
      <c r="N137" s="27" t="s">
        <v>2</v>
      </c>
      <c r="O137" s="28">
        <v>1</v>
      </c>
      <c r="P137" s="28">
        <v>25</v>
      </c>
      <c r="Q137" s="27" t="s">
        <v>66</v>
      </c>
      <c r="R137" s="27"/>
      <c r="S137" s="48"/>
    </row>
    <row r="138" spans="2:19" x14ac:dyDescent="0.25">
      <c r="B138" s="190"/>
      <c r="C138" s="193"/>
      <c r="D138" s="27" t="s">
        <v>3</v>
      </c>
      <c r="E138" s="28">
        <v>2</v>
      </c>
      <c r="F138" s="28">
        <v>26</v>
      </c>
      <c r="G138" s="27" t="s">
        <v>66</v>
      </c>
      <c r="H138" s="27"/>
      <c r="I138" s="48"/>
      <c r="L138" s="190"/>
      <c r="M138" s="193"/>
      <c r="N138" s="27" t="s">
        <v>3</v>
      </c>
      <c r="O138" s="28">
        <v>2</v>
      </c>
      <c r="P138" s="28">
        <v>26</v>
      </c>
      <c r="Q138" s="27" t="s">
        <v>66</v>
      </c>
      <c r="R138" s="27"/>
      <c r="S138" s="48"/>
    </row>
    <row r="139" spans="2:19" x14ac:dyDescent="0.25">
      <c r="B139" s="190"/>
      <c r="C139" s="193"/>
      <c r="D139" s="27" t="s">
        <v>80</v>
      </c>
      <c r="E139" s="28">
        <v>3</v>
      </c>
      <c r="F139" s="28">
        <v>27</v>
      </c>
      <c r="G139" s="27" t="s">
        <v>66</v>
      </c>
      <c r="H139" s="27"/>
      <c r="I139" s="48"/>
      <c r="L139" s="190"/>
      <c r="M139" s="193"/>
      <c r="N139" s="27" t="s">
        <v>80</v>
      </c>
      <c r="O139" s="28">
        <v>3</v>
      </c>
      <c r="P139" s="28">
        <v>27</v>
      </c>
      <c r="Q139" s="27" t="s">
        <v>66</v>
      </c>
      <c r="R139" s="27"/>
      <c r="S139" s="48"/>
    </row>
    <row r="140" spans="2:19" x14ac:dyDescent="0.25">
      <c r="B140" s="190"/>
      <c r="C140" s="193"/>
      <c r="D140" s="27" t="s">
        <v>81</v>
      </c>
      <c r="E140" s="28">
        <v>4</v>
      </c>
      <c r="F140" s="28">
        <v>28</v>
      </c>
      <c r="G140" s="27" t="s">
        <v>66</v>
      </c>
      <c r="H140" s="27"/>
      <c r="I140" s="48"/>
      <c r="L140" s="190"/>
      <c r="M140" s="193"/>
      <c r="N140" s="27" t="s">
        <v>81</v>
      </c>
      <c r="O140" s="28">
        <v>4</v>
      </c>
      <c r="P140" s="28">
        <v>28</v>
      </c>
      <c r="Q140" s="27" t="s">
        <v>66</v>
      </c>
      <c r="R140" s="27"/>
      <c r="S140" s="48"/>
    </row>
    <row r="141" spans="2:19" x14ac:dyDescent="0.25">
      <c r="B141" s="190"/>
      <c r="C141" s="193"/>
      <c r="D141" s="27" t="s">
        <v>82</v>
      </c>
      <c r="E141" s="28">
        <v>5</v>
      </c>
      <c r="F141" s="28">
        <v>29</v>
      </c>
      <c r="G141" s="27" t="s">
        <v>66</v>
      </c>
      <c r="H141" s="27"/>
      <c r="I141" s="48"/>
      <c r="L141" s="190"/>
      <c r="M141" s="193"/>
      <c r="N141" s="27" t="s">
        <v>82</v>
      </c>
      <c r="O141" s="28">
        <v>5</v>
      </c>
      <c r="P141" s="28">
        <v>29</v>
      </c>
      <c r="Q141" s="27" t="s">
        <v>66</v>
      </c>
      <c r="R141" s="27"/>
      <c r="S141" s="48"/>
    </row>
    <row r="142" spans="2:19" ht="15.75" thickBot="1" x14ac:dyDescent="0.3">
      <c r="B142" s="190"/>
      <c r="C142" s="194"/>
      <c r="D142" s="27" t="s">
        <v>83</v>
      </c>
      <c r="E142" s="28">
        <v>6</v>
      </c>
      <c r="F142" s="28">
        <v>30</v>
      </c>
      <c r="G142" s="27" t="s">
        <v>66</v>
      </c>
      <c r="H142" s="27"/>
      <c r="I142" s="48"/>
      <c r="L142" s="190"/>
      <c r="M142" s="194"/>
      <c r="N142" s="27" t="s">
        <v>83</v>
      </c>
      <c r="O142" s="28">
        <v>6</v>
      </c>
      <c r="P142" s="28">
        <v>30</v>
      </c>
      <c r="Q142" s="27" t="s">
        <v>66</v>
      </c>
      <c r="R142" s="27"/>
      <c r="S142" s="48"/>
    </row>
    <row r="143" spans="2:19" x14ac:dyDescent="0.25">
      <c r="B143" s="190"/>
      <c r="C143" s="192" t="s">
        <v>84</v>
      </c>
      <c r="D143" s="27" t="s">
        <v>2</v>
      </c>
      <c r="E143" s="28">
        <v>1</v>
      </c>
      <c r="F143" s="28">
        <v>31</v>
      </c>
      <c r="G143" s="27" t="s">
        <v>66</v>
      </c>
      <c r="H143" s="27"/>
      <c r="I143" s="48"/>
      <c r="L143" s="190"/>
      <c r="M143" s="192" t="s">
        <v>84</v>
      </c>
      <c r="N143" s="27" t="s">
        <v>2</v>
      </c>
      <c r="O143" s="28">
        <v>1</v>
      </c>
      <c r="P143" s="28">
        <v>31</v>
      </c>
      <c r="Q143" s="27" t="s">
        <v>66</v>
      </c>
      <c r="R143" s="27"/>
      <c r="S143" s="48"/>
    </row>
    <row r="144" spans="2:19" x14ac:dyDescent="0.25">
      <c r="B144" s="190"/>
      <c r="C144" s="193"/>
      <c r="D144" s="27" t="s">
        <v>3</v>
      </c>
      <c r="E144" s="28">
        <v>2</v>
      </c>
      <c r="F144" s="28">
        <v>32</v>
      </c>
      <c r="G144" s="27" t="s">
        <v>66</v>
      </c>
      <c r="H144" s="27"/>
      <c r="I144" s="48"/>
      <c r="L144" s="190"/>
      <c r="M144" s="193"/>
      <c r="N144" s="27" t="s">
        <v>3</v>
      </c>
      <c r="O144" s="28">
        <v>2</v>
      </c>
      <c r="P144" s="28">
        <v>32</v>
      </c>
      <c r="Q144" s="27" t="s">
        <v>66</v>
      </c>
      <c r="R144" s="27"/>
      <c r="S144" s="48"/>
    </row>
    <row r="145" spans="2:19" x14ac:dyDescent="0.25">
      <c r="B145" s="190"/>
      <c r="C145" s="193"/>
      <c r="D145" s="27" t="s">
        <v>80</v>
      </c>
      <c r="E145" s="28">
        <v>3</v>
      </c>
      <c r="F145" s="28">
        <v>33</v>
      </c>
      <c r="G145" s="27" t="s">
        <v>66</v>
      </c>
      <c r="H145" s="27"/>
      <c r="I145" s="48"/>
      <c r="L145" s="190"/>
      <c r="M145" s="193"/>
      <c r="N145" s="27" t="s">
        <v>80</v>
      </c>
      <c r="O145" s="28">
        <v>3</v>
      </c>
      <c r="P145" s="28">
        <v>33</v>
      </c>
      <c r="Q145" s="27" t="s">
        <v>66</v>
      </c>
      <c r="R145" s="27"/>
      <c r="S145" s="48"/>
    </row>
    <row r="146" spans="2:19" x14ac:dyDescent="0.25">
      <c r="B146" s="190"/>
      <c r="C146" s="193"/>
      <c r="D146" s="27" t="s">
        <v>81</v>
      </c>
      <c r="E146" s="28">
        <v>4</v>
      </c>
      <c r="F146" s="28">
        <v>34</v>
      </c>
      <c r="G146" s="27" t="s">
        <v>66</v>
      </c>
      <c r="H146" s="27"/>
      <c r="I146" s="48"/>
      <c r="L146" s="190"/>
      <c r="M146" s="193"/>
      <c r="N146" s="27" t="s">
        <v>81</v>
      </c>
      <c r="O146" s="28">
        <v>4</v>
      </c>
      <c r="P146" s="28">
        <v>34</v>
      </c>
      <c r="Q146" s="27" t="s">
        <v>66</v>
      </c>
      <c r="R146" s="27"/>
      <c r="S146" s="48"/>
    </row>
    <row r="147" spans="2:19" x14ac:dyDescent="0.25">
      <c r="B147" s="190"/>
      <c r="C147" s="193"/>
      <c r="D147" s="27" t="s">
        <v>82</v>
      </c>
      <c r="E147" s="28">
        <v>5</v>
      </c>
      <c r="F147" s="28">
        <v>35</v>
      </c>
      <c r="G147" s="27" t="s">
        <v>66</v>
      </c>
      <c r="H147" s="27"/>
      <c r="I147" s="48"/>
      <c r="L147" s="190"/>
      <c r="M147" s="193"/>
      <c r="N147" s="27" t="s">
        <v>82</v>
      </c>
      <c r="O147" s="28">
        <v>5</v>
      </c>
      <c r="P147" s="28">
        <v>35</v>
      </c>
      <c r="Q147" s="27" t="s">
        <v>66</v>
      </c>
      <c r="R147" s="27"/>
      <c r="S147" s="48"/>
    </row>
    <row r="148" spans="2:19" ht="15.75" thickBot="1" x14ac:dyDescent="0.3">
      <c r="B148" s="191"/>
      <c r="C148" s="194"/>
      <c r="D148" s="27" t="s">
        <v>83</v>
      </c>
      <c r="E148" s="28">
        <v>6</v>
      </c>
      <c r="F148" s="28">
        <v>36</v>
      </c>
      <c r="G148" s="27" t="s">
        <v>66</v>
      </c>
      <c r="H148" s="27"/>
      <c r="I148" s="48"/>
      <c r="L148" s="191"/>
      <c r="M148" s="194"/>
      <c r="N148" s="27" t="s">
        <v>83</v>
      </c>
      <c r="O148" s="28">
        <v>6</v>
      </c>
      <c r="P148" s="28">
        <v>36</v>
      </c>
      <c r="Q148" s="27" t="s">
        <v>66</v>
      </c>
      <c r="R148" s="27"/>
      <c r="S148" s="48"/>
    </row>
    <row r="149" spans="2:19" x14ac:dyDescent="0.25">
      <c r="B149" s="183" t="s">
        <v>81</v>
      </c>
      <c r="C149" s="186" t="s">
        <v>77</v>
      </c>
      <c r="D149" s="29" t="s">
        <v>2</v>
      </c>
      <c r="E149" s="30">
        <v>1</v>
      </c>
      <c r="F149" s="30">
        <v>37</v>
      </c>
      <c r="G149" s="29" t="s">
        <v>66</v>
      </c>
      <c r="H149" s="29"/>
      <c r="I149" s="49"/>
      <c r="L149" s="183" t="s">
        <v>81</v>
      </c>
      <c r="M149" s="186" t="s">
        <v>77</v>
      </c>
      <c r="N149" s="29" t="s">
        <v>2</v>
      </c>
      <c r="O149" s="30">
        <v>1</v>
      </c>
      <c r="P149" s="30">
        <v>37</v>
      </c>
      <c r="Q149" s="29" t="s">
        <v>66</v>
      </c>
      <c r="R149" s="29"/>
      <c r="S149" s="49"/>
    </row>
    <row r="150" spans="2:19" x14ac:dyDescent="0.25">
      <c r="B150" s="184"/>
      <c r="C150" s="187"/>
      <c r="D150" s="29" t="s">
        <v>3</v>
      </c>
      <c r="E150" s="30">
        <v>2</v>
      </c>
      <c r="F150" s="30">
        <v>38</v>
      </c>
      <c r="G150" s="29" t="s">
        <v>66</v>
      </c>
      <c r="H150" s="29"/>
      <c r="I150" s="49"/>
      <c r="L150" s="184"/>
      <c r="M150" s="187"/>
      <c r="N150" s="29" t="s">
        <v>3</v>
      </c>
      <c r="O150" s="30">
        <v>2</v>
      </c>
      <c r="P150" s="30">
        <v>38</v>
      </c>
      <c r="Q150" s="29" t="s">
        <v>66</v>
      </c>
      <c r="R150" s="29"/>
      <c r="S150" s="49"/>
    </row>
    <row r="151" spans="2:19" x14ac:dyDescent="0.25">
      <c r="B151" s="184"/>
      <c r="C151" s="187"/>
      <c r="D151" s="29" t="s">
        <v>80</v>
      </c>
      <c r="E151" s="30">
        <v>3</v>
      </c>
      <c r="F151" s="30">
        <v>39</v>
      </c>
      <c r="G151" s="29" t="s">
        <v>66</v>
      </c>
      <c r="H151" s="29"/>
      <c r="I151" s="49"/>
      <c r="L151" s="184"/>
      <c r="M151" s="187"/>
      <c r="N151" s="29" t="s">
        <v>80</v>
      </c>
      <c r="O151" s="30">
        <v>3</v>
      </c>
      <c r="P151" s="30">
        <v>39</v>
      </c>
      <c r="Q151" s="29" t="s">
        <v>66</v>
      </c>
      <c r="R151" s="29"/>
      <c r="S151" s="49"/>
    </row>
    <row r="152" spans="2:19" x14ac:dyDescent="0.25">
      <c r="B152" s="184"/>
      <c r="C152" s="187"/>
      <c r="D152" s="29" t="s">
        <v>81</v>
      </c>
      <c r="E152" s="30">
        <v>4</v>
      </c>
      <c r="F152" s="30">
        <v>40</v>
      </c>
      <c r="G152" s="29" t="s">
        <v>66</v>
      </c>
      <c r="H152" s="29"/>
      <c r="I152" s="49"/>
      <c r="L152" s="184"/>
      <c r="M152" s="187"/>
      <c r="N152" s="29" t="s">
        <v>81</v>
      </c>
      <c r="O152" s="30">
        <v>4</v>
      </c>
      <c r="P152" s="30">
        <v>40</v>
      </c>
      <c r="Q152" s="29" t="s">
        <v>66</v>
      </c>
      <c r="R152" s="29"/>
      <c r="S152" s="49"/>
    </row>
    <row r="153" spans="2:19" x14ac:dyDescent="0.25">
      <c r="B153" s="184"/>
      <c r="C153" s="187"/>
      <c r="D153" s="29" t="s">
        <v>82</v>
      </c>
      <c r="E153" s="30">
        <v>5</v>
      </c>
      <c r="F153" s="30">
        <v>41</v>
      </c>
      <c r="G153" s="29" t="s">
        <v>66</v>
      </c>
      <c r="H153" s="29"/>
      <c r="I153" s="49"/>
      <c r="L153" s="184"/>
      <c r="M153" s="187"/>
      <c r="N153" s="29" t="s">
        <v>82</v>
      </c>
      <c r="O153" s="30">
        <v>5</v>
      </c>
      <c r="P153" s="30">
        <v>41</v>
      </c>
      <c r="Q153" s="29" t="s">
        <v>66</v>
      </c>
      <c r="R153" s="29"/>
      <c r="S153" s="49"/>
    </row>
    <row r="154" spans="2:19" ht="15.75" thickBot="1" x14ac:dyDescent="0.3">
      <c r="B154" s="184"/>
      <c r="C154" s="188"/>
      <c r="D154" s="29" t="s">
        <v>83</v>
      </c>
      <c r="E154" s="30">
        <v>6</v>
      </c>
      <c r="F154" s="30">
        <v>42</v>
      </c>
      <c r="G154" s="29" t="s">
        <v>66</v>
      </c>
      <c r="H154" s="29"/>
      <c r="I154" s="49"/>
      <c r="L154" s="184"/>
      <c r="M154" s="188"/>
      <c r="N154" s="29" t="s">
        <v>83</v>
      </c>
      <c r="O154" s="30">
        <v>6</v>
      </c>
      <c r="P154" s="30">
        <v>42</v>
      </c>
      <c r="Q154" s="29" t="s">
        <v>66</v>
      </c>
      <c r="R154" s="29"/>
      <c r="S154" s="49"/>
    </row>
    <row r="155" spans="2:19" x14ac:dyDescent="0.25">
      <c r="B155" s="184"/>
      <c r="C155" s="186" t="s">
        <v>84</v>
      </c>
      <c r="D155" s="29" t="s">
        <v>2</v>
      </c>
      <c r="E155" s="30">
        <v>1</v>
      </c>
      <c r="F155" s="30">
        <v>43</v>
      </c>
      <c r="G155" s="29" t="s">
        <v>66</v>
      </c>
      <c r="H155" s="29"/>
      <c r="I155" s="49"/>
      <c r="L155" s="184"/>
      <c r="M155" s="186" t="s">
        <v>84</v>
      </c>
      <c r="N155" s="29" t="s">
        <v>2</v>
      </c>
      <c r="O155" s="30">
        <v>1</v>
      </c>
      <c r="P155" s="30">
        <v>43</v>
      </c>
      <c r="Q155" s="29" t="s">
        <v>66</v>
      </c>
      <c r="R155" s="29"/>
      <c r="S155" s="49"/>
    </row>
    <row r="156" spans="2:19" x14ac:dyDescent="0.25">
      <c r="B156" s="184"/>
      <c r="C156" s="187"/>
      <c r="D156" s="29" t="s">
        <v>3</v>
      </c>
      <c r="E156" s="30">
        <v>2</v>
      </c>
      <c r="F156" s="30">
        <v>44</v>
      </c>
      <c r="G156" s="29" t="s">
        <v>66</v>
      </c>
      <c r="H156" s="29"/>
      <c r="I156" s="49"/>
      <c r="L156" s="184"/>
      <c r="M156" s="187"/>
      <c r="N156" s="29" t="s">
        <v>3</v>
      </c>
      <c r="O156" s="30">
        <v>2</v>
      </c>
      <c r="P156" s="30">
        <v>44</v>
      </c>
      <c r="Q156" s="29" t="s">
        <v>66</v>
      </c>
      <c r="R156" s="29"/>
      <c r="S156" s="49"/>
    </row>
    <row r="157" spans="2:19" x14ac:dyDescent="0.25">
      <c r="B157" s="184"/>
      <c r="C157" s="187"/>
      <c r="D157" s="29" t="s">
        <v>80</v>
      </c>
      <c r="E157" s="30">
        <v>3</v>
      </c>
      <c r="F157" s="30">
        <v>45</v>
      </c>
      <c r="G157" s="29" t="s">
        <v>66</v>
      </c>
      <c r="H157" s="29"/>
      <c r="I157" s="49"/>
      <c r="L157" s="184"/>
      <c r="M157" s="187"/>
      <c r="N157" s="29" t="s">
        <v>80</v>
      </c>
      <c r="O157" s="30">
        <v>3</v>
      </c>
      <c r="P157" s="30">
        <v>45</v>
      </c>
      <c r="Q157" s="29" t="s">
        <v>66</v>
      </c>
      <c r="R157" s="29"/>
      <c r="S157" s="49"/>
    </row>
    <row r="158" spans="2:19" x14ac:dyDescent="0.25">
      <c r="B158" s="184"/>
      <c r="C158" s="187"/>
      <c r="D158" s="29" t="s">
        <v>81</v>
      </c>
      <c r="E158" s="30">
        <v>4</v>
      </c>
      <c r="F158" s="30">
        <v>46</v>
      </c>
      <c r="G158" s="29" t="s">
        <v>66</v>
      </c>
      <c r="H158" s="29"/>
      <c r="I158" s="49"/>
      <c r="L158" s="184"/>
      <c r="M158" s="187"/>
      <c r="N158" s="29" t="s">
        <v>81</v>
      </c>
      <c r="O158" s="30">
        <v>4</v>
      </c>
      <c r="P158" s="30">
        <v>46</v>
      </c>
      <c r="Q158" s="29" t="s">
        <v>66</v>
      </c>
      <c r="R158" s="29"/>
      <c r="S158" s="49"/>
    </row>
    <row r="159" spans="2:19" x14ac:dyDescent="0.25">
      <c r="B159" s="184"/>
      <c r="C159" s="187"/>
      <c r="D159" s="29" t="s">
        <v>82</v>
      </c>
      <c r="E159" s="30">
        <v>5</v>
      </c>
      <c r="F159" s="30">
        <v>47</v>
      </c>
      <c r="G159" s="29" t="s">
        <v>66</v>
      </c>
      <c r="H159" s="29"/>
      <c r="I159" s="49"/>
      <c r="L159" s="184"/>
      <c r="M159" s="187"/>
      <c r="N159" s="29" t="s">
        <v>82</v>
      </c>
      <c r="O159" s="30">
        <v>5</v>
      </c>
      <c r="P159" s="30">
        <v>47</v>
      </c>
      <c r="Q159" s="29" t="s">
        <v>66</v>
      </c>
      <c r="R159" s="29"/>
      <c r="S159" s="49"/>
    </row>
    <row r="160" spans="2:19" ht="15.75" thickBot="1" x14ac:dyDescent="0.3">
      <c r="B160" s="185"/>
      <c r="C160" s="188"/>
      <c r="D160" s="29" t="s">
        <v>83</v>
      </c>
      <c r="E160" s="30">
        <v>6</v>
      </c>
      <c r="F160" s="30">
        <v>48</v>
      </c>
      <c r="G160" s="29" t="s">
        <v>66</v>
      </c>
      <c r="H160" s="29"/>
      <c r="I160" s="49"/>
      <c r="L160" s="185"/>
      <c r="M160" s="188"/>
      <c r="N160" s="29" t="s">
        <v>83</v>
      </c>
      <c r="O160" s="30">
        <v>6</v>
      </c>
      <c r="P160" s="30">
        <v>48</v>
      </c>
      <c r="Q160" s="29" t="s">
        <v>66</v>
      </c>
      <c r="R160" s="29"/>
      <c r="S160" s="49"/>
    </row>
    <row r="161" spans="2:19" ht="15.75" thickBot="1" x14ac:dyDescent="0.3"/>
    <row r="162" spans="2:19" ht="15.75" thickBot="1" x14ac:dyDescent="0.3">
      <c r="B162" s="171" t="s">
        <v>350</v>
      </c>
      <c r="C162" s="172"/>
      <c r="D162" s="172"/>
      <c r="E162" s="172"/>
      <c r="F162" s="172"/>
      <c r="G162" s="172"/>
      <c r="H162" s="172"/>
      <c r="I162" s="173"/>
      <c r="L162" s="171" t="s">
        <v>351</v>
      </c>
      <c r="M162" s="172"/>
      <c r="N162" s="172"/>
      <c r="O162" s="172"/>
      <c r="P162" s="172"/>
      <c r="Q162" s="172"/>
      <c r="R162" s="172"/>
      <c r="S162" s="173"/>
    </row>
    <row r="163" spans="2:19" ht="8.25" customHeight="1" x14ac:dyDescent="0.25"/>
    <row r="164" spans="2:19" ht="26.25" thickBot="1" x14ac:dyDescent="0.3">
      <c r="B164" s="15" t="s">
        <v>70</v>
      </c>
      <c r="C164" s="16" t="s">
        <v>71</v>
      </c>
      <c r="D164" s="15" t="s">
        <v>72</v>
      </c>
      <c r="E164" s="17" t="s">
        <v>73</v>
      </c>
      <c r="F164" s="17" t="s">
        <v>74</v>
      </c>
      <c r="G164" s="15" t="s">
        <v>75</v>
      </c>
      <c r="H164" s="15" t="s">
        <v>55</v>
      </c>
      <c r="I164" s="15" t="s">
        <v>76</v>
      </c>
      <c r="L164" s="15" t="s">
        <v>70</v>
      </c>
      <c r="M164" s="16" t="s">
        <v>71</v>
      </c>
      <c r="N164" s="15" t="s">
        <v>72</v>
      </c>
      <c r="O164" s="17" t="s">
        <v>73</v>
      </c>
      <c r="P164" s="17" t="s">
        <v>74</v>
      </c>
      <c r="Q164" s="15" t="s">
        <v>75</v>
      </c>
      <c r="R164" s="15" t="s">
        <v>55</v>
      </c>
      <c r="S164" s="15" t="s">
        <v>76</v>
      </c>
    </row>
    <row r="165" spans="2:19" x14ac:dyDescent="0.25">
      <c r="B165" s="174" t="s">
        <v>2</v>
      </c>
      <c r="C165" s="168" t="s">
        <v>77</v>
      </c>
      <c r="D165" s="18" t="s">
        <v>2</v>
      </c>
      <c r="E165" s="19">
        <v>1</v>
      </c>
      <c r="F165" s="19">
        <v>1</v>
      </c>
      <c r="G165" s="18" t="s">
        <v>78</v>
      </c>
      <c r="H165" s="156" t="s">
        <v>141</v>
      </c>
      <c r="I165" s="165" t="s">
        <v>194</v>
      </c>
      <c r="L165" s="174" t="s">
        <v>2</v>
      </c>
      <c r="M165" s="168" t="s">
        <v>77</v>
      </c>
      <c r="N165" s="18" t="s">
        <v>2</v>
      </c>
      <c r="O165" s="19">
        <v>1</v>
      </c>
      <c r="P165" s="19">
        <v>1</v>
      </c>
      <c r="Q165" s="18" t="s">
        <v>78</v>
      </c>
      <c r="R165" s="156" t="s">
        <v>141</v>
      </c>
      <c r="S165" s="165" t="s">
        <v>196</v>
      </c>
    </row>
    <row r="166" spans="2:19" x14ac:dyDescent="0.25">
      <c r="B166" s="175"/>
      <c r="C166" s="169"/>
      <c r="D166" s="18" t="s">
        <v>3</v>
      </c>
      <c r="E166" s="19">
        <v>2</v>
      </c>
      <c r="F166" s="19">
        <v>2</v>
      </c>
      <c r="G166" s="18" t="s">
        <v>78</v>
      </c>
      <c r="H166" s="157"/>
      <c r="I166" s="166"/>
      <c r="L166" s="175"/>
      <c r="M166" s="169"/>
      <c r="N166" s="18" t="s">
        <v>3</v>
      </c>
      <c r="O166" s="19">
        <v>2</v>
      </c>
      <c r="P166" s="19">
        <v>2</v>
      </c>
      <c r="Q166" s="18" t="s">
        <v>78</v>
      </c>
      <c r="R166" s="157"/>
      <c r="S166" s="166"/>
    </row>
    <row r="167" spans="2:19" x14ac:dyDescent="0.25">
      <c r="B167" s="175"/>
      <c r="C167" s="169"/>
      <c r="D167" s="18" t="s">
        <v>80</v>
      </c>
      <c r="E167" s="20">
        <v>3</v>
      </c>
      <c r="F167" s="20">
        <v>3</v>
      </c>
      <c r="G167" s="18" t="s">
        <v>66</v>
      </c>
      <c r="H167" s="157"/>
      <c r="I167" s="166"/>
      <c r="L167" s="175"/>
      <c r="M167" s="169"/>
      <c r="N167" s="18" t="s">
        <v>80</v>
      </c>
      <c r="O167" s="20">
        <v>3</v>
      </c>
      <c r="P167" s="20">
        <v>3</v>
      </c>
      <c r="Q167" s="18" t="s">
        <v>66</v>
      </c>
      <c r="R167" s="157"/>
      <c r="S167" s="166"/>
    </row>
    <row r="168" spans="2:19" x14ac:dyDescent="0.25">
      <c r="B168" s="175"/>
      <c r="C168" s="169"/>
      <c r="D168" s="18" t="s">
        <v>81</v>
      </c>
      <c r="E168" s="20">
        <v>4</v>
      </c>
      <c r="F168" s="20">
        <v>4</v>
      </c>
      <c r="G168" s="18" t="s">
        <v>66</v>
      </c>
      <c r="H168" s="157"/>
      <c r="I168" s="166"/>
      <c r="L168" s="175"/>
      <c r="M168" s="169"/>
      <c r="N168" s="18" t="s">
        <v>81</v>
      </c>
      <c r="O168" s="20">
        <v>4</v>
      </c>
      <c r="P168" s="20">
        <v>4</v>
      </c>
      <c r="Q168" s="18" t="s">
        <v>66</v>
      </c>
      <c r="R168" s="157"/>
      <c r="S168" s="166"/>
    </row>
    <row r="169" spans="2:19" x14ac:dyDescent="0.25">
      <c r="B169" s="175"/>
      <c r="C169" s="169"/>
      <c r="D169" s="18" t="s">
        <v>82</v>
      </c>
      <c r="E169" s="20">
        <v>5</v>
      </c>
      <c r="F169" s="20">
        <v>5</v>
      </c>
      <c r="G169" s="18" t="s">
        <v>66</v>
      </c>
      <c r="H169" s="157"/>
      <c r="I169" s="166"/>
      <c r="L169" s="175"/>
      <c r="M169" s="169"/>
      <c r="N169" s="18" t="s">
        <v>82</v>
      </c>
      <c r="O169" s="20">
        <v>5</v>
      </c>
      <c r="P169" s="20">
        <v>5</v>
      </c>
      <c r="Q169" s="18" t="s">
        <v>66</v>
      </c>
      <c r="R169" s="157"/>
      <c r="S169" s="166"/>
    </row>
    <row r="170" spans="2:19" ht="15.75" thickBot="1" x14ac:dyDescent="0.3">
      <c r="B170" s="175"/>
      <c r="C170" s="170"/>
      <c r="D170" s="18" t="s">
        <v>83</v>
      </c>
      <c r="E170" s="20">
        <v>6</v>
      </c>
      <c r="F170" s="20">
        <v>6</v>
      </c>
      <c r="G170" s="18" t="s">
        <v>66</v>
      </c>
      <c r="H170" s="158"/>
      <c r="I170" s="167"/>
      <c r="L170" s="175"/>
      <c r="M170" s="170"/>
      <c r="N170" s="18" t="s">
        <v>83</v>
      </c>
      <c r="O170" s="20">
        <v>6</v>
      </c>
      <c r="P170" s="20">
        <v>6</v>
      </c>
      <c r="Q170" s="18" t="s">
        <v>66</v>
      </c>
      <c r="R170" s="158"/>
      <c r="S170" s="167"/>
    </row>
    <row r="171" spans="2:19" x14ac:dyDescent="0.25">
      <c r="B171" s="175"/>
      <c r="C171" s="168" t="s">
        <v>84</v>
      </c>
      <c r="D171" s="18" t="s">
        <v>2</v>
      </c>
      <c r="E171" s="19">
        <v>1</v>
      </c>
      <c r="F171" s="19">
        <v>7</v>
      </c>
      <c r="G171" s="18" t="s">
        <v>66</v>
      </c>
      <c r="H171" s="32"/>
      <c r="I171" s="50"/>
      <c r="L171" s="175"/>
      <c r="M171" s="168" t="s">
        <v>84</v>
      </c>
      <c r="N171" s="18" t="s">
        <v>2</v>
      </c>
      <c r="O171" s="19">
        <v>1</v>
      </c>
      <c r="P171" s="19">
        <v>7</v>
      </c>
      <c r="Q171" s="18" t="s">
        <v>66</v>
      </c>
      <c r="R171" s="32"/>
      <c r="S171" s="50"/>
    </row>
    <row r="172" spans="2:19" x14ac:dyDescent="0.25">
      <c r="B172" s="175"/>
      <c r="C172" s="169"/>
      <c r="D172" s="18" t="s">
        <v>3</v>
      </c>
      <c r="E172" s="19">
        <v>2</v>
      </c>
      <c r="F172" s="19">
        <v>8</v>
      </c>
      <c r="G172" s="18" t="s">
        <v>66</v>
      </c>
      <c r="H172" s="32"/>
      <c r="I172" s="50"/>
      <c r="L172" s="175"/>
      <c r="M172" s="169"/>
      <c r="N172" s="18" t="s">
        <v>3</v>
      </c>
      <c r="O172" s="19">
        <v>2</v>
      </c>
      <c r="P172" s="19">
        <v>8</v>
      </c>
      <c r="Q172" s="18" t="s">
        <v>66</v>
      </c>
      <c r="R172" s="32"/>
      <c r="S172" s="50"/>
    </row>
    <row r="173" spans="2:19" x14ac:dyDescent="0.25">
      <c r="B173" s="175"/>
      <c r="C173" s="169"/>
      <c r="D173" s="18" t="s">
        <v>80</v>
      </c>
      <c r="E173" s="20">
        <v>3</v>
      </c>
      <c r="F173" s="20">
        <v>9</v>
      </c>
      <c r="G173" s="18" t="s">
        <v>66</v>
      </c>
      <c r="H173" s="32"/>
      <c r="I173" s="50"/>
      <c r="L173" s="175"/>
      <c r="M173" s="169"/>
      <c r="N173" s="18" t="s">
        <v>80</v>
      </c>
      <c r="O173" s="20">
        <v>3</v>
      </c>
      <c r="P173" s="20">
        <v>9</v>
      </c>
      <c r="Q173" s="18" t="s">
        <v>66</v>
      </c>
      <c r="R173" s="32"/>
      <c r="S173" s="50"/>
    </row>
    <row r="174" spans="2:19" x14ac:dyDescent="0.25">
      <c r="B174" s="175"/>
      <c r="C174" s="169"/>
      <c r="D174" s="18" t="s">
        <v>81</v>
      </c>
      <c r="E174" s="20">
        <v>4</v>
      </c>
      <c r="F174" s="20">
        <v>10</v>
      </c>
      <c r="G174" s="18" t="s">
        <v>66</v>
      </c>
      <c r="H174" s="32"/>
      <c r="I174" s="50"/>
      <c r="L174" s="175"/>
      <c r="M174" s="169"/>
      <c r="N174" s="18" t="s">
        <v>81</v>
      </c>
      <c r="O174" s="20">
        <v>4</v>
      </c>
      <c r="P174" s="20">
        <v>10</v>
      </c>
      <c r="Q174" s="18" t="s">
        <v>66</v>
      </c>
      <c r="R174" s="32"/>
      <c r="S174" s="50"/>
    </row>
    <row r="175" spans="2:19" x14ac:dyDescent="0.25">
      <c r="B175" s="175"/>
      <c r="C175" s="169"/>
      <c r="D175" s="18" t="s">
        <v>82</v>
      </c>
      <c r="E175" s="20">
        <v>5</v>
      </c>
      <c r="F175" s="20">
        <v>11</v>
      </c>
      <c r="G175" s="18" t="s">
        <v>66</v>
      </c>
      <c r="H175" s="32"/>
      <c r="I175" s="50"/>
      <c r="L175" s="175"/>
      <c r="M175" s="169"/>
      <c r="N175" s="18" t="s">
        <v>82</v>
      </c>
      <c r="O175" s="20">
        <v>5</v>
      </c>
      <c r="P175" s="20">
        <v>11</v>
      </c>
      <c r="Q175" s="18" t="s">
        <v>66</v>
      </c>
      <c r="R175" s="32"/>
      <c r="S175" s="50"/>
    </row>
    <row r="176" spans="2:19" ht="15.75" thickBot="1" x14ac:dyDescent="0.3">
      <c r="B176" s="176"/>
      <c r="C176" s="170"/>
      <c r="D176" s="18" t="s">
        <v>83</v>
      </c>
      <c r="E176" s="20">
        <v>6</v>
      </c>
      <c r="F176" s="20">
        <v>12</v>
      </c>
      <c r="G176" s="18" t="s">
        <v>66</v>
      </c>
      <c r="H176" s="32"/>
      <c r="I176" s="50"/>
      <c r="L176" s="176"/>
      <c r="M176" s="170"/>
      <c r="N176" s="18" t="s">
        <v>83</v>
      </c>
      <c r="O176" s="20">
        <v>6</v>
      </c>
      <c r="P176" s="20">
        <v>12</v>
      </c>
      <c r="Q176" s="18" t="s">
        <v>66</v>
      </c>
      <c r="R176" s="32"/>
      <c r="S176" s="50"/>
    </row>
    <row r="177" spans="2:19" x14ac:dyDescent="0.25">
      <c r="B177" s="180" t="s">
        <v>3</v>
      </c>
      <c r="C177" s="177" t="s">
        <v>77</v>
      </c>
      <c r="D177" s="21" t="s">
        <v>2</v>
      </c>
      <c r="E177" s="22">
        <v>1</v>
      </c>
      <c r="F177" s="22">
        <v>13</v>
      </c>
      <c r="G177" s="21" t="s">
        <v>66</v>
      </c>
      <c r="H177" s="21"/>
      <c r="I177" s="51"/>
      <c r="L177" s="180" t="s">
        <v>3</v>
      </c>
      <c r="M177" s="177" t="s">
        <v>77</v>
      </c>
      <c r="N177" s="21" t="s">
        <v>2</v>
      </c>
      <c r="O177" s="22">
        <v>1</v>
      </c>
      <c r="P177" s="22">
        <v>13</v>
      </c>
      <c r="Q177" s="21" t="s">
        <v>66</v>
      </c>
      <c r="R177" s="21"/>
      <c r="S177" s="51"/>
    </row>
    <row r="178" spans="2:19" x14ac:dyDescent="0.25">
      <c r="B178" s="181"/>
      <c r="C178" s="178"/>
      <c r="D178" s="23" t="s">
        <v>3</v>
      </c>
      <c r="E178" s="24">
        <v>2</v>
      </c>
      <c r="F178" s="24">
        <v>14</v>
      </c>
      <c r="G178" s="23" t="s">
        <v>66</v>
      </c>
      <c r="H178" s="23"/>
      <c r="I178" s="47"/>
      <c r="L178" s="181"/>
      <c r="M178" s="178"/>
      <c r="N178" s="23" t="s">
        <v>3</v>
      </c>
      <c r="O178" s="24">
        <v>2</v>
      </c>
      <c r="P178" s="24">
        <v>14</v>
      </c>
      <c r="Q178" s="23" t="s">
        <v>66</v>
      </c>
      <c r="R178" s="23"/>
      <c r="S178" s="47"/>
    </row>
    <row r="179" spans="2:19" x14ac:dyDescent="0.25">
      <c r="B179" s="181"/>
      <c r="C179" s="178"/>
      <c r="D179" s="23" t="s">
        <v>80</v>
      </c>
      <c r="E179" s="24">
        <v>3</v>
      </c>
      <c r="F179" s="24">
        <v>15</v>
      </c>
      <c r="G179" s="23" t="s">
        <v>66</v>
      </c>
      <c r="H179" s="23"/>
      <c r="I179" s="47"/>
      <c r="L179" s="181"/>
      <c r="M179" s="178"/>
      <c r="N179" s="23" t="s">
        <v>80</v>
      </c>
      <c r="O179" s="24">
        <v>3</v>
      </c>
      <c r="P179" s="24">
        <v>15</v>
      </c>
      <c r="Q179" s="23" t="s">
        <v>66</v>
      </c>
      <c r="R179" s="23"/>
      <c r="S179" s="47"/>
    </row>
    <row r="180" spans="2:19" x14ac:dyDescent="0.25">
      <c r="B180" s="181"/>
      <c r="C180" s="178"/>
      <c r="D180" s="23" t="s">
        <v>81</v>
      </c>
      <c r="E180" s="24">
        <v>4</v>
      </c>
      <c r="F180" s="24">
        <v>16</v>
      </c>
      <c r="G180" s="23" t="s">
        <v>66</v>
      </c>
      <c r="H180" s="23"/>
      <c r="I180" s="47"/>
      <c r="L180" s="181"/>
      <c r="M180" s="178"/>
      <c r="N180" s="23" t="s">
        <v>81</v>
      </c>
      <c r="O180" s="24">
        <v>4</v>
      </c>
      <c r="P180" s="24">
        <v>16</v>
      </c>
      <c r="Q180" s="23" t="s">
        <v>66</v>
      </c>
      <c r="R180" s="23"/>
      <c r="S180" s="47"/>
    </row>
    <row r="181" spans="2:19" x14ac:dyDescent="0.25">
      <c r="B181" s="181"/>
      <c r="C181" s="178"/>
      <c r="D181" s="23" t="s">
        <v>82</v>
      </c>
      <c r="E181" s="24">
        <v>5</v>
      </c>
      <c r="F181" s="24">
        <v>17</v>
      </c>
      <c r="G181" s="23" t="s">
        <v>66</v>
      </c>
      <c r="H181" s="23"/>
      <c r="I181" s="47"/>
      <c r="L181" s="181"/>
      <c r="M181" s="178"/>
      <c r="N181" s="23" t="s">
        <v>82</v>
      </c>
      <c r="O181" s="24">
        <v>5</v>
      </c>
      <c r="P181" s="24">
        <v>17</v>
      </c>
      <c r="Q181" s="23" t="s">
        <v>66</v>
      </c>
      <c r="R181" s="23"/>
      <c r="S181" s="47"/>
    </row>
    <row r="182" spans="2:19" ht="15.75" thickBot="1" x14ac:dyDescent="0.3">
      <c r="B182" s="181"/>
      <c r="C182" s="179"/>
      <c r="D182" s="23" t="s">
        <v>83</v>
      </c>
      <c r="E182" s="24">
        <v>6</v>
      </c>
      <c r="F182" s="24">
        <v>18</v>
      </c>
      <c r="G182" s="23" t="s">
        <v>66</v>
      </c>
      <c r="H182" s="23"/>
      <c r="I182" s="47"/>
      <c r="L182" s="181"/>
      <c r="M182" s="179"/>
      <c r="N182" s="23" t="s">
        <v>83</v>
      </c>
      <c r="O182" s="24">
        <v>6</v>
      </c>
      <c r="P182" s="24">
        <v>18</v>
      </c>
      <c r="Q182" s="23" t="s">
        <v>66</v>
      </c>
      <c r="R182" s="23"/>
      <c r="S182" s="47"/>
    </row>
    <row r="183" spans="2:19" x14ac:dyDescent="0.25">
      <c r="B183" s="181"/>
      <c r="C183" s="177" t="s">
        <v>84</v>
      </c>
      <c r="D183" s="23" t="s">
        <v>2</v>
      </c>
      <c r="E183" s="24">
        <v>1</v>
      </c>
      <c r="F183" s="24">
        <v>19</v>
      </c>
      <c r="G183" s="23" t="s">
        <v>66</v>
      </c>
      <c r="H183" s="23"/>
      <c r="I183" s="47"/>
      <c r="L183" s="181"/>
      <c r="M183" s="177" t="s">
        <v>84</v>
      </c>
      <c r="N183" s="23" t="s">
        <v>2</v>
      </c>
      <c r="O183" s="24">
        <v>1</v>
      </c>
      <c r="P183" s="24">
        <v>19</v>
      </c>
      <c r="Q183" s="23" t="s">
        <v>66</v>
      </c>
      <c r="R183" s="23"/>
      <c r="S183" s="47"/>
    </row>
    <row r="184" spans="2:19" x14ac:dyDescent="0.25">
      <c r="B184" s="181"/>
      <c r="C184" s="178"/>
      <c r="D184" s="23" t="s">
        <v>3</v>
      </c>
      <c r="E184" s="24">
        <v>2</v>
      </c>
      <c r="F184" s="24">
        <v>20</v>
      </c>
      <c r="G184" s="23" t="s">
        <v>66</v>
      </c>
      <c r="H184" s="23"/>
      <c r="I184" s="47"/>
      <c r="L184" s="181"/>
      <c r="M184" s="178"/>
      <c r="N184" s="23" t="s">
        <v>3</v>
      </c>
      <c r="O184" s="24">
        <v>2</v>
      </c>
      <c r="P184" s="24">
        <v>20</v>
      </c>
      <c r="Q184" s="23" t="s">
        <v>66</v>
      </c>
      <c r="R184" s="23"/>
      <c r="S184" s="47"/>
    </row>
    <row r="185" spans="2:19" x14ac:dyDescent="0.25">
      <c r="B185" s="181"/>
      <c r="C185" s="178"/>
      <c r="D185" s="23" t="s">
        <v>80</v>
      </c>
      <c r="E185" s="26">
        <v>3</v>
      </c>
      <c r="F185" s="24">
        <v>21</v>
      </c>
      <c r="G185" s="23" t="s">
        <v>66</v>
      </c>
      <c r="H185" s="23"/>
      <c r="I185" s="47"/>
      <c r="L185" s="181"/>
      <c r="M185" s="178"/>
      <c r="N185" s="23" t="s">
        <v>80</v>
      </c>
      <c r="O185" s="26">
        <v>3</v>
      </c>
      <c r="P185" s="24">
        <v>21</v>
      </c>
      <c r="Q185" s="23" t="s">
        <v>66</v>
      </c>
      <c r="R185" s="23"/>
      <c r="S185" s="47"/>
    </row>
    <row r="186" spans="2:19" x14ac:dyDescent="0.25">
      <c r="B186" s="181"/>
      <c r="C186" s="178"/>
      <c r="D186" s="23" t="s">
        <v>81</v>
      </c>
      <c r="E186" s="24">
        <v>4</v>
      </c>
      <c r="F186" s="24">
        <v>22</v>
      </c>
      <c r="G186" s="23" t="s">
        <v>66</v>
      </c>
      <c r="H186" s="23"/>
      <c r="I186" s="47"/>
      <c r="L186" s="181"/>
      <c r="M186" s="178"/>
      <c r="N186" s="23" t="s">
        <v>81</v>
      </c>
      <c r="O186" s="24">
        <v>4</v>
      </c>
      <c r="P186" s="24">
        <v>22</v>
      </c>
      <c r="Q186" s="23" t="s">
        <v>66</v>
      </c>
      <c r="R186" s="23"/>
      <c r="S186" s="47"/>
    </row>
    <row r="187" spans="2:19" x14ac:dyDescent="0.25">
      <c r="B187" s="181"/>
      <c r="C187" s="178"/>
      <c r="D187" s="23" t="s">
        <v>82</v>
      </c>
      <c r="E187" s="24">
        <v>5</v>
      </c>
      <c r="F187" s="24">
        <v>23</v>
      </c>
      <c r="G187" s="23" t="s">
        <v>66</v>
      </c>
      <c r="H187" s="23"/>
      <c r="I187" s="47"/>
      <c r="L187" s="181"/>
      <c r="M187" s="178"/>
      <c r="N187" s="23" t="s">
        <v>82</v>
      </c>
      <c r="O187" s="24">
        <v>5</v>
      </c>
      <c r="P187" s="24">
        <v>23</v>
      </c>
      <c r="Q187" s="23" t="s">
        <v>66</v>
      </c>
      <c r="R187" s="23"/>
      <c r="S187" s="47"/>
    </row>
    <row r="188" spans="2:19" ht="15.75" thickBot="1" x14ac:dyDescent="0.3">
      <c r="B188" s="182"/>
      <c r="C188" s="179"/>
      <c r="D188" s="23" t="s">
        <v>83</v>
      </c>
      <c r="E188" s="24">
        <v>6</v>
      </c>
      <c r="F188" s="24">
        <v>24</v>
      </c>
      <c r="G188" s="23" t="s">
        <v>66</v>
      </c>
      <c r="H188" s="23"/>
      <c r="I188" s="47"/>
      <c r="L188" s="182"/>
      <c r="M188" s="179"/>
      <c r="N188" s="23" t="s">
        <v>83</v>
      </c>
      <c r="O188" s="24">
        <v>6</v>
      </c>
      <c r="P188" s="24">
        <v>24</v>
      </c>
      <c r="Q188" s="23" t="s">
        <v>66</v>
      </c>
      <c r="R188" s="23"/>
      <c r="S188" s="47"/>
    </row>
    <row r="189" spans="2:19" x14ac:dyDescent="0.25">
      <c r="B189" s="189" t="s">
        <v>80</v>
      </c>
      <c r="C189" s="192" t="s">
        <v>77</v>
      </c>
      <c r="D189" s="27" t="s">
        <v>2</v>
      </c>
      <c r="E189" s="28">
        <v>1</v>
      </c>
      <c r="F189" s="28">
        <v>25</v>
      </c>
      <c r="G189" s="27" t="s">
        <v>66</v>
      </c>
      <c r="H189" s="27"/>
      <c r="I189" s="48"/>
      <c r="L189" s="189" t="s">
        <v>80</v>
      </c>
      <c r="M189" s="192" t="s">
        <v>77</v>
      </c>
      <c r="N189" s="27" t="s">
        <v>2</v>
      </c>
      <c r="O189" s="28">
        <v>1</v>
      </c>
      <c r="P189" s="28">
        <v>25</v>
      </c>
      <c r="Q189" s="27" t="s">
        <v>66</v>
      </c>
      <c r="R189" s="27"/>
      <c r="S189" s="48"/>
    </row>
    <row r="190" spans="2:19" x14ac:dyDescent="0.25">
      <c r="B190" s="190"/>
      <c r="C190" s="193"/>
      <c r="D190" s="27" t="s">
        <v>3</v>
      </c>
      <c r="E190" s="28">
        <v>2</v>
      </c>
      <c r="F190" s="28">
        <v>26</v>
      </c>
      <c r="G190" s="27" t="s">
        <v>66</v>
      </c>
      <c r="H190" s="27"/>
      <c r="I190" s="48"/>
      <c r="L190" s="190"/>
      <c r="M190" s="193"/>
      <c r="N190" s="27" t="s">
        <v>3</v>
      </c>
      <c r="O190" s="28">
        <v>2</v>
      </c>
      <c r="P190" s="28">
        <v>26</v>
      </c>
      <c r="Q190" s="27" t="s">
        <v>66</v>
      </c>
      <c r="R190" s="27"/>
      <c r="S190" s="48"/>
    </row>
    <row r="191" spans="2:19" x14ac:dyDescent="0.25">
      <c r="B191" s="190"/>
      <c r="C191" s="193"/>
      <c r="D191" s="27" t="s">
        <v>80</v>
      </c>
      <c r="E191" s="28">
        <v>3</v>
      </c>
      <c r="F191" s="28">
        <v>27</v>
      </c>
      <c r="G191" s="27" t="s">
        <v>66</v>
      </c>
      <c r="H191" s="27"/>
      <c r="I191" s="48"/>
      <c r="L191" s="190"/>
      <c r="M191" s="193"/>
      <c r="N191" s="27" t="s">
        <v>80</v>
      </c>
      <c r="O191" s="28">
        <v>3</v>
      </c>
      <c r="P191" s="28">
        <v>27</v>
      </c>
      <c r="Q191" s="27" t="s">
        <v>66</v>
      </c>
      <c r="R191" s="27"/>
      <c r="S191" s="48"/>
    </row>
    <row r="192" spans="2:19" x14ac:dyDescent="0.25">
      <c r="B192" s="190"/>
      <c r="C192" s="193"/>
      <c r="D192" s="27" t="s">
        <v>81</v>
      </c>
      <c r="E192" s="28">
        <v>4</v>
      </c>
      <c r="F192" s="28">
        <v>28</v>
      </c>
      <c r="G192" s="27" t="s">
        <v>66</v>
      </c>
      <c r="H192" s="27"/>
      <c r="I192" s="48"/>
      <c r="L192" s="190"/>
      <c r="M192" s="193"/>
      <c r="N192" s="27" t="s">
        <v>81</v>
      </c>
      <c r="O192" s="28">
        <v>4</v>
      </c>
      <c r="P192" s="28">
        <v>28</v>
      </c>
      <c r="Q192" s="27" t="s">
        <v>66</v>
      </c>
      <c r="R192" s="27"/>
      <c r="S192" s="48"/>
    </row>
    <row r="193" spans="2:19" x14ac:dyDescent="0.25">
      <c r="B193" s="190"/>
      <c r="C193" s="193"/>
      <c r="D193" s="27" t="s">
        <v>82</v>
      </c>
      <c r="E193" s="28">
        <v>5</v>
      </c>
      <c r="F193" s="28">
        <v>29</v>
      </c>
      <c r="G193" s="27" t="s">
        <v>66</v>
      </c>
      <c r="H193" s="27"/>
      <c r="I193" s="48"/>
      <c r="L193" s="190"/>
      <c r="M193" s="193"/>
      <c r="N193" s="27" t="s">
        <v>82</v>
      </c>
      <c r="O193" s="28">
        <v>5</v>
      </c>
      <c r="P193" s="28">
        <v>29</v>
      </c>
      <c r="Q193" s="27" t="s">
        <v>66</v>
      </c>
      <c r="R193" s="27"/>
      <c r="S193" s="48"/>
    </row>
    <row r="194" spans="2:19" ht="15.75" thickBot="1" x14ac:dyDescent="0.3">
      <c r="B194" s="190"/>
      <c r="C194" s="194"/>
      <c r="D194" s="27" t="s">
        <v>83</v>
      </c>
      <c r="E194" s="28">
        <v>6</v>
      </c>
      <c r="F194" s="28">
        <v>30</v>
      </c>
      <c r="G194" s="27" t="s">
        <v>66</v>
      </c>
      <c r="H194" s="27"/>
      <c r="I194" s="48"/>
      <c r="L194" s="190"/>
      <c r="M194" s="194"/>
      <c r="N194" s="27" t="s">
        <v>83</v>
      </c>
      <c r="O194" s="28">
        <v>6</v>
      </c>
      <c r="P194" s="28">
        <v>30</v>
      </c>
      <c r="Q194" s="27" t="s">
        <v>66</v>
      </c>
      <c r="R194" s="27"/>
      <c r="S194" s="48"/>
    </row>
    <row r="195" spans="2:19" x14ac:dyDescent="0.25">
      <c r="B195" s="190"/>
      <c r="C195" s="192" t="s">
        <v>84</v>
      </c>
      <c r="D195" s="27" t="s">
        <v>2</v>
      </c>
      <c r="E195" s="28">
        <v>1</v>
      </c>
      <c r="F195" s="28">
        <v>31</v>
      </c>
      <c r="G195" s="27" t="s">
        <v>66</v>
      </c>
      <c r="H195" s="27"/>
      <c r="I195" s="48"/>
      <c r="L195" s="190"/>
      <c r="M195" s="192" t="s">
        <v>84</v>
      </c>
      <c r="N195" s="27" t="s">
        <v>2</v>
      </c>
      <c r="O195" s="28">
        <v>1</v>
      </c>
      <c r="P195" s="28">
        <v>31</v>
      </c>
      <c r="Q195" s="27" t="s">
        <v>66</v>
      </c>
      <c r="R195" s="27"/>
      <c r="S195" s="48"/>
    </row>
    <row r="196" spans="2:19" x14ac:dyDescent="0.25">
      <c r="B196" s="190"/>
      <c r="C196" s="193"/>
      <c r="D196" s="27" t="s">
        <v>3</v>
      </c>
      <c r="E196" s="28">
        <v>2</v>
      </c>
      <c r="F196" s="28">
        <v>32</v>
      </c>
      <c r="G196" s="27" t="s">
        <v>66</v>
      </c>
      <c r="H196" s="27"/>
      <c r="I196" s="48"/>
      <c r="L196" s="190"/>
      <c r="M196" s="193"/>
      <c r="N196" s="27" t="s">
        <v>3</v>
      </c>
      <c r="O196" s="28">
        <v>2</v>
      </c>
      <c r="P196" s="28">
        <v>32</v>
      </c>
      <c r="Q196" s="27" t="s">
        <v>66</v>
      </c>
      <c r="R196" s="27"/>
      <c r="S196" s="48"/>
    </row>
    <row r="197" spans="2:19" x14ac:dyDescent="0.25">
      <c r="B197" s="190"/>
      <c r="C197" s="193"/>
      <c r="D197" s="27" t="s">
        <v>80</v>
      </c>
      <c r="E197" s="28">
        <v>3</v>
      </c>
      <c r="F197" s="28">
        <v>33</v>
      </c>
      <c r="G197" s="27" t="s">
        <v>66</v>
      </c>
      <c r="H197" s="27"/>
      <c r="I197" s="48"/>
      <c r="L197" s="190"/>
      <c r="M197" s="193"/>
      <c r="N197" s="27" t="s">
        <v>80</v>
      </c>
      <c r="O197" s="28">
        <v>3</v>
      </c>
      <c r="P197" s="28">
        <v>33</v>
      </c>
      <c r="Q197" s="27" t="s">
        <v>66</v>
      </c>
      <c r="R197" s="27"/>
      <c r="S197" s="48"/>
    </row>
    <row r="198" spans="2:19" x14ac:dyDescent="0.25">
      <c r="B198" s="190"/>
      <c r="C198" s="193"/>
      <c r="D198" s="27" t="s">
        <v>81</v>
      </c>
      <c r="E198" s="28">
        <v>4</v>
      </c>
      <c r="F198" s="28">
        <v>34</v>
      </c>
      <c r="G198" s="27" t="s">
        <v>66</v>
      </c>
      <c r="H198" s="27"/>
      <c r="I198" s="48"/>
      <c r="L198" s="190"/>
      <c r="M198" s="193"/>
      <c r="N198" s="27" t="s">
        <v>81</v>
      </c>
      <c r="O198" s="28">
        <v>4</v>
      </c>
      <c r="P198" s="28">
        <v>34</v>
      </c>
      <c r="Q198" s="27" t="s">
        <v>66</v>
      </c>
      <c r="R198" s="27"/>
      <c r="S198" s="48"/>
    </row>
    <row r="199" spans="2:19" x14ac:dyDescent="0.25">
      <c r="B199" s="190"/>
      <c r="C199" s="193"/>
      <c r="D199" s="27" t="s">
        <v>82</v>
      </c>
      <c r="E199" s="28">
        <v>5</v>
      </c>
      <c r="F199" s="28">
        <v>35</v>
      </c>
      <c r="G199" s="27" t="s">
        <v>66</v>
      </c>
      <c r="H199" s="27"/>
      <c r="I199" s="48"/>
      <c r="L199" s="190"/>
      <c r="M199" s="193"/>
      <c r="N199" s="27" t="s">
        <v>82</v>
      </c>
      <c r="O199" s="28">
        <v>5</v>
      </c>
      <c r="P199" s="28">
        <v>35</v>
      </c>
      <c r="Q199" s="27" t="s">
        <v>66</v>
      </c>
      <c r="R199" s="27"/>
      <c r="S199" s="48"/>
    </row>
    <row r="200" spans="2:19" ht="15.75" thickBot="1" x14ac:dyDescent="0.3">
      <c r="B200" s="191"/>
      <c r="C200" s="194"/>
      <c r="D200" s="27" t="s">
        <v>83</v>
      </c>
      <c r="E200" s="28">
        <v>6</v>
      </c>
      <c r="F200" s="28">
        <v>36</v>
      </c>
      <c r="G200" s="27" t="s">
        <v>66</v>
      </c>
      <c r="H200" s="27"/>
      <c r="I200" s="48"/>
      <c r="L200" s="191"/>
      <c r="M200" s="194"/>
      <c r="N200" s="27" t="s">
        <v>83</v>
      </c>
      <c r="O200" s="28">
        <v>6</v>
      </c>
      <c r="P200" s="28">
        <v>36</v>
      </c>
      <c r="Q200" s="27" t="s">
        <v>66</v>
      </c>
      <c r="R200" s="27"/>
      <c r="S200" s="48"/>
    </row>
    <row r="201" spans="2:19" x14ac:dyDescent="0.25">
      <c r="B201" s="183" t="s">
        <v>81</v>
      </c>
      <c r="C201" s="186" t="s">
        <v>77</v>
      </c>
      <c r="D201" s="29" t="s">
        <v>2</v>
      </c>
      <c r="E201" s="30">
        <v>1</v>
      </c>
      <c r="F201" s="30">
        <v>37</v>
      </c>
      <c r="G201" s="29" t="s">
        <v>66</v>
      </c>
      <c r="H201" s="29"/>
      <c r="I201" s="49"/>
      <c r="L201" s="183" t="s">
        <v>81</v>
      </c>
      <c r="M201" s="186" t="s">
        <v>77</v>
      </c>
      <c r="N201" s="29" t="s">
        <v>2</v>
      </c>
      <c r="O201" s="30">
        <v>1</v>
      </c>
      <c r="P201" s="30">
        <v>37</v>
      </c>
      <c r="Q201" s="29" t="s">
        <v>66</v>
      </c>
      <c r="R201" s="29"/>
      <c r="S201" s="49"/>
    </row>
    <row r="202" spans="2:19" x14ac:dyDescent="0.25">
      <c r="B202" s="184"/>
      <c r="C202" s="187"/>
      <c r="D202" s="29" t="s">
        <v>3</v>
      </c>
      <c r="E202" s="30">
        <v>2</v>
      </c>
      <c r="F202" s="30">
        <v>38</v>
      </c>
      <c r="G202" s="29" t="s">
        <v>66</v>
      </c>
      <c r="H202" s="29"/>
      <c r="I202" s="49"/>
      <c r="L202" s="184"/>
      <c r="M202" s="187"/>
      <c r="N202" s="29" t="s">
        <v>3</v>
      </c>
      <c r="O202" s="30">
        <v>2</v>
      </c>
      <c r="P202" s="30">
        <v>38</v>
      </c>
      <c r="Q202" s="29" t="s">
        <v>66</v>
      </c>
      <c r="R202" s="29"/>
      <c r="S202" s="49"/>
    </row>
    <row r="203" spans="2:19" x14ac:dyDescent="0.25">
      <c r="B203" s="184"/>
      <c r="C203" s="187"/>
      <c r="D203" s="29" t="s">
        <v>80</v>
      </c>
      <c r="E203" s="30">
        <v>3</v>
      </c>
      <c r="F203" s="30">
        <v>39</v>
      </c>
      <c r="G203" s="29" t="s">
        <v>66</v>
      </c>
      <c r="H203" s="29"/>
      <c r="I203" s="49"/>
      <c r="L203" s="184"/>
      <c r="M203" s="187"/>
      <c r="N203" s="29" t="s">
        <v>80</v>
      </c>
      <c r="O203" s="30">
        <v>3</v>
      </c>
      <c r="P203" s="30">
        <v>39</v>
      </c>
      <c r="Q203" s="29" t="s">
        <v>66</v>
      </c>
      <c r="R203" s="29"/>
      <c r="S203" s="49"/>
    </row>
    <row r="204" spans="2:19" x14ac:dyDescent="0.25">
      <c r="B204" s="184"/>
      <c r="C204" s="187"/>
      <c r="D204" s="29" t="s">
        <v>81</v>
      </c>
      <c r="E204" s="30">
        <v>4</v>
      </c>
      <c r="F204" s="30">
        <v>40</v>
      </c>
      <c r="G204" s="29" t="s">
        <v>66</v>
      </c>
      <c r="H204" s="29"/>
      <c r="I204" s="49"/>
      <c r="L204" s="184"/>
      <c r="M204" s="187"/>
      <c r="N204" s="29" t="s">
        <v>81</v>
      </c>
      <c r="O204" s="30">
        <v>4</v>
      </c>
      <c r="P204" s="30">
        <v>40</v>
      </c>
      <c r="Q204" s="29" t="s">
        <v>66</v>
      </c>
      <c r="R204" s="29"/>
      <c r="S204" s="49"/>
    </row>
    <row r="205" spans="2:19" x14ac:dyDescent="0.25">
      <c r="B205" s="184"/>
      <c r="C205" s="187"/>
      <c r="D205" s="29" t="s">
        <v>82</v>
      </c>
      <c r="E205" s="30">
        <v>5</v>
      </c>
      <c r="F205" s="30">
        <v>41</v>
      </c>
      <c r="G205" s="29" t="s">
        <v>66</v>
      </c>
      <c r="H205" s="29"/>
      <c r="I205" s="49"/>
      <c r="L205" s="184"/>
      <c r="M205" s="187"/>
      <c r="N205" s="29" t="s">
        <v>82</v>
      </c>
      <c r="O205" s="30">
        <v>5</v>
      </c>
      <c r="P205" s="30">
        <v>41</v>
      </c>
      <c r="Q205" s="29" t="s">
        <v>66</v>
      </c>
      <c r="R205" s="29"/>
      <c r="S205" s="49"/>
    </row>
    <row r="206" spans="2:19" ht="15.75" thickBot="1" x14ac:dyDescent="0.3">
      <c r="B206" s="184"/>
      <c r="C206" s="188"/>
      <c r="D206" s="29" t="s">
        <v>83</v>
      </c>
      <c r="E206" s="30">
        <v>6</v>
      </c>
      <c r="F206" s="30">
        <v>42</v>
      </c>
      <c r="G206" s="29" t="s">
        <v>66</v>
      </c>
      <c r="H206" s="29"/>
      <c r="I206" s="49"/>
      <c r="L206" s="184"/>
      <c r="M206" s="188"/>
      <c r="N206" s="29" t="s">
        <v>83</v>
      </c>
      <c r="O206" s="30">
        <v>6</v>
      </c>
      <c r="P206" s="30">
        <v>42</v>
      </c>
      <c r="Q206" s="29" t="s">
        <v>66</v>
      </c>
      <c r="R206" s="29"/>
      <c r="S206" s="49"/>
    </row>
    <row r="207" spans="2:19" x14ac:dyDescent="0.25">
      <c r="B207" s="184"/>
      <c r="C207" s="186" t="s">
        <v>84</v>
      </c>
      <c r="D207" s="29" t="s">
        <v>2</v>
      </c>
      <c r="E207" s="30">
        <v>1</v>
      </c>
      <c r="F207" s="30">
        <v>43</v>
      </c>
      <c r="G207" s="29" t="s">
        <v>66</v>
      </c>
      <c r="H207" s="29"/>
      <c r="I207" s="49"/>
      <c r="L207" s="184"/>
      <c r="M207" s="186" t="s">
        <v>84</v>
      </c>
      <c r="N207" s="29" t="s">
        <v>2</v>
      </c>
      <c r="O207" s="30">
        <v>1</v>
      </c>
      <c r="P207" s="30">
        <v>43</v>
      </c>
      <c r="Q207" s="29" t="s">
        <v>66</v>
      </c>
      <c r="R207" s="29"/>
      <c r="S207" s="49"/>
    </row>
    <row r="208" spans="2:19" x14ac:dyDescent="0.25">
      <c r="B208" s="184"/>
      <c r="C208" s="187"/>
      <c r="D208" s="29" t="s">
        <v>3</v>
      </c>
      <c r="E208" s="30">
        <v>2</v>
      </c>
      <c r="F208" s="30">
        <v>44</v>
      </c>
      <c r="G208" s="29" t="s">
        <v>66</v>
      </c>
      <c r="H208" s="29"/>
      <c r="I208" s="49"/>
      <c r="L208" s="184"/>
      <c r="M208" s="187"/>
      <c r="N208" s="29" t="s">
        <v>3</v>
      </c>
      <c r="O208" s="30">
        <v>2</v>
      </c>
      <c r="P208" s="30">
        <v>44</v>
      </c>
      <c r="Q208" s="29" t="s">
        <v>66</v>
      </c>
      <c r="R208" s="29"/>
      <c r="S208" s="49"/>
    </row>
    <row r="209" spans="2:19" x14ac:dyDescent="0.25">
      <c r="B209" s="184"/>
      <c r="C209" s="187"/>
      <c r="D209" s="29" t="s">
        <v>80</v>
      </c>
      <c r="E209" s="30">
        <v>3</v>
      </c>
      <c r="F209" s="30">
        <v>45</v>
      </c>
      <c r="G209" s="29" t="s">
        <v>66</v>
      </c>
      <c r="H209" s="29"/>
      <c r="I209" s="49"/>
      <c r="L209" s="184"/>
      <c r="M209" s="187"/>
      <c r="N209" s="29" t="s">
        <v>80</v>
      </c>
      <c r="O209" s="30">
        <v>3</v>
      </c>
      <c r="P209" s="30">
        <v>45</v>
      </c>
      <c r="Q209" s="29" t="s">
        <v>66</v>
      </c>
      <c r="R209" s="29"/>
      <c r="S209" s="49"/>
    </row>
    <row r="210" spans="2:19" x14ac:dyDescent="0.25">
      <c r="B210" s="184"/>
      <c r="C210" s="187"/>
      <c r="D210" s="29" t="s">
        <v>81</v>
      </c>
      <c r="E210" s="30">
        <v>4</v>
      </c>
      <c r="F210" s="30">
        <v>46</v>
      </c>
      <c r="G210" s="29" t="s">
        <v>66</v>
      </c>
      <c r="H210" s="29"/>
      <c r="I210" s="49"/>
      <c r="L210" s="184"/>
      <c r="M210" s="187"/>
      <c r="N210" s="29" t="s">
        <v>81</v>
      </c>
      <c r="O210" s="30">
        <v>4</v>
      </c>
      <c r="P210" s="30">
        <v>46</v>
      </c>
      <c r="Q210" s="29" t="s">
        <v>66</v>
      </c>
      <c r="R210" s="29"/>
      <c r="S210" s="49"/>
    </row>
    <row r="211" spans="2:19" x14ac:dyDescent="0.25">
      <c r="B211" s="184"/>
      <c r="C211" s="187"/>
      <c r="D211" s="29" t="s">
        <v>82</v>
      </c>
      <c r="E211" s="30">
        <v>5</v>
      </c>
      <c r="F211" s="30">
        <v>47</v>
      </c>
      <c r="G211" s="29" t="s">
        <v>66</v>
      </c>
      <c r="H211" s="29"/>
      <c r="I211" s="49"/>
      <c r="L211" s="184"/>
      <c r="M211" s="187"/>
      <c r="N211" s="29" t="s">
        <v>82</v>
      </c>
      <c r="O211" s="30">
        <v>5</v>
      </c>
      <c r="P211" s="30">
        <v>47</v>
      </c>
      <c r="Q211" s="29" t="s">
        <v>66</v>
      </c>
      <c r="R211" s="29"/>
      <c r="S211" s="49"/>
    </row>
    <row r="212" spans="2:19" ht="15.75" thickBot="1" x14ac:dyDescent="0.3">
      <c r="B212" s="185"/>
      <c r="C212" s="188"/>
      <c r="D212" s="29" t="s">
        <v>83</v>
      </c>
      <c r="E212" s="30">
        <v>6</v>
      </c>
      <c r="F212" s="30">
        <v>48</v>
      </c>
      <c r="G212" s="29" t="s">
        <v>66</v>
      </c>
      <c r="H212" s="29"/>
      <c r="I212" s="49"/>
      <c r="L212" s="185"/>
      <c r="M212" s="188"/>
      <c r="N212" s="29" t="s">
        <v>83</v>
      </c>
      <c r="O212" s="30">
        <v>6</v>
      </c>
      <c r="P212" s="30">
        <v>48</v>
      </c>
      <c r="Q212" s="29" t="s">
        <v>66</v>
      </c>
      <c r="R212" s="29"/>
      <c r="S212" s="49"/>
    </row>
    <row r="218" spans="2:19" ht="15.75" thickBot="1" x14ac:dyDescent="0.3"/>
    <row r="219" spans="2:19" ht="15.75" thickBot="1" x14ac:dyDescent="0.3">
      <c r="B219" s="171" t="s">
        <v>352</v>
      </c>
      <c r="C219" s="172"/>
      <c r="D219" s="172"/>
      <c r="E219" s="172"/>
      <c r="F219" s="172"/>
      <c r="G219" s="172"/>
      <c r="H219" s="172"/>
      <c r="I219" s="173"/>
      <c r="L219" s="171" t="s">
        <v>353</v>
      </c>
      <c r="M219" s="172"/>
      <c r="N219" s="172"/>
      <c r="O219" s="172"/>
      <c r="P219" s="172"/>
      <c r="Q219" s="172"/>
      <c r="R219" s="172"/>
      <c r="S219" s="173"/>
    </row>
    <row r="221" spans="2:19" ht="26.25" thickBot="1" x14ac:dyDescent="0.3">
      <c r="B221" s="15" t="s">
        <v>70</v>
      </c>
      <c r="C221" s="16" t="s">
        <v>71</v>
      </c>
      <c r="D221" s="15" t="s">
        <v>72</v>
      </c>
      <c r="E221" s="17" t="s">
        <v>73</v>
      </c>
      <c r="F221" s="17" t="s">
        <v>74</v>
      </c>
      <c r="G221" s="15" t="s">
        <v>75</v>
      </c>
      <c r="H221" s="15" t="s">
        <v>55</v>
      </c>
      <c r="I221" s="15" t="s">
        <v>76</v>
      </c>
      <c r="L221" s="15" t="s">
        <v>70</v>
      </c>
      <c r="M221" s="16" t="s">
        <v>71</v>
      </c>
      <c r="N221" s="15" t="s">
        <v>72</v>
      </c>
      <c r="O221" s="17" t="s">
        <v>73</v>
      </c>
      <c r="P221" s="17" t="s">
        <v>74</v>
      </c>
      <c r="Q221" s="15" t="s">
        <v>75</v>
      </c>
      <c r="R221" s="15" t="s">
        <v>55</v>
      </c>
      <c r="S221" s="15" t="s">
        <v>76</v>
      </c>
    </row>
    <row r="222" spans="2:19" x14ac:dyDescent="0.25">
      <c r="B222" s="174" t="s">
        <v>2</v>
      </c>
      <c r="C222" s="168" t="s">
        <v>77</v>
      </c>
      <c r="D222" s="18" t="s">
        <v>2</v>
      </c>
      <c r="E222" s="19">
        <v>1</v>
      </c>
      <c r="F222" s="19">
        <v>1</v>
      </c>
      <c r="G222" s="18" t="s">
        <v>78</v>
      </c>
      <c r="H222" s="156" t="s">
        <v>141</v>
      </c>
      <c r="I222" s="165" t="s">
        <v>195</v>
      </c>
      <c r="L222" s="174" t="s">
        <v>2</v>
      </c>
      <c r="M222" s="168" t="s">
        <v>77</v>
      </c>
      <c r="N222" s="18" t="s">
        <v>2</v>
      </c>
      <c r="O222" s="19">
        <v>1</v>
      </c>
      <c r="P222" s="19">
        <v>1</v>
      </c>
      <c r="Q222" s="18" t="s">
        <v>78</v>
      </c>
      <c r="R222" s="156" t="s">
        <v>141</v>
      </c>
      <c r="S222" s="165" t="s">
        <v>197</v>
      </c>
    </row>
    <row r="223" spans="2:19" x14ac:dyDescent="0.25">
      <c r="B223" s="175"/>
      <c r="C223" s="169"/>
      <c r="D223" s="18" t="s">
        <v>3</v>
      </c>
      <c r="E223" s="19">
        <v>2</v>
      </c>
      <c r="F223" s="19">
        <v>2</v>
      </c>
      <c r="G223" s="18" t="s">
        <v>78</v>
      </c>
      <c r="H223" s="157"/>
      <c r="I223" s="166"/>
      <c r="L223" s="175"/>
      <c r="M223" s="169"/>
      <c r="N223" s="18" t="s">
        <v>3</v>
      </c>
      <c r="O223" s="19">
        <v>2</v>
      </c>
      <c r="P223" s="19">
        <v>2</v>
      </c>
      <c r="Q223" s="18" t="s">
        <v>78</v>
      </c>
      <c r="R223" s="157"/>
      <c r="S223" s="166"/>
    </row>
    <row r="224" spans="2:19" x14ac:dyDescent="0.25">
      <c r="B224" s="175"/>
      <c r="C224" s="169"/>
      <c r="D224" s="18" t="s">
        <v>80</v>
      </c>
      <c r="E224" s="20">
        <v>3</v>
      </c>
      <c r="F224" s="20">
        <v>3</v>
      </c>
      <c r="G224" s="18" t="s">
        <v>66</v>
      </c>
      <c r="H224" s="157"/>
      <c r="I224" s="166"/>
      <c r="L224" s="175"/>
      <c r="M224" s="169"/>
      <c r="N224" s="18" t="s">
        <v>80</v>
      </c>
      <c r="O224" s="20">
        <v>3</v>
      </c>
      <c r="P224" s="20">
        <v>3</v>
      </c>
      <c r="Q224" s="18" t="s">
        <v>66</v>
      </c>
      <c r="R224" s="157"/>
      <c r="S224" s="166"/>
    </row>
    <row r="225" spans="2:19" x14ac:dyDescent="0.25">
      <c r="B225" s="175"/>
      <c r="C225" s="169"/>
      <c r="D225" s="18" t="s">
        <v>81</v>
      </c>
      <c r="E225" s="20">
        <v>4</v>
      </c>
      <c r="F225" s="20">
        <v>4</v>
      </c>
      <c r="G225" s="18" t="s">
        <v>66</v>
      </c>
      <c r="H225" s="157"/>
      <c r="I225" s="166"/>
      <c r="L225" s="175"/>
      <c r="M225" s="169"/>
      <c r="N225" s="18" t="s">
        <v>81</v>
      </c>
      <c r="O225" s="20">
        <v>4</v>
      </c>
      <c r="P225" s="20">
        <v>4</v>
      </c>
      <c r="Q225" s="18" t="s">
        <v>66</v>
      </c>
      <c r="R225" s="157"/>
      <c r="S225" s="166"/>
    </row>
    <row r="226" spans="2:19" x14ac:dyDescent="0.25">
      <c r="B226" s="175"/>
      <c r="C226" s="169"/>
      <c r="D226" s="18" t="s">
        <v>82</v>
      </c>
      <c r="E226" s="20">
        <v>5</v>
      </c>
      <c r="F226" s="20">
        <v>5</v>
      </c>
      <c r="G226" s="18" t="s">
        <v>66</v>
      </c>
      <c r="H226" s="157"/>
      <c r="I226" s="166"/>
      <c r="L226" s="175"/>
      <c r="M226" s="169"/>
      <c r="N226" s="18" t="s">
        <v>82</v>
      </c>
      <c r="O226" s="20">
        <v>5</v>
      </c>
      <c r="P226" s="20">
        <v>5</v>
      </c>
      <c r="Q226" s="18" t="s">
        <v>66</v>
      </c>
      <c r="R226" s="157"/>
      <c r="S226" s="166"/>
    </row>
    <row r="227" spans="2:19" ht="15.75" thickBot="1" x14ac:dyDescent="0.3">
      <c r="B227" s="175"/>
      <c r="C227" s="170"/>
      <c r="D227" s="18" t="s">
        <v>83</v>
      </c>
      <c r="E227" s="20">
        <v>6</v>
      </c>
      <c r="F227" s="20">
        <v>6</v>
      </c>
      <c r="G227" s="18" t="s">
        <v>66</v>
      </c>
      <c r="H227" s="158"/>
      <c r="I227" s="167"/>
      <c r="L227" s="175"/>
      <c r="M227" s="170"/>
      <c r="N227" s="18" t="s">
        <v>83</v>
      </c>
      <c r="O227" s="20">
        <v>6</v>
      </c>
      <c r="P227" s="20">
        <v>6</v>
      </c>
      <c r="Q227" s="18" t="s">
        <v>66</v>
      </c>
      <c r="R227" s="158"/>
      <c r="S227" s="167"/>
    </row>
    <row r="228" spans="2:19" x14ac:dyDescent="0.25">
      <c r="B228" s="175"/>
      <c r="C228" s="168" t="s">
        <v>84</v>
      </c>
      <c r="D228" s="18" t="s">
        <v>2</v>
      </c>
      <c r="E228" s="19">
        <v>1</v>
      </c>
      <c r="F228" s="19">
        <v>7</v>
      </c>
      <c r="G228" s="18" t="s">
        <v>66</v>
      </c>
      <c r="H228" s="32"/>
      <c r="I228" s="50"/>
      <c r="L228" s="175"/>
      <c r="M228" s="168" t="s">
        <v>84</v>
      </c>
      <c r="N228" s="18" t="s">
        <v>2</v>
      </c>
      <c r="O228" s="19">
        <v>1</v>
      </c>
      <c r="P228" s="19">
        <v>7</v>
      </c>
      <c r="Q228" s="18" t="s">
        <v>66</v>
      </c>
      <c r="R228" s="32"/>
      <c r="S228" s="50"/>
    </row>
    <row r="229" spans="2:19" x14ac:dyDescent="0.25">
      <c r="B229" s="175"/>
      <c r="C229" s="169"/>
      <c r="D229" s="18" t="s">
        <v>3</v>
      </c>
      <c r="E229" s="19">
        <v>2</v>
      </c>
      <c r="F229" s="19">
        <v>8</v>
      </c>
      <c r="G229" s="18" t="s">
        <v>66</v>
      </c>
      <c r="H229" s="32"/>
      <c r="I229" s="50"/>
      <c r="L229" s="175"/>
      <c r="M229" s="169"/>
      <c r="N229" s="18" t="s">
        <v>3</v>
      </c>
      <c r="O229" s="19">
        <v>2</v>
      </c>
      <c r="P229" s="19">
        <v>8</v>
      </c>
      <c r="Q229" s="18" t="s">
        <v>66</v>
      </c>
      <c r="R229" s="32"/>
      <c r="S229" s="50"/>
    </row>
    <row r="230" spans="2:19" x14ac:dyDescent="0.25">
      <c r="B230" s="175"/>
      <c r="C230" s="169"/>
      <c r="D230" s="18" t="s">
        <v>80</v>
      </c>
      <c r="E230" s="20">
        <v>3</v>
      </c>
      <c r="F230" s="20">
        <v>9</v>
      </c>
      <c r="G230" s="18" t="s">
        <v>66</v>
      </c>
      <c r="H230" s="32"/>
      <c r="I230" s="50"/>
      <c r="L230" s="175"/>
      <c r="M230" s="169"/>
      <c r="N230" s="18" t="s">
        <v>80</v>
      </c>
      <c r="O230" s="20">
        <v>3</v>
      </c>
      <c r="P230" s="20">
        <v>9</v>
      </c>
      <c r="Q230" s="18" t="s">
        <v>66</v>
      </c>
      <c r="R230" s="32"/>
      <c r="S230" s="50"/>
    </row>
    <row r="231" spans="2:19" x14ac:dyDescent="0.25">
      <c r="B231" s="175"/>
      <c r="C231" s="169"/>
      <c r="D231" s="18" t="s">
        <v>81</v>
      </c>
      <c r="E231" s="20">
        <v>4</v>
      </c>
      <c r="F231" s="20">
        <v>10</v>
      </c>
      <c r="G231" s="18" t="s">
        <v>66</v>
      </c>
      <c r="H231" s="32"/>
      <c r="I231" s="50"/>
      <c r="L231" s="175"/>
      <c r="M231" s="169"/>
      <c r="N231" s="18" t="s">
        <v>81</v>
      </c>
      <c r="O231" s="20">
        <v>4</v>
      </c>
      <c r="P231" s="20">
        <v>10</v>
      </c>
      <c r="Q231" s="18" t="s">
        <v>66</v>
      </c>
      <c r="R231" s="32"/>
      <c r="S231" s="50"/>
    </row>
    <row r="232" spans="2:19" x14ac:dyDescent="0.25">
      <c r="B232" s="175"/>
      <c r="C232" s="169"/>
      <c r="D232" s="18" t="s">
        <v>82</v>
      </c>
      <c r="E232" s="20">
        <v>5</v>
      </c>
      <c r="F232" s="20">
        <v>11</v>
      </c>
      <c r="G232" s="18" t="s">
        <v>66</v>
      </c>
      <c r="H232" s="32"/>
      <c r="I232" s="50"/>
      <c r="L232" s="175"/>
      <c r="M232" s="169"/>
      <c r="N232" s="18" t="s">
        <v>82</v>
      </c>
      <c r="O232" s="20">
        <v>5</v>
      </c>
      <c r="P232" s="20">
        <v>11</v>
      </c>
      <c r="Q232" s="18" t="s">
        <v>66</v>
      </c>
      <c r="R232" s="32"/>
      <c r="S232" s="50"/>
    </row>
    <row r="233" spans="2:19" ht="15.75" thickBot="1" x14ac:dyDescent="0.3">
      <c r="B233" s="176"/>
      <c r="C233" s="170"/>
      <c r="D233" s="18" t="s">
        <v>83</v>
      </c>
      <c r="E233" s="20">
        <v>6</v>
      </c>
      <c r="F233" s="20">
        <v>12</v>
      </c>
      <c r="G233" s="18" t="s">
        <v>66</v>
      </c>
      <c r="H233" s="32"/>
      <c r="I233" s="50"/>
      <c r="L233" s="176"/>
      <c r="M233" s="170"/>
      <c r="N233" s="18" t="s">
        <v>83</v>
      </c>
      <c r="O233" s="20">
        <v>6</v>
      </c>
      <c r="P233" s="20">
        <v>12</v>
      </c>
      <c r="Q233" s="18" t="s">
        <v>66</v>
      </c>
      <c r="R233" s="32"/>
      <c r="S233" s="50"/>
    </row>
    <row r="234" spans="2:19" x14ac:dyDescent="0.25">
      <c r="B234" s="180" t="s">
        <v>3</v>
      </c>
      <c r="C234" s="177" t="s">
        <v>77</v>
      </c>
      <c r="D234" s="21" t="s">
        <v>2</v>
      </c>
      <c r="E234" s="22">
        <v>1</v>
      </c>
      <c r="F234" s="22">
        <v>13</v>
      </c>
      <c r="G234" s="21" t="s">
        <v>66</v>
      </c>
      <c r="H234" s="21"/>
      <c r="I234" s="51"/>
      <c r="L234" s="180" t="s">
        <v>3</v>
      </c>
      <c r="M234" s="177" t="s">
        <v>77</v>
      </c>
      <c r="N234" s="21" t="s">
        <v>2</v>
      </c>
      <c r="O234" s="22">
        <v>1</v>
      </c>
      <c r="P234" s="22">
        <v>13</v>
      </c>
      <c r="Q234" s="21" t="s">
        <v>66</v>
      </c>
      <c r="R234" s="21"/>
      <c r="S234" s="51"/>
    </row>
    <row r="235" spans="2:19" x14ac:dyDescent="0.25">
      <c r="B235" s="181"/>
      <c r="C235" s="178"/>
      <c r="D235" s="23" t="s">
        <v>3</v>
      </c>
      <c r="E235" s="24">
        <v>2</v>
      </c>
      <c r="F235" s="24">
        <v>14</v>
      </c>
      <c r="G235" s="23" t="s">
        <v>66</v>
      </c>
      <c r="H235" s="23"/>
      <c r="I235" s="47"/>
      <c r="L235" s="181"/>
      <c r="M235" s="178"/>
      <c r="N235" s="23" t="s">
        <v>3</v>
      </c>
      <c r="O235" s="24">
        <v>2</v>
      </c>
      <c r="P235" s="24">
        <v>14</v>
      </c>
      <c r="Q235" s="23" t="s">
        <v>66</v>
      </c>
      <c r="R235" s="23"/>
      <c r="S235" s="47"/>
    </row>
    <row r="236" spans="2:19" x14ac:dyDescent="0.25">
      <c r="B236" s="181"/>
      <c r="C236" s="178"/>
      <c r="D236" s="23" t="s">
        <v>80</v>
      </c>
      <c r="E236" s="24">
        <v>3</v>
      </c>
      <c r="F236" s="24">
        <v>15</v>
      </c>
      <c r="G236" s="23" t="s">
        <v>66</v>
      </c>
      <c r="H236" s="23"/>
      <c r="I236" s="47"/>
      <c r="L236" s="181"/>
      <c r="M236" s="178"/>
      <c r="N236" s="23" t="s">
        <v>80</v>
      </c>
      <c r="O236" s="24">
        <v>3</v>
      </c>
      <c r="P236" s="24">
        <v>15</v>
      </c>
      <c r="Q236" s="23" t="s">
        <v>66</v>
      </c>
      <c r="R236" s="23"/>
      <c r="S236" s="47"/>
    </row>
    <row r="237" spans="2:19" x14ac:dyDescent="0.25">
      <c r="B237" s="181"/>
      <c r="C237" s="178"/>
      <c r="D237" s="23" t="s">
        <v>81</v>
      </c>
      <c r="E237" s="24">
        <v>4</v>
      </c>
      <c r="F237" s="24">
        <v>16</v>
      </c>
      <c r="G237" s="23" t="s">
        <v>66</v>
      </c>
      <c r="H237" s="23"/>
      <c r="I237" s="47"/>
      <c r="L237" s="181"/>
      <c r="M237" s="178"/>
      <c r="N237" s="23" t="s">
        <v>81</v>
      </c>
      <c r="O237" s="24">
        <v>4</v>
      </c>
      <c r="P237" s="24">
        <v>16</v>
      </c>
      <c r="Q237" s="23" t="s">
        <v>66</v>
      </c>
      <c r="R237" s="23"/>
      <c r="S237" s="47"/>
    </row>
    <row r="238" spans="2:19" x14ac:dyDescent="0.25">
      <c r="B238" s="181"/>
      <c r="C238" s="178"/>
      <c r="D238" s="23" t="s">
        <v>82</v>
      </c>
      <c r="E238" s="24">
        <v>5</v>
      </c>
      <c r="F238" s="24">
        <v>17</v>
      </c>
      <c r="G238" s="23" t="s">
        <v>66</v>
      </c>
      <c r="H238" s="23"/>
      <c r="I238" s="47"/>
      <c r="L238" s="181"/>
      <c r="M238" s="178"/>
      <c r="N238" s="23" t="s">
        <v>82</v>
      </c>
      <c r="O238" s="24">
        <v>5</v>
      </c>
      <c r="P238" s="24">
        <v>17</v>
      </c>
      <c r="Q238" s="23" t="s">
        <v>66</v>
      </c>
      <c r="R238" s="23"/>
      <c r="S238" s="47"/>
    </row>
    <row r="239" spans="2:19" ht="15.75" thickBot="1" x14ac:dyDescent="0.3">
      <c r="B239" s="181"/>
      <c r="C239" s="179"/>
      <c r="D239" s="23" t="s">
        <v>83</v>
      </c>
      <c r="E239" s="24">
        <v>6</v>
      </c>
      <c r="F239" s="24">
        <v>18</v>
      </c>
      <c r="G239" s="23" t="s">
        <v>66</v>
      </c>
      <c r="H239" s="23"/>
      <c r="I239" s="47"/>
      <c r="L239" s="181"/>
      <c r="M239" s="179"/>
      <c r="N239" s="23" t="s">
        <v>83</v>
      </c>
      <c r="O239" s="24">
        <v>6</v>
      </c>
      <c r="P239" s="24">
        <v>18</v>
      </c>
      <c r="Q239" s="23" t="s">
        <v>66</v>
      </c>
      <c r="R239" s="23"/>
      <c r="S239" s="47"/>
    </row>
    <row r="240" spans="2:19" x14ac:dyDescent="0.25">
      <c r="B240" s="181"/>
      <c r="C240" s="177" t="s">
        <v>84</v>
      </c>
      <c r="D240" s="23" t="s">
        <v>2</v>
      </c>
      <c r="E240" s="24">
        <v>1</v>
      </c>
      <c r="F240" s="24">
        <v>19</v>
      </c>
      <c r="G240" s="23" t="s">
        <v>66</v>
      </c>
      <c r="H240" s="23"/>
      <c r="I240" s="47"/>
      <c r="L240" s="181"/>
      <c r="M240" s="177" t="s">
        <v>84</v>
      </c>
      <c r="N240" s="23" t="s">
        <v>2</v>
      </c>
      <c r="O240" s="24">
        <v>1</v>
      </c>
      <c r="P240" s="24">
        <v>19</v>
      </c>
      <c r="Q240" s="23" t="s">
        <v>66</v>
      </c>
      <c r="R240" s="23"/>
      <c r="S240" s="47"/>
    </row>
    <row r="241" spans="2:19" x14ac:dyDescent="0.25">
      <c r="B241" s="181"/>
      <c r="C241" s="178"/>
      <c r="D241" s="23" t="s">
        <v>3</v>
      </c>
      <c r="E241" s="24">
        <v>2</v>
      </c>
      <c r="F241" s="24">
        <v>20</v>
      </c>
      <c r="G241" s="23" t="s">
        <v>66</v>
      </c>
      <c r="H241" s="23"/>
      <c r="I241" s="47"/>
      <c r="L241" s="181"/>
      <c r="M241" s="178"/>
      <c r="N241" s="23" t="s">
        <v>3</v>
      </c>
      <c r="O241" s="24">
        <v>2</v>
      </c>
      <c r="P241" s="24">
        <v>20</v>
      </c>
      <c r="Q241" s="23" t="s">
        <v>66</v>
      </c>
      <c r="R241" s="23"/>
      <c r="S241" s="47"/>
    </row>
    <row r="242" spans="2:19" x14ac:dyDescent="0.25">
      <c r="B242" s="181"/>
      <c r="C242" s="178"/>
      <c r="D242" s="23" t="s">
        <v>80</v>
      </c>
      <c r="E242" s="26">
        <v>3</v>
      </c>
      <c r="F242" s="24">
        <v>21</v>
      </c>
      <c r="G242" s="23" t="s">
        <v>66</v>
      </c>
      <c r="H242" s="23"/>
      <c r="I242" s="47"/>
      <c r="L242" s="181"/>
      <c r="M242" s="178"/>
      <c r="N242" s="23" t="s">
        <v>80</v>
      </c>
      <c r="O242" s="26">
        <v>3</v>
      </c>
      <c r="P242" s="24">
        <v>21</v>
      </c>
      <c r="Q242" s="23" t="s">
        <v>66</v>
      </c>
      <c r="R242" s="23"/>
      <c r="S242" s="47"/>
    </row>
    <row r="243" spans="2:19" x14ac:dyDescent="0.25">
      <c r="B243" s="181"/>
      <c r="C243" s="178"/>
      <c r="D243" s="23" t="s">
        <v>81</v>
      </c>
      <c r="E243" s="24">
        <v>4</v>
      </c>
      <c r="F243" s="24">
        <v>22</v>
      </c>
      <c r="G243" s="23" t="s">
        <v>66</v>
      </c>
      <c r="H243" s="23"/>
      <c r="I243" s="47"/>
      <c r="L243" s="181"/>
      <c r="M243" s="178"/>
      <c r="N243" s="23" t="s">
        <v>81</v>
      </c>
      <c r="O243" s="24">
        <v>4</v>
      </c>
      <c r="P243" s="24">
        <v>22</v>
      </c>
      <c r="Q243" s="23" t="s">
        <v>66</v>
      </c>
      <c r="R243" s="23"/>
      <c r="S243" s="47"/>
    </row>
    <row r="244" spans="2:19" x14ac:dyDescent="0.25">
      <c r="B244" s="181"/>
      <c r="C244" s="178"/>
      <c r="D244" s="23" t="s">
        <v>82</v>
      </c>
      <c r="E244" s="24">
        <v>5</v>
      </c>
      <c r="F244" s="24">
        <v>23</v>
      </c>
      <c r="G244" s="23" t="s">
        <v>66</v>
      </c>
      <c r="H244" s="23"/>
      <c r="I244" s="47"/>
      <c r="L244" s="181"/>
      <c r="M244" s="178"/>
      <c r="N244" s="23" t="s">
        <v>82</v>
      </c>
      <c r="O244" s="24">
        <v>5</v>
      </c>
      <c r="P244" s="24">
        <v>23</v>
      </c>
      <c r="Q244" s="23" t="s">
        <v>66</v>
      </c>
      <c r="R244" s="23"/>
      <c r="S244" s="47"/>
    </row>
    <row r="245" spans="2:19" ht="15.75" thickBot="1" x14ac:dyDescent="0.3">
      <c r="B245" s="182"/>
      <c r="C245" s="179"/>
      <c r="D245" s="23" t="s">
        <v>83</v>
      </c>
      <c r="E245" s="24">
        <v>6</v>
      </c>
      <c r="F245" s="24">
        <v>24</v>
      </c>
      <c r="G245" s="23" t="s">
        <v>66</v>
      </c>
      <c r="H245" s="23"/>
      <c r="I245" s="47"/>
      <c r="L245" s="182"/>
      <c r="M245" s="179"/>
      <c r="N245" s="23" t="s">
        <v>83</v>
      </c>
      <c r="O245" s="24">
        <v>6</v>
      </c>
      <c r="P245" s="24">
        <v>24</v>
      </c>
      <c r="Q245" s="23" t="s">
        <v>66</v>
      </c>
      <c r="R245" s="23"/>
      <c r="S245" s="47"/>
    </row>
    <row r="246" spans="2:19" x14ac:dyDescent="0.25">
      <c r="B246" s="189" t="s">
        <v>80</v>
      </c>
      <c r="C246" s="192" t="s">
        <v>77</v>
      </c>
      <c r="D246" s="27" t="s">
        <v>2</v>
      </c>
      <c r="E246" s="28">
        <v>1</v>
      </c>
      <c r="F246" s="28">
        <v>25</v>
      </c>
      <c r="G246" s="27" t="s">
        <v>66</v>
      </c>
      <c r="H246" s="27"/>
      <c r="I246" s="48"/>
      <c r="L246" s="189" t="s">
        <v>80</v>
      </c>
      <c r="M246" s="192" t="s">
        <v>77</v>
      </c>
      <c r="N246" s="27" t="s">
        <v>2</v>
      </c>
      <c r="O246" s="28">
        <v>1</v>
      </c>
      <c r="P246" s="28">
        <v>25</v>
      </c>
      <c r="Q246" s="27" t="s">
        <v>66</v>
      </c>
      <c r="R246" s="27"/>
      <c r="S246" s="48"/>
    </row>
    <row r="247" spans="2:19" x14ac:dyDescent="0.25">
      <c r="B247" s="190"/>
      <c r="C247" s="193"/>
      <c r="D247" s="27" t="s">
        <v>3</v>
      </c>
      <c r="E247" s="28">
        <v>2</v>
      </c>
      <c r="F247" s="28">
        <v>26</v>
      </c>
      <c r="G247" s="27" t="s">
        <v>66</v>
      </c>
      <c r="H247" s="27"/>
      <c r="I247" s="48"/>
      <c r="L247" s="190"/>
      <c r="M247" s="193"/>
      <c r="N247" s="27" t="s">
        <v>3</v>
      </c>
      <c r="O247" s="28">
        <v>2</v>
      </c>
      <c r="P247" s="28">
        <v>26</v>
      </c>
      <c r="Q247" s="27" t="s">
        <v>66</v>
      </c>
      <c r="R247" s="27"/>
      <c r="S247" s="48"/>
    </row>
    <row r="248" spans="2:19" x14ac:dyDescent="0.25">
      <c r="B248" s="190"/>
      <c r="C248" s="193"/>
      <c r="D248" s="27" t="s">
        <v>80</v>
      </c>
      <c r="E248" s="28">
        <v>3</v>
      </c>
      <c r="F248" s="28">
        <v>27</v>
      </c>
      <c r="G248" s="27" t="s">
        <v>66</v>
      </c>
      <c r="H248" s="27"/>
      <c r="I248" s="48"/>
      <c r="L248" s="190"/>
      <c r="M248" s="193"/>
      <c r="N248" s="27" t="s">
        <v>80</v>
      </c>
      <c r="O248" s="28">
        <v>3</v>
      </c>
      <c r="P248" s="28">
        <v>27</v>
      </c>
      <c r="Q248" s="27" t="s">
        <v>66</v>
      </c>
      <c r="R248" s="27"/>
      <c r="S248" s="48"/>
    </row>
    <row r="249" spans="2:19" x14ac:dyDescent="0.25">
      <c r="B249" s="190"/>
      <c r="C249" s="193"/>
      <c r="D249" s="27" t="s">
        <v>81</v>
      </c>
      <c r="E249" s="28">
        <v>4</v>
      </c>
      <c r="F249" s="28">
        <v>28</v>
      </c>
      <c r="G249" s="27" t="s">
        <v>66</v>
      </c>
      <c r="H249" s="27"/>
      <c r="I249" s="48"/>
      <c r="L249" s="190"/>
      <c r="M249" s="193"/>
      <c r="N249" s="27" t="s">
        <v>81</v>
      </c>
      <c r="O249" s="28">
        <v>4</v>
      </c>
      <c r="P249" s="28">
        <v>28</v>
      </c>
      <c r="Q249" s="27" t="s">
        <v>66</v>
      </c>
      <c r="R249" s="27"/>
      <c r="S249" s="48"/>
    </row>
    <row r="250" spans="2:19" x14ac:dyDescent="0.25">
      <c r="B250" s="190"/>
      <c r="C250" s="193"/>
      <c r="D250" s="27" t="s">
        <v>82</v>
      </c>
      <c r="E250" s="28">
        <v>5</v>
      </c>
      <c r="F250" s="28">
        <v>29</v>
      </c>
      <c r="G250" s="27" t="s">
        <v>66</v>
      </c>
      <c r="H250" s="27"/>
      <c r="I250" s="48"/>
      <c r="L250" s="190"/>
      <c r="M250" s="193"/>
      <c r="N250" s="27" t="s">
        <v>82</v>
      </c>
      <c r="O250" s="28">
        <v>5</v>
      </c>
      <c r="P250" s="28">
        <v>29</v>
      </c>
      <c r="Q250" s="27" t="s">
        <v>66</v>
      </c>
      <c r="R250" s="27"/>
      <c r="S250" s="48"/>
    </row>
    <row r="251" spans="2:19" ht="15.75" thickBot="1" x14ac:dyDescent="0.3">
      <c r="B251" s="190"/>
      <c r="C251" s="194"/>
      <c r="D251" s="27" t="s">
        <v>83</v>
      </c>
      <c r="E251" s="28">
        <v>6</v>
      </c>
      <c r="F251" s="28">
        <v>30</v>
      </c>
      <c r="G251" s="27" t="s">
        <v>66</v>
      </c>
      <c r="H251" s="27"/>
      <c r="I251" s="48"/>
      <c r="L251" s="190"/>
      <c r="M251" s="194"/>
      <c r="N251" s="27" t="s">
        <v>83</v>
      </c>
      <c r="O251" s="28">
        <v>6</v>
      </c>
      <c r="P251" s="28">
        <v>30</v>
      </c>
      <c r="Q251" s="27" t="s">
        <v>66</v>
      </c>
      <c r="R251" s="27"/>
      <c r="S251" s="48"/>
    </row>
    <row r="252" spans="2:19" x14ac:dyDescent="0.25">
      <c r="B252" s="190"/>
      <c r="C252" s="192" t="s">
        <v>84</v>
      </c>
      <c r="D252" s="27" t="s">
        <v>2</v>
      </c>
      <c r="E252" s="28">
        <v>1</v>
      </c>
      <c r="F252" s="28">
        <v>31</v>
      </c>
      <c r="G252" s="27" t="s">
        <v>66</v>
      </c>
      <c r="H252" s="27"/>
      <c r="I252" s="48"/>
      <c r="L252" s="190"/>
      <c r="M252" s="192" t="s">
        <v>84</v>
      </c>
      <c r="N252" s="27" t="s">
        <v>2</v>
      </c>
      <c r="O252" s="28">
        <v>1</v>
      </c>
      <c r="P252" s="28">
        <v>31</v>
      </c>
      <c r="Q252" s="27" t="s">
        <v>66</v>
      </c>
      <c r="R252" s="27"/>
      <c r="S252" s="48"/>
    </row>
    <row r="253" spans="2:19" x14ac:dyDescent="0.25">
      <c r="B253" s="190"/>
      <c r="C253" s="193"/>
      <c r="D253" s="27" t="s">
        <v>3</v>
      </c>
      <c r="E253" s="28">
        <v>2</v>
      </c>
      <c r="F253" s="28">
        <v>32</v>
      </c>
      <c r="G253" s="27" t="s">
        <v>66</v>
      </c>
      <c r="H253" s="27"/>
      <c r="I253" s="48"/>
      <c r="L253" s="190"/>
      <c r="M253" s="193"/>
      <c r="N253" s="27" t="s">
        <v>3</v>
      </c>
      <c r="O253" s="28">
        <v>2</v>
      </c>
      <c r="P253" s="28">
        <v>32</v>
      </c>
      <c r="Q253" s="27" t="s">
        <v>66</v>
      </c>
      <c r="R253" s="27"/>
      <c r="S253" s="48"/>
    </row>
    <row r="254" spans="2:19" x14ac:dyDescent="0.25">
      <c r="B254" s="190"/>
      <c r="C254" s="193"/>
      <c r="D254" s="27" t="s">
        <v>80</v>
      </c>
      <c r="E254" s="28">
        <v>3</v>
      </c>
      <c r="F254" s="28">
        <v>33</v>
      </c>
      <c r="G254" s="27" t="s">
        <v>66</v>
      </c>
      <c r="H254" s="27"/>
      <c r="I254" s="48"/>
      <c r="L254" s="190"/>
      <c r="M254" s="193"/>
      <c r="N254" s="27" t="s">
        <v>80</v>
      </c>
      <c r="O254" s="28">
        <v>3</v>
      </c>
      <c r="P254" s="28">
        <v>33</v>
      </c>
      <c r="Q254" s="27" t="s">
        <v>66</v>
      </c>
      <c r="R254" s="27"/>
      <c r="S254" s="48"/>
    </row>
    <row r="255" spans="2:19" x14ac:dyDescent="0.25">
      <c r="B255" s="190"/>
      <c r="C255" s="193"/>
      <c r="D255" s="27" t="s">
        <v>81</v>
      </c>
      <c r="E255" s="28">
        <v>4</v>
      </c>
      <c r="F255" s="28">
        <v>34</v>
      </c>
      <c r="G255" s="27" t="s">
        <v>66</v>
      </c>
      <c r="H255" s="27"/>
      <c r="I255" s="48"/>
      <c r="L255" s="190"/>
      <c r="M255" s="193"/>
      <c r="N255" s="27" t="s">
        <v>81</v>
      </c>
      <c r="O255" s="28">
        <v>4</v>
      </c>
      <c r="P255" s="28">
        <v>34</v>
      </c>
      <c r="Q255" s="27" t="s">
        <v>66</v>
      </c>
      <c r="R255" s="27"/>
      <c r="S255" s="48"/>
    </row>
    <row r="256" spans="2:19" x14ac:dyDescent="0.25">
      <c r="B256" s="190"/>
      <c r="C256" s="193"/>
      <c r="D256" s="27" t="s">
        <v>82</v>
      </c>
      <c r="E256" s="28">
        <v>5</v>
      </c>
      <c r="F256" s="28">
        <v>35</v>
      </c>
      <c r="G256" s="27" t="s">
        <v>66</v>
      </c>
      <c r="H256" s="27"/>
      <c r="I256" s="48"/>
      <c r="L256" s="190"/>
      <c r="M256" s="193"/>
      <c r="N256" s="27" t="s">
        <v>82</v>
      </c>
      <c r="O256" s="28">
        <v>5</v>
      </c>
      <c r="P256" s="28">
        <v>35</v>
      </c>
      <c r="Q256" s="27" t="s">
        <v>66</v>
      </c>
      <c r="R256" s="27"/>
      <c r="S256" s="48"/>
    </row>
    <row r="257" spans="2:19" ht="15.75" thickBot="1" x14ac:dyDescent="0.3">
      <c r="B257" s="191"/>
      <c r="C257" s="194"/>
      <c r="D257" s="27" t="s">
        <v>83</v>
      </c>
      <c r="E257" s="28">
        <v>6</v>
      </c>
      <c r="F257" s="28">
        <v>36</v>
      </c>
      <c r="G257" s="27" t="s">
        <v>66</v>
      </c>
      <c r="H257" s="27"/>
      <c r="I257" s="48"/>
      <c r="L257" s="191"/>
      <c r="M257" s="194"/>
      <c r="N257" s="27" t="s">
        <v>83</v>
      </c>
      <c r="O257" s="28">
        <v>6</v>
      </c>
      <c r="P257" s="28">
        <v>36</v>
      </c>
      <c r="Q257" s="27" t="s">
        <v>66</v>
      </c>
      <c r="R257" s="27"/>
      <c r="S257" s="48"/>
    </row>
    <row r="258" spans="2:19" x14ac:dyDescent="0.25">
      <c r="B258" s="183" t="s">
        <v>81</v>
      </c>
      <c r="C258" s="186" t="s">
        <v>77</v>
      </c>
      <c r="D258" s="29" t="s">
        <v>2</v>
      </c>
      <c r="E258" s="30">
        <v>1</v>
      </c>
      <c r="F258" s="30">
        <v>37</v>
      </c>
      <c r="G258" s="29" t="s">
        <v>66</v>
      </c>
      <c r="H258" s="29"/>
      <c r="I258" s="49"/>
      <c r="L258" s="183" t="s">
        <v>81</v>
      </c>
      <c r="M258" s="186" t="s">
        <v>77</v>
      </c>
      <c r="N258" s="29" t="s">
        <v>2</v>
      </c>
      <c r="O258" s="30">
        <v>1</v>
      </c>
      <c r="P258" s="30">
        <v>37</v>
      </c>
      <c r="Q258" s="29" t="s">
        <v>66</v>
      </c>
      <c r="R258" s="29"/>
      <c r="S258" s="49"/>
    </row>
    <row r="259" spans="2:19" x14ac:dyDescent="0.25">
      <c r="B259" s="184"/>
      <c r="C259" s="187"/>
      <c r="D259" s="29" t="s">
        <v>3</v>
      </c>
      <c r="E259" s="30">
        <v>2</v>
      </c>
      <c r="F259" s="30">
        <v>38</v>
      </c>
      <c r="G259" s="29" t="s">
        <v>66</v>
      </c>
      <c r="H259" s="29"/>
      <c r="I259" s="49"/>
      <c r="L259" s="184"/>
      <c r="M259" s="187"/>
      <c r="N259" s="29" t="s">
        <v>3</v>
      </c>
      <c r="O259" s="30">
        <v>2</v>
      </c>
      <c r="P259" s="30">
        <v>38</v>
      </c>
      <c r="Q259" s="29" t="s">
        <v>66</v>
      </c>
      <c r="R259" s="29"/>
      <c r="S259" s="49"/>
    </row>
    <row r="260" spans="2:19" x14ac:dyDescent="0.25">
      <c r="B260" s="184"/>
      <c r="C260" s="187"/>
      <c r="D260" s="29" t="s">
        <v>80</v>
      </c>
      <c r="E260" s="30">
        <v>3</v>
      </c>
      <c r="F260" s="30">
        <v>39</v>
      </c>
      <c r="G260" s="29" t="s">
        <v>66</v>
      </c>
      <c r="H260" s="29"/>
      <c r="I260" s="49"/>
      <c r="L260" s="184"/>
      <c r="M260" s="187"/>
      <c r="N260" s="29" t="s">
        <v>80</v>
      </c>
      <c r="O260" s="30">
        <v>3</v>
      </c>
      <c r="P260" s="30">
        <v>39</v>
      </c>
      <c r="Q260" s="29" t="s">
        <v>66</v>
      </c>
      <c r="R260" s="29"/>
      <c r="S260" s="49"/>
    </row>
    <row r="261" spans="2:19" x14ac:dyDescent="0.25">
      <c r="B261" s="184"/>
      <c r="C261" s="187"/>
      <c r="D261" s="29" t="s">
        <v>81</v>
      </c>
      <c r="E261" s="30">
        <v>4</v>
      </c>
      <c r="F261" s="30">
        <v>40</v>
      </c>
      <c r="G261" s="29" t="s">
        <v>66</v>
      </c>
      <c r="H261" s="29"/>
      <c r="I261" s="49"/>
      <c r="L261" s="184"/>
      <c r="M261" s="187"/>
      <c r="N261" s="29" t="s">
        <v>81</v>
      </c>
      <c r="O261" s="30">
        <v>4</v>
      </c>
      <c r="P261" s="30">
        <v>40</v>
      </c>
      <c r="Q261" s="29" t="s">
        <v>66</v>
      </c>
      <c r="R261" s="29"/>
      <c r="S261" s="49"/>
    </row>
    <row r="262" spans="2:19" x14ac:dyDescent="0.25">
      <c r="B262" s="184"/>
      <c r="C262" s="187"/>
      <c r="D262" s="29" t="s">
        <v>82</v>
      </c>
      <c r="E262" s="30">
        <v>5</v>
      </c>
      <c r="F262" s="30">
        <v>41</v>
      </c>
      <c r="G262" s="29" t="s">
        <v>66</v>
      </c>
      <c r="H262" s="29"/>
      <c r="I262" s="49"/>
      <c r="L262" s="184"/>
      <c r="M262" s="187"/>
      <c r="N262" s="29" t="s">
        <v>82</v>
      </c>
      <c r="O262" s="30">
        <v>5</v>
      </c>
      <c r="P262" s="30">
        <v>41</v>
      </c>
      <c r="Q262" s="29" t="s">
        <v>66</v>
      </c>
      <c r="R262" s="29"/>
      <c r="S262" s="49"/>
    </row>
    <row r="263" spans="2:19" ht="15.75" thickBot="1" x14ac:dyDescent="0.3">
      <c r="B263" s="184"/>
      <c r="C263" s="188"/>
      <c r="D263" s="29" t="s">
        <v>83</v>
      </c>
      <c r="E263" s="30">
        <v>6</v>
      </c>
      <c r="F263" s="30">
        <v>42</v>
      </c>
      <c r="G263" s="29" t="s">
        <v>66</v>
      </c>
      <c r="H263" s="29"/>
      <c r="I263" s="49"/>
      <c r="L263" s="184"/>
      <c r="M263" s="188"/>
      <c r="N263" s="29" t="s">
        <v>83</v>
      </c>
      <c r="O263" s="30">
        <v>6</v>
      </c>
      <c r="P263" s="30">
        <v>42</v>
      </c>
      <c r="Q263" s="29" t="s">
        <v>66</v>
      </c>
      <c r="R263" s="29"/>
      <c r="S263" s="49"/>
    </row>
    <row r="264" spans="2:19" x14ac:dyDescent="0.25">
      <c r="B264" s="184"/>
      <c r="C264" s="186" t="s">
        <v>84</v>
      </c>
      <c r="D264" s="29" t="s">
        <v>2</v>
      </c>
      <c r="E264" s="30">
        <v>1</v>
      </c>
      <c r="F264" s="30">
        <v>43</v>
      </c>
      <c r="G264" s="29" t="s">
        <v>66</v>
      </c>
      <c r="H264" s="29"/>
      <c r="I264" s="49"/>
      <c r="L264" s="184"/>
      <c r="M264" s="186" t="s">
        <v>84</v>
      </c>
      <c r="N264" s="29" t="s">
        <v>2</v>
      </c>
      <c r="O264" s="30">
        <v>1</v>
      </c>
      <c r="P264" s="30">
        <v>43</v>
      </c>
      <c r="Q264" s="29" t="s">
        <v>66</v>
      </c>
      <c r="R264" s="29"/>
      <c r="S264" s="49"/>
    </row>
    <row r="265" spans="2:19" x14ac:dyDescent="0.25">
      <c r="B265" s="184"/>
      <c r="C265" s="187"/>
      <c r="D265" s="29" t="s">
        <v>3</v>
      </c>
      <c r="E265" s="30">
        <v>2</v>
      </c>
      <c r="F265" s="30">
        <v>44</v>
      </c>
      <c r="G265" s="29" t="s">
        <v>66</v>
      </c>
      <c r="H265" s="29"/>
      <c r="I265" s="49"/>
      <c r="L265" s="184"/>
      <c r="M265" s="187"/>
      <c r="N265" s="29" t="s">
        <v>3</v>
      </c>
      <c r="O265" s="30">
        <v>2</v>
      </c>
      <c r="P265" s="30">
        <v>44</v>
      </c>
      <c r="Q265" s="29" t="s">
        <v>66</v>
      </c>
      <c r="R265" s="29"/>
      <c r="S265" s="49"/>
    </row>
    <row r="266" spans="2:19" x14ac:dyDescent="0.25">
      <c r="B266" s="184"/>
      <c r="C266" s="187"/>
      <c r="D266" s="29" t="s">
        <v>80</v>
      </c>
      <c r="E266" s="30">
        <v>3</v>
      </c>
      <c r="F266" s="30">
        <v>45</v>
      </c>
      <c r="G266" s="29" t="s">
        <v>66</v>
      </c>
      <c r="H266" s="29"/>
      <c r="I266" s="49"/>
      <c r="L266" s="184"/>
      <c r="M266" s="187"/>
      <c r="N266" s="29" t="s">
        <v>80</v>
      </c>
      <c r="O266" s="30">
        <v>3</v>
      </c>
      <c r="P266" s="30">
        <v>45</v>
      </c>
      <c r="Q266" s="29" t="s">
        <v>66</v>
      </c>
      <c r="R266" s="29"/>
      <c r="S266" s="49"/>
    </row>
    <row r="267" spans="2:19" x14ac:dyDescent="0.25">
      <c r="B267" s="184"/>
      <c r="C267" s="187"/>
      <c r="D267" s="29" t="s">
        <v>81</v>
      </c>
      <c r="E267" s="30">
        <v>4</v>
      </c>
      <c r="F267" s="30">
        <v>46</v>
      </c>
      <c r="G267" s="29" t="s">
        <v>66</v>
      </c>
      <c r="H267" s="29"/>
      <c r="I267" s="49"/>
      <c r="L267" s="184"/>
      <c r="M267" s="187"/>
      <c r="N267" s="29" t="s">
        <v>81</v>
      </c>
      <c r="O267" s="30">
        <v>4</v>
      </c>
      <c r="P267" s="30">
        <v>46</v>
      </c>
      <c r="Q267" s="29" t="s">
        <v>66</v>
      </c>
      <c r="R267" s="29"/>
      <c r="S267" s="49"/>
    </row>
    <row r="268" spans="2:19" x14ac:dyDescent="0.25">
      <c r="B268" s="184"/>
      <c r="C268" s="187"/>
      <c r="D268" s="29" t="s">
        <v>82</v>
      </c>
      <c r="E268" s="30">
        <v>5</v>
      </c>
      <c r="F268" s="30">
        <v>47</v>
      </c>
      <c r="G268" s="29" t="s">
        <v>66</v>
      </c>
      <c r="H268" s="29"/>
      <c r="I268" s="49"/>
      <c r="L268" s="184"/>
      <c r="M268" s="187"/>
      <c r="N268" s="29" t="s">
        <v>82</v>
      </c>
      <c r="O268" s="30">
        <v>5</v>
      </c>
      <c r="P268" s="30">
        <v>47</v>
      </c>
      <c r="Q268" s="29" t="s">
        <v>66</v>
      </c>
      <c r="R268" s="29"/>
      <c r="S268" s="49"/>
    </row>
    <row r="269" spans="2:19" ht="15.75" thickBot="1" x14ac:dyDescent="0.3">
      <c r="B269" s="185"/>
      <c r="C269" s="188"/>
      <c r="D269" s="29" t="s">
        <v>83</v>
      </c>
      <c r="E269" s="30">
        <v>6</v>
      </c>
      <c r="F269" s="30">
        <v>48</v>
      </c>
      <c r="G269" s="29" t="s">
        <v>66</v>
      </c>
      <c r="H269" s="29"/>
      <c r="I269" s="49"/>
      <c r="L269" s="185"/>
      <c r="M269" s="188"/>
      <c r="N269" s="29" t="s">
        <v>83</v>
      </c>
      <c r="O269" s="30">
        <v>6</v>
      </c>
      <c r="P269" s="30">
        <v>48</v>
      </c>
      <c r="Q269" s="29" t="s">
        <v>66</v>
      </c>
      <c r="R269" s="29"/>
      <c r="S269" s="49"/>
    </row>
    <row r="270" spans="2:19" ht="15.75" thickBot="1" x14ac:dyDescent="0.3"/>
    <row r="271" spans="2:19" ht="15.75" thickBot="1" x14ac:dyDescent="0.3">
      <c r="B271" s="171" t="s">
        <v>354</v>
      </c>
      <c r="C271" s="172"/>
      <c r="D271" s="172"/>
      <c r="E271" s="172"/>
      <c r="F271" s="172"/>
      <c r="G271" s="172"/>
      <c r="H271" s="172"/>
      <c r="I271" s="173"/>
      <c r="L271" s="171" t="s">
        <v>355</v>
      </c>
      <c r="M271" s="172"/>
      <c r="N271" s="172"/>
      <c r="O271" s="172"/>
      <c r="P271" s="172"/>
      <c r="Q271" s="172"/>
      <c r="R271" s="172"/>
      <c r="S271" s="173"/>
    </row>
    <row r="273" spans="2:19" ht="26.25" thickBot="1" x14ac:dyDescent="0.3">
      <c r="B273" s="15" t="s">
        <v>70</v>
      </c>
      <c r="C273" s="16" t="s">
        <v>71</v>
      </c>
      <c r="D273" s="15" t="s">
        <v>72</v>
      </c>
      <c r="E273" s="17" t="s">
        <v>73</v>
      </c>
      <c r="F273" s="17" t="s">
        <v>74</v>
      </c>
      <c r="G273" s="15" t="s">
        <v>75</v>
      </c>
      <c r="H273" s="15" t="s">
        <v>55</v>
      </c>
      <c r="I273" s="15" t="s">
        <v>76</v>
      </c>
      <c r="L273" s="15" t="s">
        <v>70</v>
      </c>
      <c r="M273" s="16" t="s">
        <v>71</v>
      </c>
      <c r="N273" s="15" t="s">
        <v>72</v>
      </c>
      <c r="O273" s="17" t="s">
        <v>73</v>
      </c>
      <c r="P273" s="17" t="s">
        <v>74</v>
      </c>
      <c r="Q273" s="15" t="s">
        <v>75</v>
      </c>
      <c r="R273" s="15" t="s">
        <v>55</v>
      </c>
      <c r="S273" s="15" t="s">
        <v>76</v>
      </c>
    </row>
    <row r="274" spans="2:19" x14ac:dyDescent="0.25">
      <c r="B274" s="174" t="s">
        <v>2</v>
      </c>
      <c r="C274" s="168" t="s">
        <v>77</v>
      </c>
      <c r="D274" s="18" t="s">
        <v>2</v>
      </c>
      <c r="E274" s="19">
        <v>1</v>
      </c>
      <c r="F274" s="19">
        <v>1</v>
      </c>
      <c r="G274" s="18" t="s">
        <v>78</v>
      </c>
      <c r="H274" s="156" t="s">
        <v>141</v>
      </c>
      <c r="I274" s="165" t="s">
        <v>196</v>
      </c>
      <c r="L274" s="174" t="s">
        <v>2</v>
      </c>
      <c r="M274" s="168" t="s">
        <v>77</v>
      </c>
      <c r="N274" s="18" t="s">
        <v>2</v>
      </c>
      <c r="O274" s="19">
        <v>1</v>
      </c>
      <c r="P274" s="19">
        <v>1</v>
      </c>
      <c r="Q274" s="18" t="s">
        <v>78</v>
      </c>
      <c r="R274" s="156" t="s">
        <v>141</v>
      </c>
      <c r="S274" s="165" t="s">
        <v>198</v>
      </c>
    </row>
    <row r="275" spans="2:19" x14ac:dyDescent="0.25">
      <c r="B275" s="175"/>
      <c r="C275" s="169"/>
      <c r="D275" s="18" t="s">
        <v>3</v>
      </c>
      <c r="E275" s="19">
        <v>2</v>
      </c>
      <c r="F275" s="19">
        <v>2</v>
      </c>
      <c r="G275" s="18" t="s">
        <v>78</v>
      </c>
      <c r="H275" s="157"/>
      <c r="I275" s="166"/>
      <c r="L275" s="175"/>
      <c r="M275" s="169"/>
      <c r="N275" s="18" t="s">
        <v>3</v>
      </c>
      <c r="O275" s="19">
        <v>2</v>
      </c>
      <c r="P275" s="19">
        <v>2</v>
      </c>
      <c r="Q275" s="18" t="s">
        <v>78</v>
      </c>
      <c r="R275" s="157"/>
      <c r="S275" s="166"/>
    </row>
    <row r="276" spans="2:19" x14ac:dyDescent="0.25">
      <c r="B276" s="175"/>
      <c r="C276" s="169"/>
      <c r="D276" s="18" t="s">
        <v>80</v>
      </c>
      <c r="E276" s="20">
        <v>3</v>
      </c>
      <c r="F276" s="20">
        <v>3</v>
      </c>
      <c r="G276" s="18" t="s">
        <v>66</v>
      </c>
      <c r="H276" s="157"/>
      <c r="I276" s="166"/>
      <c r="L276" s="175"/>
      <c r="M276" s="169"/>
      <c r="N276" s="18" t="s">
        <v>80</v>
      </c>
      <c r="O276" s="20">
        <v>3</v>
      </c>
      <c r="P276" s="20">
        <v>3</v>
      </c>
      <c r="Q276" s="18" t="s">
        <v>66</v>
      </c>
      <c r="R276" s="157"/>
      <c r="S276" s="166"/>
    </row>
    <row r="277" spans="2:19" x14ac:dyDescent="0.25">
      <c r="B277" s="175"/>
      <c r="C277" s="169"/>
      <c r="D277" s="18" t="s">
        <v>81</v>
      </c>
      <c r="E277" s="20">
        <v>4</v>
      </c>
      <c r="F277" s="20">
        <v>4</v>
      </c>
      <c r="G277" s="18" t="s">
        <v>66</v>
      </c>
      <c r="H277" s="157"/>
      <c r="I277" s="166"/>
      <c r="L277" s="175"/>
      <c r="M277" s="169"/>
      <c r="N277" s="18" t="s">
        <v>81</v>
      </c>
      <c r="O277" s="20">
        <v>4</v>
      </c>
      <c r="P277" s="20">
        <v>4</v>
      </c>
      <c r="Q277" s="18" t="s">
        <v>66</v>
      </c>
      <c r="R277" s="157"/>
      <c r="S277" s="166"/>
    </row>
    <row r="278" spans="2:19" x14ac:dyDescent="0.25">
      <c r="B278" s="175"/>
      <c r="C278" s="169"/>
      <c r="D278" s="18" t="s">
        <v>82</v>
      </c>
      <c r="E278" s="20">
        <v>5</v>
      </c>
      <c r="F278" s="20">
        <v>5</v>
      </c>
      <c r="G278" s="18" t="s">
        <v>66</v>
      </c>
      <c r="H278" s="157"/>
      <c r="I278" s="166"/>
      <c r="L278" s="175"/>
      <c r="M278" s="169"/>
      <c r="N278" s="18" t="s">
        <v>82</v>
      </c>
      <c r="O278" s="20">
        <v>5</v>
      </c>
      <c r="P278" s="20">
        <v>5</v>
      </c>
      <c r="Q278" s="18" t="s">
        <v>66</v>
      </c>
      <c r="R278" s="157"/>
      <c r="S278" s="166"/>
    </row>
    <row r="279" spans="2:19" ht="15.75" thickBot="1" x14ac:dyDescent="0.3">
      <c r="B279" s="175"/>
      <c r="C279" s="170"/>
      <c r="D279" s="18" t="s">
        <v>83</v>
      </c>
      <c r="E279" s="20">
        <v>6</v>
      </c>
      <c r="F279" s="20">
        <v>6</v>
      </c>
      <c r="G279" s="18" t="s">
        <v>66</v>
      </c>
      <c r="H279" s="158"/>
      <c r="I279" s="167"/>
      <c r="L279" s="175"/>
      <c r="M279" s="170"/>
      <c r="N279" s="18" t="s">
        <v>83</v>
      </c>
      <c r="O279" s="20">
        <v>6</v>
      </c>
      <c r="P279" s="20">
        <v>6</v>
      </c>
      <c r="Q279" s="18" t="s">
        <v>66</v>
      </c>
      <c r="R279" s="158"/>
      <c r="S279" s="167"/>
    </row>
    <row r="280" spans="2:19" x14ac:dyDescent="0.25">
      <c r="B280" s="175"/>
      <c r="C280" s="168" t="s">
        <v>84</v>
      </c>
      <c r="D280" s="18" t="s">
        <v>2</v>
      </c>
      <c r="E280" s="19">
        <v>1</v>
      </c>
      <c r="F280" s="19">
        <v>7</v>
      </c>
      <c r="G280" s="18" t="s">
        <v>66</v>
      </c>
      <c r="H280" s="32"/>
      <c r="I280" s="50"/>
      <c r="L280" s="175"/>
      <c r="M280" s="168" t="s">
        <v>84</v>
      </c>
      <c r="N280" s="18" t="s">
        <v>2</v>
      </c>
      <c r="O280" s="19">
        <v>1</v>
      </c>
      <c r="P280" s="19">
        <v>7</v>
      </c>
      <c r="Q280" s="18" t="s">
        <v>66</v>
      </c>
      <c r="R280" s="32"/>
      <c r="S280" s="50"/>
    </row>
    <row r="281" spans="2:19" x14ac:dyDescent="0.25">
      <c r="B281" s="175"/>
      <c r="C281" s="169"/>
      <c r="D281" s="18" t="s">
        <v>3</v>
      </c>
      <c r="E281" s="19">
        <v>2</v>
      </c>
      <c r="F281" s="19">
        <v>8</v>
      </c>
      <c r="G281" s="18" t="s">
        <v>66</v>
      </c>
      <c r="H281" s="32"/>
      <c r="I281" s="50"/>
      <c r="L281" s="175"/>
      <c r="M281" s="169"/>
      <c r="N281" s="18" t="s">
        <v>3</v>
      </c>
      <c r="O281" s="19">
        <v>2</v>
      </c>
      <c r="P281" s="19">
        <v>8</v>
      </c>
      <c r="Q281" s="18" t="s">
        <v>66</v>
      </c>
      <c r="R281" s="32"/>
      <c r="S281" s="50"/>
    </row>
    <row r="282" spans="2:19" x14ac:dyDescent="0.25">
      <c r="B282" s="175"/>
      <c r="C282" s="169"/>
      <c r="D282" s="18" t="s">
        <v>80</v>
      </c>
      <c r="E282" s="20">
        <v>3</v>
      </c>
      <c r="F282" s="20">
        <v>9</v>
      </c>
      <c r="G282" s="18" t="s">
        <v>66</v>
      </c>
      <c r="H282" s="32"/>
      <c r="I282" s="50"/>
      <c r="L282" s="175"/>
      <c r="M282" s="169"/>
      <c r="N282" s="18" t="s">
        <v>80</v>
      </c>
      <c r="O282" s="20">
        <v>3</v>
      </c>
      <c r="P282" s="20">
        <v>9</v>
      </c>
      <c r="Q282" s="18" t="s">
        <v>66</v>
      </c>
      <c r="R282" s="32"/>
      <c r="S282" s="50"/>
    </row>
    <row r="283" spans="2:19" x14ac:dyDescent="0.25">
      <c r="B283" s="175"/>
      <c r="C283" s="169"/>
      <c r="D283" s="18" t="s">
        <v>81</v>
      </c>
      <c r="E283" s="20">
        <v>4</v>
      </c>
      <c r="F283" s="20">
        <v>10</v>
      </c>
      <c r="G283" s="18" t="s">
        <v>66</v>
      </c>
      <c r="H283" s="32"/>
      <c r="I283" s="50"/>
      <c r="L283" s="175"/>
      <c r="M283" s="169"/>
      <c r="N283" s="18" t="s">
        <v>81</v>
      </c>
      <c r="O283" s="20">
        <v>4</v>
      </c>
      <c r="P283" s="20">
        <v>10</v>
      </c>
      <c r="Q283" s="18" t="s">
        <v>66</v>
      </c>
      <c r="R283" s="32"/>
      <c r="S283" s="50"/>
    </row>
    <row r="284" spans="2:19" x14ac:dyDescent="0.25">
      <c r="B284" s="175"/>
      <c r="C284" s="169"/>
      <c r="D284" s="18" t="s">
        <v>82</v>
      </c>
      <c r="E284" s="20">
        <v>5</v>
      </c>
      <c r="F284" s="20">
        <v>11</v>
      </c>
      <c r="G284" s="18" t="s">
        <v>66</v>
      </c>
      <c r="H284" s="32"/>
      <c r="I284" s="50"/>
      <c r="L284" s="175"/>
      <c r="M284" s="169"/>
      <c r="N284" s="18" t="s">
        <v>82</v>
      </c>
      <c r="O284" s="20">
        <v>5</v>
      </c>
      <c r="P284" s="20">
        <v>11</v>
      </c>
      <c r="Q284" s="18" t="s">
        <v>66</v>
      </c>
      <c r="R284" s="32"/>
      <c r="S284" s="50"/>
    </row>
    <row r="285" spans="2:19" ht="15.75" thickBot="1" x14ac:dyDescent="0.3">
      <c r="B285" s="176"/>
      <c r="C285" s="170"/>
      <c r="D285" s="18" t="s">
        <v>83</v>
      </c>
      <c r="E285" s="20">
        <v>6</v>
      </c>
      <c r="F285" s="20">
        <v>12</v>
      </c>
      <c r="G285" s="18" t="s">
        <v>66</v>
      </c>
      <c r="H285" s="32"/>
      <c r="I285" s="50"/>
      <c r="L285" s="176"/>
      <c r="M285" s="170"/>
      <c r="N285" s="18" t="s">
        <v>83</v>
      </c>
      <c r="O285" s="20">
        <v>6</v>
      </c>
      <c r="P285" s="20">
        <v>12</v>
      </c>
      <c r="Q285" s="18" t="s">
        <v>66</v>
      </c>
      <c r="R285" s="32"/>
      <c r="S285" s="50"/>
    </row>
    <row r="286" spans="2:19" x14ac:dyDescent="0.25">
      <c r="B286" s="180" t="s">
        <v>3</v>
      </c>
      <c r="C286" s="177" t="s">
        <v>77</v>
      </c>
      <c r="D286" s="21" t="s">
        <v>2</v>
      </c>
      <c r="E286" s="22">
        <v>1</v>
      </c>
      <c r="F286" s="22">
        <v>13</v>
      </c>
      <c r="G286" s="21" t="s">
        <v>66</v>
      </c>
      <c r="H286" s="21"/>
      <c r="I286" s="51"/>
      <c r="L286" s="180" t="s">
        <v>3</v>
      </c>
      <c r="M286" s="177" t="s">
        <v>77</v>
      </c>
      <c r="N286" s="21" t="s">
        <v>2</v>
      </c>
      <c r="O286" s="22">
        <v>1</v>
      </c>
      <c r="P286" s="22">
        <v>13</v>
      </c>
      <c r="Q286" s="21" t="s">
        <v>66</v>
      </c>
      <c r="R286" s="21"/>
      <c r="S286" s="51"/>
    </row>
    <row r="287" spans="2:19" x14ac:dyDescent="0.25">
      <c r="B287" s="181"/>
      <c r="C287" s="178"/>
      <c r="D287" s="23" t="s">
        <v>3</v>
      </c>
      <c r="E287" s="24">
        <v>2</v>
      </c>
      <c r="F287" s="24">
        <v>14</v>
      </c>
      <c r="G287" s="23" t="s">
        <v>66</v>
      </c>
      <c r="H287" s="23"/>
      <c r="I287" s="47"/>
      <c r="L287" s="181"/>
      <c r="M287" s="178"/>
      <c r="N287" s="23" t="s">
        <v>3</v>
      </c>
      <c r="O287" s="24">
        <v>2</v>
      </c>
      <c r="P287" s="24">
        <v>14</v>
      </c>
      <c r="Q287" s="23" t="s">
        <v>66</v>
      </c>
      <c r="R287" s="23"/>
      <c r="S287" s="47"/>
    </row>
    <row r="288" spans="2:19" x14ac:dyDescent="0.25">
      <c r="B288" s="181"/>
      <c r="C288" s="178"/>
      <c r="D288" s="23" t="s">
        <v>80</v>
      </c>
      <c r="E288" s="24">
        <v>3</v>
      </c>
      <c r="F288" s="24">
        <v>15</v>
      </c>
      <c r="G288" s="23" t="s">
        <v>66</v>
      </c>
      <c r="H288" s="23"/>
      <c r="I288" s="47"/>
      <c r="L288" s="181"/>
      <c r="M288" s="178"/>
      <c r="N288" s="23" t="s">
        <v>80</v>
      </c>
      <c r="O288" s="24">
        <v>3</v>
      </c>
      <c r="P288" s="24">
        <v>15</v>
      </c>
      <c r="Q288" s="23" t="s">
        <v>66</v>
      </c>
      <c r="R288" s="23"/>
      <c r="S288" s="47"/>
    </row>
    <row r="289" spans="2:19" x14ac:dyDescent="0.25">
      <c r="B289" s="181"/>
      <c r="C289" s="178"/>
      <c r="D289" s="23" t="s">
        <v>81</v>
      </c>
      <c r="E289" s="24">
        <v>4</v>
      </c>
      <c r="F289" s="24">
        <v>16</v>
      </c>
      <c r="G289" s="23" t="s">
        <v>66</v>
      </c>
      <c r="H289" s="23"/>
      <c r="I289" s="47"/>
      <c r="L289" s="181"/>
      <c r="M289" s="178"/>
      <c r="N289" s="23" t="s">
        <v>81</v>
      </c>
      <c r="O289" s="24">
        <v>4</v>
      </c>
      <c r="P289" s="24">
        <v>16</v>
      </c>
      <c r="Q289" s="23" t="s">
        <v>66</v>
      </c>
      <c r="R289" s="23"/>
      <c r="S289" s="47"/>
    </row>
    <row r="290" spans="2:19" x14ac:dyDescent="0.25">
      <c r="B290" s="181"/>
      <c r="C290" s="178"/>
      <c r="D290" s="23" t="s">
        <v>82</v>
      </c>
      <c r="E290" s="24">
        <v>5</v>
      </c>
      <c r="F290" s="24">
        <v>17</v>
      </c>
      <c r="G290" s="23" t="s">
        <v>66</v>
      </c>
      <c r="H290" s="23"/>
      <c r="I290" s="47"/>
      <c r="L290" s="181"/>
      <c r="M290" s="178"/>
      <c r="N290" s="23" t="s">
        <v>82</v>
      </c>
      <c r="O290" s="24">
        <v>5</v>
      </c>
      <c r="P290" s="24">
        <v>17</v>
      </c>
      <c r="Q290" s="23" t="s">
        <v>66</v>
      </c>
      <c r="R290" s="23"/>
      <c r="S290" s="47"/>
    </row>
    <row r="291" spans="2:19" ht="15.75" thickBot="1" x14ac:dyDescent="0.3">
      <c r="B291" s="181"/>
      <c r="C291" s="179"/>
      <c r="D291" s="23" t="s">
        <v>83</v>
      </c>
      <c r="E291" s="24">
        <v>6</v>
      </c>
      <c r="F291" s="24">
        <v>18</v>
      </c>
      <c r="G291" s="23" t="s">
        <v>66</v>
      </c>
      <c r="H291" s="23"/>
      <c r="I291" s="47"/>
      <c r="L291" s="181"/>
      <c r="M291" s="179"/>
      <c r="N291" s="23" t="s">
        <v>83</v>
      </c>
      <c r="O291" s="24">
        <v>6</v>
      </c>
      <c r="P291" s="24">
        <v>18</v>
      </c>
      <c r="Q291" s="23" t="s">
        <v>66</v>
      </c>
      <c r="R291" s="23"/>
      <c r="S291" s="47"/>
    </row>
    <row r="292" spans="2:19" x14ac:dyDescent="0.25">
      <c r="B292" s="181"/>
      <c r="C292" s="177" t="s">
        <v>84</v>
      </c>
      <c r="D292" s="23" t="s">
        <v>2</v>
      </c>
      <c r="E292" s="24">
        <v>1</v>
      </c>
      <c r="F292" s="24">
        <v>19</v>
      </c>
      <c r="G292" s="23" t="s">
        <v>66</v>
      </c>
      <c r="H292" s="23"/>
      <c r="I292" s="47"/>
      <c r="L292" s="181"/>
      <c r="M292" s="177" t="s">
        <v>84</v>
      </c>
      <c r="N292" s="23" t="s">
        <v>2</v>
      </c>
      <c r="O292" s="24">
        <v>1</v>
      </c>
      <c r="P292" s="24">
        <v>19</v>
      </c>
      <c r="Q292" s="23" t="s">
        <v>66</v>
      </c>
      <c r="R292" s="23"/>
      <c r="S292" s="47"/>
    </row>
    <row r="293" spans="2:19" x14ac:dyDescent="0.25">
      <c r="B293" s="181"/>
      <c r="C293" s="178"/>
      <c r="D293" s="23" t="s">
        <v>3</v>
      </c>
      <c r="E293" s="24">
        <v>2</v>
      </c>
      <c r="F293" s="24">
        <v>20</v>
      </c>
      <c r="G293" s="23" t="s">
        <v>66</v>
      </c>
      <c r="H293" s="23"/>
      <c r="I293" s="47"/>
      <c r="L293" s="181"/>
      <c r="M293" s="178"/>
      <c r="N293" s="23" t="s">
        <v>3</v>
      </c>
      <c r="O293" s="24">
        <v>2</v>
      </c>
      <c r="P293" s="24">
        <v>20</v>
      </c>
      <c r="Q293" s="23" t="s">
        <v>66</v>
      </c>
      <c r="R293" s="23"/>
      <c r="S293" s="47"/>
    </row>
    <row r="294" spans="2:19" x14ac:dyDescent="0.25">
      <c r="B294" s="181"/>
      <c r="C294" s="178"/>
      <c r="D294" s="23" t="s">
        <v>80</v>
      </c>
      <c r="E294" s="26">
        <v>3</v>
      </c>
      <c r="F294" s="24">
        <v>21</v>
      </c>
      <c r="G294" s="23" t="s">
        <v>66</v>
      </c>
      <c r="H294" s="23"/>
      <c r="I294" s="47"/>
      <c r="L294" s="181"/>
      <c r="M294" s="178"/>
      <c r="N294" s="23" t="s">
        <v>80</v>
      </c>
      <c r="O294" s="26">
        <v>3</v>
      </c>
      <c r="P294" s="24">
        <v>21</v>
      </c>
      <c r="Q294" s="23" t="s">
        <v>66</v>
      </c>
      <c r="R294" s="23"/>
      <c r="S294" s="47"/>
    </row>
    <row r="295" spans="2:19" x14ac:dyDescent="0.25">
      <c r="B295" s="181"/>
      <c r="C295" s="178"/>
      <c r="D295" s="23" t="s">
        <v>81</v>
      </c>
      <c r="E295" s="24">
        <v>4</v>
      </c>
      <c r="F295" s="24">
        <v>22</v>
      </c>
      <c r="G295" s="23" t="s">
        <v>66</v>
      </c>
      <c r="H295" s="23"/>
      <c r="I295" s="47"/>
      <c r="L295" s="181"/>
      <c r="M295" s="178"/>
      <c r="N295" s="23" t="s">
        <v>81</v>
      </c>
      <c r="O295" s="24">
        <v>4</v>
      </c>
      <c r="P295" s="24">
        <v>22</v>
      </c>
      <c r="Q295" s="23" t="s">
        <v>66</v>
      </c>
      <c r="R295" s="23"/>
      <c r="S295" s="47"/>
    </row>
    <row r="296" spans="2:19" x14ac:dyDescent="0.25">
      <c r="B296" s="181"/>
      <c r="C296" s="178"/>
      <c r="D296" s="23" t="s">
        <v>82</v>
      </c>
      <c r="E296" s="24">
        <v>5</v>
      </c>
      <c r="F296" s="24">
        <v>23</v>
      </c>
      <c r="G296" s="23" t="s">
        <v>66</v>
      </c>
      <c r="H296" s="23"/>
      <c r="I296" s="47"/>
      <c r="L296" s="181"/>
      <c r="M296" s="178"/>
      <c r="N296" s="23" t="s">
        <v>82</v>
      </c>
      <c r="O296" s="24">
        <v>5</v>
      </c>
      <c r="P296" s="24">
        <v>23</v>
      </c>
      <c r="Q296" s="23" t="s">
        <v>66</v>
      </c>
      <c r="R296" s="23"/>
      <c r="S296" s="47"/>
    </row>
    <row r="297" spans="2:19" ht="15.75" thickBot="1" x14ac:dyDescent="0.3">
      <c r="B297" s="182"/>
      <c r="C297" s="179"/>
      <c r="D297" s="23" t="s">
        <v>83</v>
      </c>
      <c r="E297" s="24">
        <v>6</v>
      </c>
      <c r="F297" s="24">
        <v>24</v>
      </c>
      <c r="G297" s="23" t="s">
        <v>66</v>
      </c>
      <c r="H297" s="23"/>
      <c r="I297" s="47"/>
      <c r="L297" s="182"/>
      <c r="M297" s="179"/>
      <c r="N297" s="23" t="s">
        <v>83</v>
      </c>
      <c r="O297" s="24">
        <v>6</v>
      </c>
      <c r="P297" s="24">
        <v>24</v>
      </c>
      <c r="Q297" s="23" t="s">
        <v>66</v>
      </c>
      <c r="R297" s="23"/>
      <c r="S297" s="47"/>
    </row>
    <row r="298" spans="2:19" x14ac:dyDescent="0.25">
      <c r="B298" s="189" t="s">
        <v>80</v>
      </c>
      <c r="C298" s="192" t="s">
        <v>77</v>
      </c>
      <c r="D298" s="27" t="s">
        <v>2</v>
      </c>
      <c r="E298" s="28">
        <v>1</v>
      </c>
      <c r="F298" s="28">
        <v>25</v>
      </c>
      <c r="G298" s="27" t="s">
        <v>66</v>
      </c>
      <c r="H298" s="27"/>
      <c r="I298" s="48"/>
      <c r="L298" s="189" t="s">
        <v>80</v>
      </c>
      <c r="M298" s="192" t="s">
        <v>77</v>
      </c>
      <c r="N298" s="27" t="s">
        <v>2</v>
      </c>
      <c r="O298" s="28">
        <v>1</v>
      </c>
      <c r="P298" s="28">
        <v>25</v>
      </c>
      <c r="Q298" s="27" t="s">
        <v>66</v>
      </c>
      <c r="R298" s="27"/>
      <c r="S298" s="48"/>
    </row>
    <row r="299" spans="2:19" x14ac:dyDescent="0.25">
      <c r="B299" s="190"/>
      <c r="C299" s="193"/>
      <c r="D299" s="27" t="s">
        <v>3</v>
      </c>
      <c r="E299" s="28">
        <v>2</v>
      </c>
      <c r="F299" s="28">
        <v>26</v>
      </c>
      <c r="G299" s="27" t="s">
        <v>66</v>
      </c>
      <c r="H299" s="27"/>
      <c r="I299" s="48"/>
      <c r="L299" s="190"/>
      <c r="M299" s="193"/>
      <c r="N299" s="27" t="s">
        <v>3</v>
      </c>
      <c r="O299" s="28">
        <v>2</v>
      </c>
      <c r="P299" s="28">
        <v>26</v>
      </c>
      <c r="Q299" s="27" t="s">
        <v>66</v>
      </c>
      <c r="R299" s="27"/>
      <c r="S299" s="48"/>
    </row>
    <row r="300" spans="2:19" x14ac:dyDescent="0.25">
      <c r="B300" s="190"/>
      <c r="C300" s="193"/>
      <c r="D300" s="27" t="s">
        <v>80</v>
      </c>
      <c r="E300" s="28">
        <v>3</v>
      </c>
      <c r="F300" s="28">
        <v>27</v>
      </c>
      <c r="G300" s="27" t="s">
        <v>66</v>
      </c>
      <c r="H300" s="27"/>
      <c r="I300" s="48"/>
      <c r="L300" s="190"/>
      <c r="M300" s="193"/>
      <c r="N300" s="27" t="s">
        <v>80</v>
      </c>
      <c r="O300" s="28">
        <v>3</v>
      </c>
      <c r="P300" s="28">
        <v>27</v>
      </c>
      <c r="Q300" s="27" t="s">
        <v>66</v>
      </c>
      <c r="R300" s="27"/>
      <c r="S300" s="48"/>
    </row>
    <row r="301" spans="2:19" x14ac:dyDescent="0.25">
      <c r="B301" s="190"/>
      <c r="C301" s="193"/>
      <c r="D301" s="27" t="s">
        <v>81</v>
      </c>
      <c r="E301" s="28">
        <v>4</v>
      </c>
      <c r="F301" s="28">
        <v>28</v>
      </c>
      <c r="G301" s="27" t="s">
        <v>66</v>
      </c>
      <c r="H301" s="27"/>
      <c r="I301" s="48"/>
      <c r="L301" s="190"/>
      <c r="M301" s="193"/>
      <c r="N301" s="27" t="s">
        <v>81</v>
      </c>
      <c r="O301" s="28">
        <v>4</v>
      </c>
      <c r="P301" s="28">
        <v>28</v>
      </c>
      <c r="Q301" s="27" t="s">
        <v>66</v>
      </c>
      <c r="R301" s="27"/>
      <c r="S301" s="48"/>
    </row>
    <row r="302" spans="2:19" x14ac:dyDescent="0.25">
      <c r="B302" s="190"/>
      <c r="C302" s="193"/>
      <c r="D302" s="27" t="s">
        <v>82</v>
      </c>
      <c r="E302" s="28">
        <v>5</v>
      </c>
      <c r="F302" s="28">
        <v>29</v>
      </c>
      <c r="G302" s="27" t="s">
        <v>66</v>
      </c>
      <c r="H302" s="27"/>
      <c r="I302" s="48"/>
      <c r="L302" s="190"/>
      <c r="M302" s="193"/>
      <c r="N302" s="27" t="s">
        <v>82</v>
      </c>
      <c r="O302" s="28">
        <v>5</v>
      </c>
      <c r="P302" s="28">
        <v>29</v>
      </c>
      <c r="Q302" s="27" t="s">
        <v>66</v>
      </c>
      <c r="R302" s="27"/>
      <c r="S302" s="48"/>
    </row>
    <row r="303" spans="2:19" ht="15.75" thickBot="1" x14ac:dyDescent="0.3">
      <c r="B303" s="190"/>
      <c r="C303" s="194"/>
      <c r="D303" s="27" t="s">
        <v>83</v>
      </c>
      <c r="E303" s="28">
        <v>6</v>
      </c>
      <c r="F303" s="28">
        <v>30</v>
      </c>
      <c r="G303" s="27" t="s">
        <v>66</v>
      </c>
      <c r="H303" s="27"/>
      <c r="I303" s="48"/>
      <c r="L303" s="190"/>
      <c r="M303" s="194"/>
      <c r="N303" s="27" t="s">
        <v>83</v>
      </c>
      <c r="O303" s="28">
        <v>6</v>
      </c>
      <c r="P303" s="28">
        <v>30</v>
      </c>
      <c r="Q303" s="27" t="s">
        <v>66</v>
      </c>
      <c r="R303" s="27"/>
      <c r="S303" s="48"/>
    </row>
    <row r="304" spans="2:19" x14ac:dyDescent="0.25">
      <c r="B304" s="190"/>
      <c r="C304" s="192" t="s">
        <v>84</v>
      </c>
      <c r="D304" s="27" t="s">
        <v>2</v>
      </c>
      <c r="E304" s="28">
        <v>1</v>
      </c>
      <c r="F304" s="28">
        <v>31</v>
      </c>
      <c r="G304" s="27" t="s">
        <v>66</v>
      </c>
      <c r="H304" s="27"/>
      <c r="I304" s="48"/>
      <c r="L304" s="190"/>
      <c r="M304" s="192" t="s">
        <v>84</v>
      </c>
      <c r="N304" s="27" t="s">
        <v>2</v>
      </c>
      <c r="O304" s="28">
        <v>1</v>
      </c>
      <c r="P304" s="28">
        <v>31</v>
      </c>
      <c r="Q304" s="27" t="s">
        <v>66</v>
      </c>
      <c r="R304" s="27"/>
      <c r="S304" s="48"/>
    </row>
    <row r="305" spans="2:19" x14ac:dyDescent="0.25">
      <c r="B305" s="190"/>
      <c r="C305" s="193"/>
      <c r="D305" s="27" t="s">
        <v>3</v>
      </c>
      <c r="E305" s="28">
        <v>2</v>
      </c>
      <c r="F305" s="28">
        <v>32</v>
      </c>
      <c r="G305" s="27" t="s">
        <v>66</v>
      </c>
      <c r="H305" s="27"/>
      <c r="I305" s="48"/>
      <c r="L305" s="190"/>
      <c r="M305" s="193"/>
      <c r="N305" s="27" t="s">
        <v>3</v>
      </c>
      <c r="O305" s="28">
        <v>2</v>
      </c>
      <c r="P305" s="28">
        <v>32</v>
      </c>
      <c r="Q305" s="27" t="s">
        <v>66</v>
      </c>
      <c r="R305" s="27"/>
      <c r="S305" s="48"/>
    </row>
    <row r="306" spans="2:19" x14ac:dyDescent="0.25">
      <c r="B306" s="190"/>
      <c r="C306" s="193"/>
      <c r="D306" s="27" t="s">
        <v>80</v>
      </c>
      <c r="E306" s="28">
        <v>3</v>
      </c>
      <c r="F306" s="28">
        <v>33</v>
      </c>
      <c r="G306" s="27" t="s">
        <v>66</v>
      </c>
      <c r="H306" s="27"/>
      <c r="I306" s="48"/>
      <c r="L306" s="190"/>
      <c r="M306" s="193"/>
      <c r="N306" s="27" t="s">
        <v>80</v>
      </c>
      <c r="O306" s="28">
        <v>3</v>
      </c>
      <c r="P306" s="28">
        <v>33</v>
      </c>
      <c r="Q306" s="27" t="s">
        <v>66</v>
      </c>
      <c r="R306" s="27"/>
      <c r="S306" s="48"/>
    </row>
    <row r="307" spans="2:19" x14ac:dyDescent="0.25">
      <c r="B307" s="190"/>
      <c r="C307" s="193"/>
      <c r="D307" s="27" t="s">
        <v>81</v>
      </c>
      <c r="E307" s="28">
        <v>4</v>
      </c>
      <c r="F307" s="28">
        <v>34</v>
      </c>
      <c r="G307" s="27" t="s">
        <v>66</v>
      </c>
      <c r="H307" s="27"/>
      <c r="I307" s="48"/>
      <c r="L307" s="190"/>
      <c r="M307" s="193"/>
      <c r="N307" s="27" t="s">
        <v>81</v>
      </c>
      <c r="O307" s="28">
        <v>4</v>
      </c>
      <c r="P307" s="28">
        <v>34</v>
      </c>
      <c r="Q307" s="27" t="s">
        <v>66</v>
      </c>
      <c r="R307" s="27"/>
      <c r="S307" s="48"/>
    </row>
    <row r="308" spans="2:19" x14ac:dyDescent="0.25">
      <c r="B308" s="190"/>
      <c r="C308" s="193"/>
      <c r="D308" s="27" t="s">
        <v>82</v>
      </c>
      <c r="E308" s="28">
        <v>5</v>
      </c>
      <c r="F308" s="28">
        <v>35</v>
      </c>
      <c r="G308" s="27" t="s">
        <v>66</v>
      </c>
      <c r="H308" s="27"/>
      <c r="I308" s="48"/>
      <c r="L308" s="190"/>
      <c r="M308" s="193"/>
      <c r="N308" s="27" t="s">
        <v>82</v>
      </c>
      <c r="O308" s="28">
        <v>5</v>
      </c>
      <c r="P308" s="28">
        <v>35</v>
      </c>
      <c r="Q308" s="27" t="s">
        <v>66</v>
      </c>
      <c r="R308" s="27"/>
      <c r="S308" s="48"/>
    </row>
    <row r="309" spans="2:19" ht="15.75" thickBot="1" x14ac:dyDescent="0.3">
      <c r="B309" s="191"/>
      <c r="C309" s="194"/>
      <c r="D309" s="27" t="s">
        <v>83</v>
      </c>
      <c r="E309" s="28">
        <v>6</v>
      </c>
      <c r="F309" s="28">
        <v>36</v>
      </c>
      <c r="G309" s="27" t="s">
        <v>66</v>
      </c>
      <c r="H309" s="27"/>
      <c r="I309" s="48"/>
      <c r="L309" s="191"/>
      <c r="M309" s="194"/>
      <c r="N309" s="27" t="s">
        <v>83</v>
      </c>
      <c r="O309" s="28">
        <v>6</v>
      </c>
      <c r="P309" s="28">
        <v>36</v>
      </c>
      <c r="Q309" s="27" t="s">
        <v>66</v>
      </c>
      <c r="R309" s="27"/>
      <c r="S309" s="48"/>
    </row>
    <row r="310" spans="2:19" ht="15" customHeight="1" x14ac:dyDescent="0.25">
      <c r="B310" s="183" t="s">
        <v>81</v>
      </c>
      <c r="C310" s="186" t="s">
        <v>77</v>
      </c>
      <c r="D310" s="29" t="s">
        <v>2</v>
      </c>
      <c r="E310" s="30">
        <v>1</v>
      </c>
      <c r="F310" s="30">
        <v>37</v>
      </c>
      <c r="G310" s="29" t="s">
        <v>66</v>
      </c>
      <c r="H310" s="31"/>
      <c r="I310" s="60"/>
      <c r="L310" s="183" t="s">
        <v>81</v>
      </c>
      <c r="M310" s="186" t="s">
        <v>77</v>
      </c>
      <c r="N310" s="29" t="s">
        <v>2</v>
      </c>
      <c r="O310" s="30">
        <v>1</v>
      </c>
      <c r="P310" s="30">
        <v>37</v>
      </c>
      <c r="Q310" s="29" t="s">
        <v>66</v>
      </c>
      <c r="R310" s="31"/>
      <c r="S310" s="60"/>
    </row>
    <row r="311" spans="2:19" x14ac:dyDescent="0.25">
      <c r="B311" s="184"/>
      <c r="C311" s="187"/>
      <c r="D311" s="29" t="s">
        <v>3</v>
      </c>
      <c r="E311" s="30">
        <v>2</v>
      </c>
      <c r="F311" s="30">
        <v>38</v>
      </c>
      <c r="G311" s="29" t="s">
        <v>66</v>
      </c>
      <c r="H311" s="31"/>
      <c r="I311" s="60"/>
      <c r="L311" s="184"/>
      <c r="M311" s="187"/>
      <c r="N311" s="29" t="s">
        <v>3</v>
      </c>
      <c r="O311" s="30">
        <v>2</v>
      </c>
      <c r="P311" s="30">
        <v>38</v>
      </c>
      <c r="Q311" s="29" t="s">
        <v>66</v>
      </c>
      <c r="R311" s="31"/>
      <c r="S311" s="60"/>
    </row>
    <row r="312" spans="2:19" x14ac:dyDescent="0.25">
      <c r="B312" s="184"/>
      <c r="C312" s="187"/>
      <c r="D312" s="29" t="s">
        <v>80</v>
      </c>
      <c r="E312" s="30">
        <v>3</v>
      </c>
      <c r="F312" s="30">
        <v>39</v>
      </c>
      <c r="G312" s="29" t="s">
        <v>66</v>
      </c>
      <c r="H312" s="31"/>
      <c r="I312" s="60"/>
      <c r="L312" s="184"/>
      <c r="M312" s="187"/>
      <c r="N312" s="29" t="s">
        <v>80</v>
      </c>
      <c r="O312" s="30">
        <v>3</v>
      </c>
      <c r="P312" s="30">
        <v>39</v>
      </c>
      <c r="Q312" s="29" t="s">
        <v>66</v>
      </c>
      <c r="R312" s="31"/>
      <c r="S312" s="60"/>
    </row>
    <row r="313" spans="2:19" x14ac:dyDescent="0.25">
      <c r="B313" s="184"/>
      <c r="C313" s="187"/>
      <c r="D313" s="29" t="s">
        <v>81</v>
      </c>
      <c r="E313" s="30">
        <v>4</v>
      </c>
      <c r="F313" s="30">
        <v>40</v>
      </c>
      <c r="G313" s="29" t="s">
        <v>66</v>
      </c>
      <c r="H313" s="31"/>
      <c r="I313" s="60"/>
      <c r="L313" s="184"/>
      <c r="M313" s="187"/>
      <c r="N313" s="29" t="s">
        <v>81</v>
      </c>
      <c r="O313" s="30">
        <v>4</v>
      </c>
      <c r="P313" s="30">
        <v>40</v>
      </c>
      <c r="Q313" s="29" t="s">
        <v>66</v>
      </c>
      <c r="R313" s="31"/>
      <c r="S313" s="60"/>
    </row>
    <row r="314" spans="2:19" x14ac:dyDescent="0.25">
      <c r="B314" s="184"/>
      <c r="C314" s="187"/>
      <c r="D314" s="29" t="s">
        <v>82</v>
      </c>
      <c r="E314" s="30">
        <v>5</v>
      </c>
      <c r="F314" s="30">
        <v>41</v>
      </c>
      <c r="G314" s="29" t="s">
        <v>66</v>
      </c>
      <c r="H314" s="31"/>
      <c r="I314" s="60"/>
      <c r="L314" s="184"/>
      <c r="M314" s="187"/>
      <c r="N314" s="29" t="s">
        <v>82</v>
      </c>
      <c r="O314" s="30">
        <v>5</v>
      </c>
      <c r="P314" s="30">
        <v>41</v>
      </c>
      <c r="Q314" s="29" t="s">
        <v>66</v>
      </c>
      <c r="R314" s="31"/>
      <c r="S314" s="60"/>
    </row>
    <row r="315" spans="2:19" ht="15.75" thickBot="1" x14ac:dyDescent="0.3">
      <c r="B315" s="184"/>
      <c r="C315" s="188"/>
      <c r="D315" s="29" t="s">
        <v>83</v>
      </c>
      <c r="E315" s="30">
        <v>6</v>
      </c>
      <c r="F315" s="30">
        <v>42</v>
      </c>
      <c r="G315" s="29" t="s">
        <v>66</v>
      </c>
      <c r="H315" s="31"/>
      <c r="I315" s="60"/>
      <c r="L315" s="184"/>
      <c r="M315" s="188"/>
      <c r="N315" s="29" t="s">
        <v>83</v>
      </c>
      <c r="O315" s="30">
        <v>6</v>
      </c>
      <c r="P315" s="30">
        <v>42</v>
      </c>
      <c r="Q315" s="29" t="s">
        <v>66</v>
      </c>
      <c r="R315" s="31"/>
      <c r="S315" s="60"/>
    </row>
    <row r="316" spans="2:19" x14ac:dyDescent="0.25">
      <c r="B316" s="184"/>
      <c r="C316" s="186" t="s">
        <v>84</v>
      </c>
      <c r="D316" s="29" t="s">
        <v>2</v>
      </c>
      <c r="E316" s="30">
        <v>1</v>
      </c>
      <c r="F316" s="30">
        <v>43</v>
      </c>
      <c r="G316" s="29" t="s">
        <v>66</v>
      </c>
      <c r="H316" s="29"/>
      <c r="I316" s="49"/>
      <c r="L316" s="184"/>
      <c r="M316" s="186" t="s">
        <v>84</v>
      </c>
      <c r="N316" s="29" t="s">
        <v>2</v>
      </c>
      <c r="O316" s="30">
        <v>1</v>
      </c>
      <c r="P316" s="30">
        <v>43</v>
      </c>
      <c r="Q316" s="29" t="s">
        <v>66</v>
      </c>
      <c r="R316" s="29"/>
      <c r="S316" s="49"/>
    </row>
    <row r="317" spans="2:19" x14ac:dyDescent="0.25">
      <c r="B317" s="184"/>
      <c r="C317" s="187"/>
      <c r="D317" s="29" t="s">
        <v>3</v>
      </c>
      <c r="E317" s="30">
        <v>2</v>
      </c>
      <c r="F317" s="30">
        <v>44</v>
      </c>
      <c r="G317" s="29" t="s">
        <v>66</v>
      </c>
      <c r="H317" s="29"/>
      <c r="I317" s="49"/>
      <c r="L317" s="184"/>
      <c r="M317" s="187"/>
      <c r="N317" s="29" t="s">
        <v>3</v>
      </c>
      <c r="O317" s="30">
        <v>2</v>
      </c>
      <c r="P317" s="30">
        <v>44</v>
      </c>
      <c r="Q317" s="29" t="s">
        <v>66</v>
      </c>
      <c r="R317" s="29"/>
      <c r="S317" s="49"/>
    </row>
    <row r="318" spans="2:19" x14ac:dyDescent="0.25">
      <c r="B318" s="184"/>
      <c r="C318" s="187"/>
      <c r="D318" s="29" t="s">
        <v>80</v>
      </c>
      <c r="E318" s="30">
        <v>3</v>
      </c>
      <c r="F318" s="30">
        <v>45</v>
      </c>
      <c r="G318" s="29" t="s">
        <v>66</v>
      </c>
      <c r="H318" s="29"/>
      <c r="I318" s="49"/>
      <c r="L318" s="184"/>
      <c r="M318" s="187"/>
      <c r="N318" s="29" t="s">
        <v>80</v>
      </c>
      <c r="O318" s="30">
        <v>3</v>
      </c>
      <c r="P318" s="30">
        <v>45</v>
      </c>
      <c r="Q318" s="29" t="s">
        <v>66</v>
      </c>
      <c r="R318" s="29"/>
      <c r="S318" s="49"/>
    </row>
    <row r="319" spans="2:19" x14ac:dyDescent="0.25">
      <c r="B319" s="184"/>
      <c r="C319" s="187"/>
      <c r="D319" s="29" t="s">
        <v>81</v>
      </c>
      <c r="E319" s="30">
        <v>4</v>
      </c>
      <c r="F319" s="30">
        <v>46</v>
      </c>
      <c r="G319" s="29" t="s">
        <v>66</v>
      </c>
      <c r="H319" s="29"/>
      <c r="I319" s="49"/>
      <c r="L319" s="184"/>
      <c r="M319" s="187"/>
      <c r="N319" s="29" t="s">
        <v>81</v>
      </c>
      <c r="O319" s="30">
        <v>4</v>
      </c>
      <c r="P319" s="30">
        <v>46</v>
      </c>
      <c r="Q319" s="29" t="s">
        <v>66</v>
      </c>
      <c r="R319" s="29"/>
      <c r="S319" s="49"/>
    </row>
    <row r="320" spans="2:19" x14ac:dyDescent="0.25">
      <c r="B320" s="184"/>
      <c r="C320" s="187"/>
      <c r="D320" s="29" t="s">
        <v>82</v>
      </c>
      <c r="E320" s="30">
        <v>5</v>
      </c>
      <c r="F320" s="30">
        <v>47</v>
      </c>
      <c r="G320" s="29" t="s">
        <v>66</v>
      </c>
      <c r="H320" s="29"/>
      <c r="I320" s="49"/>
      <c r="L320" s="184"/>
      <c r="M320" s="187"/>
      <c r="N320" s="29" t="s">
        <v>82</v>
      </c>
      <c r="O320" s="30">
        <v>5</v>
      </c>
      <c r="P320" s="30">
        <v>47</v>
      </c>
      <c r="Q320" s="29" t="s">
        <v>66</v>
      </c>
      <c r="R320" s="29"/>
      <c r="S320" s="49"/>
    </row>
    <row r="321" spans="2:19" ht="15.75" thickBot="1" x14ac:dyDescent="0.3">
      <c r="B321" s="185"/>
      <c r="C321" s="188"/>
      <c r="D321" s="29" t="s">
        <v>83</v>
      </c>
      <c r="E321" s="30">
        <v>6</v>
      </c>
      <c r="F321" s="30">
        <v>48</v>
      </c>
      <c r="G321" s="29" t="s">
        <v>66</v>
      </c>
      <c r="H321" s="29"/>
      <c r="I321" s="49"/>
      <c r="L321" s="185"/>
      <c r="M321" s="188"/>
      <c r="N321" s="29" t="s">
        <v>83</v>
      </c>
      <c r="O321" s="30">
        <v>6</v>
      </c>
      <c r="P321" s="30">
        <v>48</v>
      </c>
      <c r="Q321" s="29" t="s">
        <v>66</v>
      </c>
      <c r="R321" s="29"/>
      <c r="S321" s="49"/>
    </row>
    <row r="322" spans="2:19" ht="15.75" thickBot="1" x14ac:dyDescent="0.3"/>
    <row r="323" spans="2:19" ht="15.75" thickBot="1" x14ac:dyDescent="0.3">
      <c r="B323" s="171" t="s">
        <v>356</v>
      </c>
      <c r="C323" s="172"/>
      <c r="D323" s="172"/>
      <c r="E323" s="172"/>
      <c r="F323" s="172"/>
      <c r="G323" s="172"/>
      <c r="H323" s="172"/>
      <c r="I323" s="173"/>
      <c r="L323" s="171" t="s">
        <v>357</v>
      </c>
      <c r="M323" s="172"/>
      <c r="N323" s="172"/>
      <c r="O323" s="172"/>
      <c r="P323" s="172"/>
      <c r="Q323" s="172"/>
      <c r="R323" s="172"/>
      <c r="S323" s="173"/>
    </row>
    <row r="325" spans="2:19" ht="26.25" thickBot="1" x14ac:dyDescent="0.3">
      <c r="B325" s="15" t="s">
        <v>70</v>
      </c>
      <c r="C325" s="16" t="s">
        <v>71</v>
      </c>
      <c r="D325" s="15" t="s">
        <v>72</v>
      </c>
      <c r="E325" s="17" t="s">
        <v>73</v>
      </c>
      <c r="F325" s="17" t="s">
        <v>74</v>
      </c>
      <c r="G325" s="15" t="s">
        <v>75</v>
      </c>
      <c r="H325" s="15" t="s">
        <v>55</v>
      </c>
      <c r="I325" s="15" t="s">
        <v>76</v>
      </c>
      <c r="L325" s="15" t="s">
        <v>70</v>
      </c>
      <c r="M325" s="16" t="s">
        <v>71</v>
      </c>
      <c r="N325" s="15" t="s">
        <v>72</v>
      </c>
      <c r="O325" s="17" t="s">
        <v>73</v>
      </c>
      <c r="P325" s="17" t="s">
        <v>74</v>
      </c>
      <c r="Q325" s="15" t="s">
        <v>75</v>
      </c>
      <c r="R325" s="15" t="s">
        <v>55</v>
      </c>
      <c r="S325" s="15" t="s">
        <v>76</v>
      </c>
    </row>
    <row r="326" spans="2:19" ht="15" customHeight="1" x14ac:dyDescent="0.25">
      <c r="B326" s="174" t="s">
        <v>2</v>
      </c>
      <c r="C326" s="168" t="s">
        <v>77</v>
      </c>
      <c r="D326" s="18" t="s">
        <v>2</v>
      </c>
      <c r="E326" s="19">
        <v>1</v>
      </c>
      <c r="F326" s="19">
        <v>1</v>
      </c>
      <c r="G326" s="18" t="s">
        <v>78</v>
      </c>
      <c r="H326" s="156" t="s">
        <v>141</v>
      </c>
      <c r="I326" s="165" t="s">
        <v>197</v>
      </c>
      <c r="L326" s="174" t="s">
        <v>2</v>
      </c>
      <c r="M326" s="168" t="s">
        <v>77</v>
      </c>
      <c r="N326" s="18" t="s">
        <v>2</v>
      </c>
      <c r="O326" s="19">
        <v>1</v>
      </c>
      <c r="P326" s="19">
        <v>1</v>
      </c>
      <c r="Q326" s="18" t="s">
        <v>78</v>
      </c>
      <c r="R326" s="156" t="s">
        <v>141</v>
      </c>
      <c r="S326" s="165" t="s">
        <v>199</v>
      </c>
    </row>
    <row r="327" spans="2:19" x14ac:dyDescent="0.25">
      <c r="B327" s="175"/>
      <c r="C327" s="169"/>
      <c r="D327" s="18" t="s">
        <v>3</v>
      </c>
      <c r="E327" s="19">
        <v>2</v>
      </c>
      <c r="F327" s="19">
        <v>2</v>
      </c>
      <c r="G327" s="18" t="s">
        <v>78</v>
      </c>
      <c r="H327" s="157"/>
      <c r="I327" s="166"/>
      <c r="L327" s="175"/>
      <c r="M327" s="169"/>
      <c r="N327" s="18" t="s">
        <v>3</v>
      </c>
      <c r="O327" s="19">
        <v>2</v>
      </c>
      <c r="P327" s="19">
        <v>2</v>
      </c>
      <c r="Q327" s="18" t="s">
        <v>78</v>
      </c>
      <c r="R327" s="157"/>
      <c r="S327" s="166"/>
    </row>
    <row r="328" spans="2:19" x14ac:dyDescent="0.25">
      <c r="B328" s="175"/>
      <c r="C328" s="169"/>
      <c r="D328" s="18" t="s">
        <v>80</v>
      </c>
      <c r="E328" s="20">
        <v>3</v>
      </c>
      <c r="F328" s="20">
        <v>3</v>
      </c>
      <c r="G328" s="18" t="s">
        <v>66</v>
      </c>
      <c r="H328" s="157"/>
      <c r="I328" s="166"/>
      <c r="L328" s="175"/>
      <c r="M328" s="169"/>
      <c r="N328" s="18" t="s">
        <v>80</v>
      </c>
      <c r="O328" s="20">
        <v>3</v>
      </c>
      <c r="P328" s="20">
        <v>3</v>
      </c>
      <c r="Q328" s="18" t="s">
        <v>66</v>
      </c>
      <c r="R328" s="157"/>
      <c r="S328" s="166"/>
    </row>
    <row r="329" spans="2:19" x14ac:dyDescent="0.25">
      <c r="B329" s="175"/>
      <c r="C329" s="169"/>
      <c r="D329" s="18" t="s">
        <v>81</v>
      </c>
      <c r="E329" s="20">
        <v>4</v>
      </c>
      <c r="F329" s="20">
        <v>4</v>
      </c>
      <c r="G329" s="18" t="s">
        <v>66</v>
      </c>
      <c r="H329" s="157"/>
      <c r="I329" s="166"/>
      <c r="L329" s="175"/>
      <c r="M329" s="169"/>
      <c r="N329" s="18" t="s">
        <v>81</v>
      </c>
      <c r="O329" s="20">
        <v>4</v>
      </c>
      <c r="P329" s="20">
        <v>4</v>
      </c>
      <c r="Q329" s="18" t="s">
        <v>66</v>
      </c>
      <c r="R329" s="157"/>
      <c r="S329" s="166"/>
    </row>
    <row r="330" spans="2:19" x14ac:dyDescent="0.25">
      <c r="B330" s="175"/>
      <c r="C330" s="169"/>
      <c r="D330" s="18" t="s">
        <v>82</v>
      </c>
      <c r="E330" s="20">
        <v>5</v>
      </c>
      <c r="F330" s="20">
        <v>5</v>
      </c>
      <c r="G330" s="18" t="s">
        <v>66</v>
      </c>
      <c r="H330" s="157"/>
      <c r="I330" s="166"/>
      <c r="L330" s="175"/>
      <c r="M330" s="169"/>
      <c r="N330" s="18" t="s">
        <v>82</v>
      </c>
      <c r="O330" s="20">
        <v>5</v>
      </c>
      <c r="P330" s="20">
        <v>5</v>
      </c>
      <c r="Q330" s="18" t="s">
        <v>66</v>
      </c>
      <c r="R330" s="157"/>
      <c r="S330" s="166"/>
    </row>
    <row r="331" spans="2:19" ht="15.75" thickBot="1" x14ac:dyDescent="0.3">
      <c r="B331" s="175"/>
      <c r="C331" s="170"/>
      <c r="D331" s="18" t="s">
        <v>83</v>
      </c>
      <c r="E331" s="20">
        <v>6</v>
      </c>
      <c r="F331" s="20">
        <v>6</v>
      </c>
      <c r="G331" s="18" t="s">
        <v>66</v>
      </c>
      <c r="H331" s="158"/>
      <c r="I331" s="167"/>
      <c r="L331" s="175"/>
      <c r="M331" s="170"/>
      <c r="N331" s="18" t="s">
        <v>83</v>
      </c>
      <c r="O331" s="20">
        <v>6</v>
      </c>
      <c r="P331" s="20">
        <v>6</v>
      </c>
      <c r="Q331" s="18" t="s">
        <v>66</v>
      </c>
      <c r="R331" s="158"/>
      <c r="S331" s="167"/>
    </row>
    <row r="332" spans="2:19" x14ac:dyDescent="0.25">
      <c r="B332" s="175"/>
      <c r="C332" s="168" t="s">
        <v>84</v>
      </c>
      <c r="D332" s="18" t="s">
        <v>2</v>
      </c>
      <c r="E332" s="19">
        <v>1</v>
      </c>
      <c r="F332" s="19">
        <v>7</v>
      </c>
      <c r="G332" s="18" t="s">
        <v>66</v>
      </c>
      <c r="H332" s="32"/>
      <c r="I332" s="50"/>
      <c r="L332" s="175"/>
      <c r="M332" s="168" t="s">
        <v>84</v>
      </c>
      <c r="N332" s="18" t="s">
        <v>2</v>
      </c>
      <c r="O332" s="19">
        <v>1</v>
      </c>
      <c r="P332" s="19">
        <v>7</v>
      </c>
      <c r="Q332" s="18" t="s">
        <v>66</v>
      </c>
      <c r="R332" s="32"/>
      <c r="S332" s="50"/>
    </row>
    <row r="333" spans="2:19" x14ac:dyDescent="0.25">
      <c r="B333" s="175"/>
      <c r="C333" s="169"/>
      <c r="D333" s="18" t="s">
        <v>3</v>
      </c>
      <c r="E333" s="19">
        <v>2</v>
      </c>
      <c r="F333" s="19">
        <v>8</v>
      </c>
      <c r="G333" s="18" t="s">
        <v>66</v>
      </c>
      <c r="H333" s="32"/>
      <c r="I333" s="50"/>
      <c r="L333" s="175"/>
      <c r="M333" s="169"/>
      <c r="N333" s="18" t="s">
        <v>3</v>
      </c>
      <c r="O333" s="19">
        <v>2</v>
      </c>
      <c r="P333" s="19">
        <v>8</v>
      </c>
      <c r="Q333" s="18" t="s">
        <v>66</v>
      </c>
      <c r="R333" s="32"/>
      <c r="S333" s="50"/>
    </row>
    <row r="334" spans="2:19" x14ac:dyDescent="0.25">
      <c r="B334" s="175"/>
      <c r="C334" s="169"/>
      <c r="D334" s="18" t="s">
        <v>80</v>
      </c>
      <c r="E334" s="20">
        <v>3</v>
      </c>
      <c r="F334" s="20">
        <v>9</v>
      </c>
      <c r="G334" s="18" t="s">
        <v>66</v>
      </c>
      <c r="H334" s="32"/>
      <c r="I334" s="50"/>
      <c r="L334" s="175"/>
      <c r="M334" s="169"/>
      <c r="N334" s="18" t="s">
        <v>80</v>
      </c>
      <c r="O334" s="20">
        <v>3</v>
      </c>
      <c r="P334" s="20">
        <v>9</v>
      </c>
      <c r="Q334" s="18" t="s">
        <v>66</v>
      </c>
      <c r="R334" s="32"/>
      <c r="S334" s="50"/>
    </row>
    <row r="335" spans="2:19" x14ac:dyDescent="0.25">
      <c r="B335" s="175"/>
      <c r="C335" s="169"/>
      <c r="D335" s="18" t="s">
        <v>81</v>
      </c>
      <c r="E335" s="20">
        <v>4</v>
      </c>
      <c r="F335" s="20">
        <v>10</v>
      </c>
      <c r="G335" s="18" t="s">
        <v>66</v>
      </c>
      <c r="H335" s="32"/>
      <c r="I335" s="50"/>
      <c r="L335" s="175"/>
      <c r="M335" s="169"/>
      <c r="N335" s="18" t="s">
        <v>81</v>
      </c>
      <c r="O335" s="20">
        <v>4</v>
      </c>
      <c r="P335" s="20">
        <v>10</v>
      </c>
      <c r="Q335" s="18" t="s">
        <v>66</v>
      </c>
      <c r="R335" s="32"/>
      <c r="S335" s="50"/>
    </row>
    <row r="336" spans="2:19" x14ac:dyDescent="0.25">
      <c r="B336" s="175"/>
      <c r="C336" s="169"/>
      <c r="D336" s="18" t="s">
        <v>82</v>
      </c>
      <c r="E336" s="20">
        <v>5</v>
      </c>
      <c r="F336" s="20">
        <v>11</v>
      </c>
      <c r="G336" s="18" t="s">
        <v>66</v>
      </c>
      <c r="H336" s="32"/>
      <c r="I336" s="50"/>
      <c r="L336" s="175"/>
      <c r="M336" s="169"/>
      <c r="N336" s="18" t="s">
        <v>82</v>
      </c>
      <c r="O336" s="20">
        <v>5</v>
      </c>
      <c r="P336" s="20">
        <v>11</v>
      </c>
      <c r="Q336" s="18" t="s">
        <v>66</v>
      </c>
      <c r="R336" s="32"/>
      <c r="S336" s="50"/>
    </row>
    <row r="337" spans="2:19" ht="15.75" thickBot="1" x14ac:dyDescent="0.3">
      <c r="B337" s="176"/>
      <c r="C337" s="170"/>
      <c r="D337" s="18" t="s">
        <v>83</v>
      </c>
      <c r="E337" s="20">
        <v>6</v>
      </c>
      <c r="F337" s="20">
        <v>12</v>
      </c>
      <c r="G337" s="18" t="s">
        <v>66</v>
      </c>
      <c r="H337" s="32"/>
      <c r="I337" s="50"/>
      <c r="L337" s="176"/>
      <c r="M337" s="170"/>
      <c r="N337" s="18" t="s">
        <v>83</v>
      </c>
      <c r="O337" s="20">
        <v>6</v>
      </c>
      <c r="P337" s="20">
        <v>12</v>
      </c>
      <c r="Q337" s="18" t="s">
        <v>66</v>
      </c>
      <c r="R337" s="32"/>
      <c r="S337" s="50"/>
    </row>
    <row r="338" spans="2:19" x14ac:dyDescent="0.25">
      <c r="B338" s="180" t="s">
        <v>3</v>
      </c>
      <c r="C338" s="177" t="s">
        <v>77</v>
      </c>
      <c r="D338" s="21" t="s">
        <v>2</v>
      </c>
      <c r="E338" s="22">
        <v>1</v>
      </c>
      <c r="F338" s="22">
        <v>13</v>
      </c>
      <c r="G338" s="21" t="s">
        <v>66</v>
      </c>
      <c r="H338" s="21"/>
      <c r="I338" s="51"/>
      <c r="L338" s="180" t="s">
        <v>3</v>
      </c>
      <c r="M338" s="177" t="s">
        <v>77</v>
      </c>
      <c r="N338" s="21" t="s">
        <v>2</v>
      </c>
      <c r="O338" s="22">
        <v>1</v>
      </c>
      <c r="P338" s="22">
        <v>13</v>
      </c>
      <c r="Q338" s="21" t="s">
        <v>66</v>
      </c>
      <c r="R338" s="21"/>
      <c r="S338" s="51"/>
    </row>
    <row r="339" spans="2:19" x14ac:dyDescent="0.25">
      <c r="B339" s="181"/>
      <c r="C339" s="178"/>
      <c r="D339" s="23" t="s">
        <v>3</v>
      </c>
      <c r="E339" s="24">
        <v>2</v>
      </c>
      <c r="F339" s="24">
        <v>14</v>
      </c>
      <c r="G339" s="23" t="s">
        <v>66</v>
      </c>
      <c r="H339" s="23"/>
      <c r="I339" s="47"/>
      <c r="L339" s="181"/>
      <c r="M339" s="178"/>
      <c r="N339" s="23" t="s">
        <v>3</v>
      </c>
      <c r="O339" s="24">
        <v>2</v>
      </c>
      <c r="P339" s="24">
        <v>14</v>
      </c>
      <c r="Q339" s="23" t="s">
        <v>66</v>
      </c>
      <c r="R339" s="23"/>
      <c r="S339" s="47"/>
    </row>
    <row r="340" spans="2:19" x14ac:dyDescent="0.25">
      <c r="B340" s="181"/>
      <c r="C340" s="178"/>
      <c r="D340" s="23" t="s">
        <v>80</v>
      </c>
      <c r="E340" s="24">
        <v>3</v>
      </c>
      <c r="F340" s="24">
        <v>15</v>
      </c>
      <c r="G340" s="23" t="s">
        <v>66</v>
      </c>
      <c r="H340" s="23"/>
      <c r="I340" s="47"/>
      <c r="L340" s="181"/>
      <c r="M340" s="178"/>
      <c r="N340" s="23" t="s">
        <v>80</v>
      </c>
      <c r="O340" s="24">
        <v>3</v>
      </c>
      <c r="P340" s="24">
        <v>15</v>
      </c>
      <c r="Q340" s="23" t="s">
        <v>66</v>
      </c>
      <c r="R340" s="23"/>
      <c r="S340" s="47"/>
    </row>
    <row r="341" spans="2:19" x14ac:dyDescent="0.25">
      <c r="B341" s="181"/>
      <c r="C341" s="178"/>
      <c r="D341" s="23" t="s">
        <v>81</v>
      </c>
      <c r="E341" s="24">
        <v>4</v>
      </c>
      <c r="F341" s="24">
        <v>16</v>
      </c>
      <c r="G341" s="23" t="s">
        <v>66</v>
      </c>
      <c r="H341" s="23"/>
      <c r="I341" s="47"/>
      <c r="L341" s="181"/>
      <c r="M341" s="178"/>
      <c r="N341" s="23" t="s">
        <v>81</v>
      </c>
      <c r="O341" s="24">
        <v>4</v>
      </c>
      <c r="P341" s="24">
        <v>16</v>
      </c>
      <c r="Q341" s="23" t="s">
        <v>66</v>
      </c>
      <c r="R341" s="23"/>
      <c r="S341" s="47"/>
    </row>
    <row r="342" spans="2:19" x14ac:dyDescent="0.25">
      <c r="B342" s="181"/>
      <c r="C342" s="178"/>
      <c r="D342" s="23" t="s">
        <v>82</v>
      </c>
      <c r="E342" s="24">
        <v>5</v>
      </c>
      <c r="F342" s="24">
        <v>17</v>
      </c>
      <c r="G342" s="23" t="s">
        <v>66</v>
      </c>
      <c r="H342" s="23"/>
      <c r="I342" s="47"/>
      <c r="L342" s="181"/>
      <c r="M342" s="178"/>
      <c r="N342" s="23" t="s">
        <v>82</v>
      </c>
      <c r="O342" s="24">
        <v>5</v>
      </c>
      <c r="P342" s="24">
        <v>17</v>
      </c>
      <c r="Q342" s="23" t="s">
        <v>66</v>
      </c>
      <c r="R342" s="23"/>
      <c r="S342" s="47"/>
    </row>
    <row r="343" spans="2:19" ht="15.75" thickBot="1" x14ac:dyDescent="0.3">
      <c r="B343" s="181"/>
      <c r="C343" s="179"/>
      <c r="D343" s="23" t="s">
        <v>83</v>
      </c>
      <c r="E343" s="24">
        <v>6</v>
      </c>
      <c r="F343" s="24">
        <v>18</v>
      </c>
      <c r="G343" s="23" t="s">
        <v>66</v>
      </c>
      <c r="H343" s="23"/>
      <c r="I343" s="47"/>
      <c r="L343" s="181"/>
      <c r="M343" s="179"/>
      <c r="N343" s="23" t="s">
        <v>83</v>
      </c>
      <c r="O343" s="24">
        <v>6</v>
      </c>
      <c r="P343" s="24">
        <v>18</v>
      </c>
      <c r="Q343" s="23" t="s">
        <v>66</v>
      </c>
      <c r="R343" s="23"/>
      <c r="S343" s="47"/>
    </row>
    <row r="344" spans="2:19" x14ac:dyDescent="0.25">
      <c r="B344" s="181"/>
      <c r="C344" s="177" t="s">
        <v>84</v>
      </c>
      <c r="D344" s="23" t="s">
        <v>2</v>
      </c>
      <c r="E344" s="24">
        <v>1</v>
      </c>
      <c r="F344" s="24">
        <v>19</v>
      </c>
      <c r="G344" s="23" t="s">
        <v>66</v>
      </c>
      <c r="H344" s="23"/>
      <c r="I344" s="47"/>
      <c r="L344" s="181"/>
      <c r="M344" s="177" t="s">
        <v>84</v>
      </c>
      <c r="N344" s="23" t="s">
        <v>2</v>
      </c>
      <c r="O344" s="24">
        <v>1</v>
      </c>
      <c r="P344" s="24">
        <v>19</v>
      </c>
      <c r="Q344" s="23" t="s">
        <v>66</v>
      </c>
      <c r="R344" s="23"/>
      <c r="S344" s="47"/>
    </row>
    <row r="345" spans="2:19" x14ac:dyDescent="0.25">
      <c r="B345" s="181"/>
      <c r="C345" s="178"/>
      <c r="D345" s="23" t="s">
        <v>3</v>
      </c>
      <c r="E345" s="24">
        <v>2</v>
      </c>
      <c r="F345" s="24">
        <v>20</v>
      </c>
      <c r="G345" s="23" t="s">
        <v>66</v>
      </c>
      <c r="H345" s="23"/>
      <c r="I345" s="47"/>
      <c r="L345" s="181"/>
      <c r="M345" s="178"/>
      <c r="N345" s="23" t="s">
        <v>3</v>
      </c>
      <c r="O345" s="24">
        <v>2</v>
      </c>
      <c r="P345" s="24">
        <v>20</v>
      </c>
      <c r="Q345" s="23" t="s">
        <v>66</v>
      </c>
      <c r="R345" s="23"/>
      <c r="S345" s="47"/>
    </row>
    <row r="346" spans="2:19" x14ac:dyDescent="0.25">
      <c r="B346" s="181"/>
      <c r="C346" s="178"/>
      <c r="D346" s="23" t="s">
        <v>80</v>
      </c>
      <c r="E346" s="26">
        <v>3</v>
      </c>
      <c r="F346" s="24">
        <v>21</v>
      </c>
      <c r="G346" s="23" t="s">
        <v>66</v>
      </c>
      <c r="H346" s="23"/>
      <c r="I346" s="47"/>
      <c r="L346" s="181"/>
      <c r="M346" s="178"/>
      <c r="N346" s="23" t="s">
        <v>80</v>
      </c>
      <c r="O346" s="26">
        <v>3</v>
      </c>
      <c r="P346" s="24">
        <v>21</v>
      </c>
      <c r="Q346" s="23" t="s">
        <v>66</v>
      </c>
      <c r="R346" s="23"/>
      <c r="S346" s="47"/>
    </row>
    <row r="347" spans="2:19" x14ac:dyDescent="0.25">
      <c r="B347" s="181"/>
      <c r="C347" s="178"/>
      <c r="D347" s="23" t="s">
        <v>81</v>
      </c>
      <c r="E347" s="24">
        <v>4</v>
      </c>
      <c r="F347" s="24">
        <v>22</v>
      </c>
      <c r="G347" s="23" t="s">
        <v>66</v>
      </c>
      <c r="H347" s="23"/>
      <c r="I347" s="47"/>
      <c r="L347" s="181"/>
      <c r="M347" s="178"/>
      <c r="N347" s="23" t="s">
        <v>81</v>
      </c>
      <c r="O347" s="24">
        <v>4</v>
      </c>
      <c r="P347" s="24">
        <v>22</v>
      </c>
      <c r="Q347" s="23" t="s">
        <v>66</v>
      </c>
      <c r="R347" s="23"/>
      <c r="S347" s="47"/>
    </row>
    <row r="348" spans="2:19" x14ac:dyDescent="0.25">
      <c r="B348" s="181"/>
      <c r="C348" s="178"/>
      <c r="D348" s="23" t="s">
        <v>82</v>
      </c>
      <c r="E348" s="24">
        <v>5</v>
      </c>
      <c r="F348" s="24">
        <v>23</v>
      </c>
      <c r="G348" s="23" t="s">
        <v>66</v>
      </c>
      <c r="H348" s="23"/>
      <c r="I348" s="47"/>
      <c r="L348" s="181"/>
      <c r="M348" s="178"/>
      <c r="N348" s="23" t="s">
        <v>82</v>
      </c>
      <c r="O348" s="24">
        <v>5</v>
      </c>
      <c r="P348" s="24">
        <v>23</v>
      </c>
      <c r="Q348" s="23" t="s">
        <v>66</v>
      </c>
      <c r="R348" s="23"/>
      <c r="S348" s="47"/>
    </row>
    <row r="349" spans="2:19" ht="15.75" thickBot="1" x14ac:dyDescent="0.3">
      <c r="B349" s="182"/>
      <c r="C349" s="179"/>
      <c r="D349" s="23" t="s">
        <v>83</v>
      </c>
      <c r="E349" s="24">
        <v>6</v>
      </c>
      <c r="F349" s="24">
        <v>24</v>
      </c>
      <c r="G349" s="23" t="s">
        <v>66</v>
      </c>
      <c r="H349" s="23"/>
      <c r="I349" s="47"/>
      <c r="L349" s="182"/>
      <c r="M349" s="179"/>
      <c r="N349" s="23" t="s">
        <v>83</v>
      </c>
      <c r="O349" s="24">
        <v>6</v>
      </c>
      <c r="P349" s="24">
        <v>24</v>
      </c>
      <c r="Q349" s="23" t="s">
        <v>66</v>
      </c>
      <c r="R349" s="23"/>
      <c r="S349" s="47"/>
    </row>
    <row r="350" spans="2:19" x14ac:dyDescent="0.25">
      <c r="B350" s="189" t="s">
        <v>80</v>
      </c>
      <c r="C350" s="192" t="s">
        <v>77</v>
      </c>
      <c r="D350" s="27" t="s">
        <v>2</v>
      </c>
      <c r="E350" s="28">
        <v>1</v>
      </c>
      <c r="F350" s="28">
        <v>25</v>
      </c>
      <c r="G350" s="27" t="s">
        <v>66</v>
      </c>
      <c r="H350" s="27"/>
      <c r="I350" s="48"/>
      <c r="L350" s="189" t="s">
        <v>80</v>
      </c>
      <c r="M350" s="192" t="s">
        <v>77</v>
      </c>
      <c r="N350" s="27" t="s">
        <v>2</v>
      </c>
      <c r="O350" s="28">
        <v>1</v>
      </c>
      <c r="P350" s="28">
        <v>25</v>
      </c>
      <c r="Q350" s="27" t="s">
        <v>66</v>
      </c>
      <c r="R350" s="27"/>
      <c r="S350" s="48"/>
    </row>
    <row r="351" spans="2:19" x14ac:dyDescent="0.25">
      <c r="B351" s="190"/>
      <c r="C351" s="193"/>
      <c r="D351" s="27" t="s">
        <v>3</v>
      </c>
      <c r="E351" s="28">
        <v>2</v>
      </c>
      <c r="F351" s="28">
        <v>26</v>
      </c>
      <c r="G351" s="27" t="s">
        <v>66</v>
      </c>
      <c r="H351" s="27"/>
      <c r="I351" s="48"/>
      <c r="L351" s="190"/>
      <c r="M351" s="193"/>
      <c r="N351" s="27" t="s">
        <v>3</v>
      </c>
      <c r="O351" s="28">
        <v>2</v>
      </c>
      <c r="P351" s="28">
        <v>26</v>
      </c>
      <c r="Q351" s="27" t="s">
        <v>66</v>
      </c>
      <c r="R351" s="27"/>
      <c r="S351" s="48"/>
    </row>
    <row r="352" spans="2:19" x14ac:dyDescent="0.25">
      <c r="B352" s="190"/>
      <c r="C352" s="193"/>
      <c r="D352" s="27" t="s">
        <v>80</v>
      </c>
      <c r="E352" s="28">
        <v>3</v>
      </c>
      <c r="F352" s="28">
        <v>27</v>
      </c>
      <c r="G352" s="27" t="s">
        <v>66</v>
      </c>
      <c r="H352" s="27"/>
      <c r="I352" s="48"/>
      <c r="L352" s="190"/>
      <c r="M352" s="193"/>
      <c r="N352" s="27" t="s">
        <v>80</v>
      </c>
      <c r="O352" s="28">
        <v>3</v>
      </c>
      <c r="P352" s="28">
        <v>27</v>
      </c>
      <c r="Q352" s="27" t="s">
        <v>66</v>
      </c>
      <c r="R352" s="27"/>
      <c r="S352" s="48"/>
    </row>
    <row r="353" spans="2:19" x14ac:dyDescent="0.25">
      <c r="B353" s="190"/>
      <c r="C353" s="193"/>
      <c r="D353" s="27" t="s">
        <v>81</v>
      </c>
      <c r="E353" s="28">
        <v>4</v>
      </c>
      <c r="F353" s="28">
        <v>28</v>
      </c>
      <c r="G353" s="27" t="s">
        <v>66</v>
      </c>
      <c r="H353" s="27"/>
      <c r="I353" s="48"/>
      <c r="L353" s="190"/>
      <c r="M353" s="193"/>
      <c r="N353" s="27" t="s">
        <v>81</v>
      </c>
      <c r="O353" s="28">
        <v>4</v>
      </c>
      <c r="P353" s="28">
        <v>28</v>
      </c>
      <c r="Q353" s="27" t="s">
        <v>66</v>
      </c>
      <c r="R353" s="27"/>
      <c r="S353" s="48"/>
    </row>
    <row r="354" spans="2:19" x14ac:dyDescent="0.25">
      <c r="B354" s="190"/>
      <c r="C354" s="193"/>
      <c r="D354" s="27" t="s">
        <v>82</v>
      </c>
      <c r="E354" s="28">
        <v>5</v>
      </c>
      <c r="F354" s="28">
        <v>29</v>
      </c>
      <c r="G354" s="27" t="s">
        <v>66</v>
      </c>
      <c r="H354" s="27"/>
      <c r="I354" s="48"/>
      <c r="L354" s="190"/>
      <c r="M354" s="193"/>
      <c r="N354" s="27" t="s">
        <v>82</v>
      </c>
      <c r="O354" s="28">
        <v>5</v>
      </c>
      <c r="P354" s="28">
        <v>29</v>
      </c>
      <c r="Q354" s="27" t="s">
        <v>66</v>
      </c>
      <c r="R354" s="27"/>
      <c r="S354" s="48"/>
    </row>
    <row r="355" spans="2:19" ht="15.75" thickBot="1" x14ac:dyDescent="0.3">
      <c r="B355" s="190"/>
      <c r="C355" s="194"/>
      <c r="D355" s="27" t="s">
        <v>83</v>
      </c>
      <c r="E355" s="28">
        <v>6</v>
      </c>
      <c r="F355" s="28">
        <v>30</v>
      </c>
      <c r="G355" s="27" t="s">
        <v>66</v>
      </c>
      <c r="H355" s="27"/>
      <c r="I355" s="48"/>
      <c r="L355" s="190"/>
      <c r="M355" s="194"/>
      <c r="N355" s="27" t="s">
        <v>83</v>
      </c>
      <c r="O355" s="28">
        <v>6</v>
      </c>
      <c r="P355" s="28">
        <v>30</v>
      </c>
      <c r="Q355" s="27" t="s">
        <v>66</v>
      </c>
      <c r="R355" s="27"/>
      <c r="S355" s="48"/>
    </row>
    <row r="356" spans="2:19" x14ac:dyDescent="0.25">
      <c r="B356" s="190"/>
      <c r="C356" s="192" t="s">
        <v>84</v>
      </c>
      <c r="D356" s="27" t="s">
        <v>2</v>
      </c>
      <c r="E356" s="28">
        <v>1</v>
      </c>
      <c r="F356" s="28">
        <v>31</v>
      </c>
      <c r="G356" s="27" t="s">
        <v>66</v>
      </c>
      <c r="H356" s="27"/>
      <c r="I356" s="48"/>
      <c r="L356" s="190"/>
      <c r="M356" s="192" t="s">
        <v>84</v>
      </c>
      <c r="N356" s="27" t="s">
        <v>2</v>
      </c>
      <c r="O356" s="28">
        <v>1</v>
      </c>
      <c r="P356" s="28">
        <v>31</v>
      </c>
      <c r="Q356" s="27" t="s">
        <v>66</v>
      </c>
      <c r="R356" s="27"/>
      <c r="S356" s="48"/>
    </row>
    <row r="357" spans="2:19" x14ac:dyDescent="0.25">
      <c r="B357" s="190"/>
      <c r="C357" s="193"/>
      <c r="D357" s="27" t="s">
        <v>3</v>
      </c>
      <c r="E357" s="28">
        <v>2</v>
      </c>
      <c r="F357" s="28">
        <v>32</v>
      </c>
      <c r="G357" s="27" t="s">
        <v>66</v>
      </c>
      <c r="H357" s="27"/>
      <c r="I357" s="48"/>
      <c r="L357" s="190"/>
      <c r="M357" s="193"/>
      <c r="N357" s="27" t="s">
        <v>3</v>
      </c>
      <c r="O357" s="28">
        <v>2</v>
      </c>
      <c r="P357" s="28">
        <v>32</v>
      </c>
      <c r="Q357" s="27" t="s">
        <v>66</v>
      </c>
      <c r="R357" s="27"/>
      <c r="S357" s="48"/>
    </row>
    <row r="358" spans="2:19" x14ac:dyDescent="0.25">
      <c r="B358" s="190"/>
      <c r="C358" s="193"/>
      <c r="D358" s="27" t="s">
        <v>80</v>
      </c>
      <c r="E358" s="28">
        <v>3</v>
      </c>
      <c r="F358" s="28">
        <v>33</v>
      </c>
      <c r="G358" s="27" t="s">
        <v>66</v>
      </c>
      <c r="H358" s="27"/>
      <c r="I358" s="48"/>
      <c r="L358" s="190"/>
      <c r="M358" s="193"/>
      <c r="N358" s="27" t="s">
        <v>80</v>
      </c>
      <c r="O358" s="28">
        <v>3</v>
      </c>
      <c r="P358" s="28">
        <v>33</v>
      </c>
      <c r="Q358" s="27" t="s">
        <v>66</v>
      </c>
      <c r="R358" s="27"/>
      <c r="S358" s="48"/>
    </row>
    <row r="359" spans="2:19" x14ac:dyDescent="0.25">
      <c r="B359" s="190"/>
      <c r="C359" s="193"/>
      <c r="D359" s="27" t="s">
        <v>81</v>
      </c>
      <c r="E359" s="28">
        <v>4</v>
      </c>
      <c r="F359" s="28">
        <v>34</v>
      </c>
      <c r="G359" s="27" t="s">
        <v>66</v>
      </c>
      <c r="H359" s="27"/>
      <c r="I359" s="48"/>
      <c r="L359" s="190"/>
      <c r="M359" s="193"/>
      <c r="N359" s="27" t="s">
        <v>81</v>
      </c>
      <c r="O359" s="28">
        <v>4</v>
      </c>
      <c r="P359" s="28">
        <v>34</v>
      </c>
      <c r="Q359" s="27" t="s">
        <v>66</v>
      </c>
      <c r="R359" s="27"/>
      <c r="S359" s="48"/>
    </row>
    <row r="360" spans="2:19" x14ac:dyDescent="0.25">
      <c r="B360" s="190"/>
      <c r="C360" s="193"/>
      <c r="D360" s="27" t="s">
        <v>82</v>
      </c>
      <c r="E360" s="28">
        <v>5</v>
      </c>
      <c r="F360" s="28">
        <v>35</v>
      </c>
      <c r="G360" s="27" t="s">
        <v>66</v>
      </c>
      <c r="H360" s="27"/>
      <c r="I360" s="48"/>
      <c r="L360" s="190"/>
      <c r="M360" s="193"/>
      <c r="N360" s="27" t="s">
        <v>82</v>
      </c>
      <c r="O360" s="28">
        <v>5</v>
      </c>
      <c r="P360" s="28">
        <v>35</v>
      </c>
      <c r="Q360" s="27" t="s">
        <v>66</v>
      </c>
      <c r="R360" s="27"/>
      <c r="S360" s="48"/>
    </row>
    <row r="361" spans="2:19" ht="15.75" thickBot="1" x14ac:dyDescent="0.3">
      <c r="B361" s="191"/>
      <c r="C361" s="194"/>
      <c r="D361" s="27" t="s">
        <v>83</v>
      </c>
      <c r="E361" s="28">
        <v>6</v>
      </c>
      <c r="F361" s="28">
        <v>36</v>
      </c>
      <c r="G361" s="27" t="s">
        <v>66</v>
      </c>
      <c r="H361" s="27"/>
      <c r="I361" s="48"/>
      <c r="L361" s="191"/>
      <c r="M361" s="194"/>
      <c r="N361" s="27" t="s">
        <v>83</v>
      </c>
      <c r="O361" s="28">
        <v>6</v>
      </c>
      <c r="P361" s="28">
        <v>36</v>
      </c>
      <c r="Q361" s="27" t="s">
        <v>66</v>
      </c>
      <c r="R361" s="27"/>
      <c r="S361" s="48"/>
    </row>
    <row r="362" spans="2:19" x14ac:dyDescent="0.25">
      <c r="B362" s="183" t="s">
        <v>81</v>
      </c>
      <c r="C362" s="186" t="s">
        <v>77</v>
      </c>
      <c r="D362" s="29" t="s">
        <v>2</v>
      </c>
      <c r="E362" s="30">
        <v>1</v>
      </c>
      <c r="F362" s="30">
        <v>37</v>
      </c>
      <c r="G362" s="29" t="s">
        <v>66</v>
      </c>
      <c r="H362" s="29"/>
      <c r="I362" s="49"/>
      <c r="L362" s="183" t="s">
        <v>81</v>
      </c>
      <c r="M362" s="186" t="s">
        <v>77</v>
      </c>
      <c r="N362" s="29" t="s">
        <v>2</v>
      </c>
      <c r="O362" s="30">
        <v>1</v>
      </c>
      <c r="P362" s="30">
        <v>37</v>
      </c>
      <c r="Q362" s="29" t="s">
        <v>66</v>
      </c>
      <c r="R362" s="29"/>
      <c r="S362" s="49"/>
    </row>
    <row r="363" spans="2:19" x14ac:dyDescent="0.25">
      <c r="B363" s="184"/>
      <c r="C363" s="187"/>
      <c r="D363" s="29" t="s">
        <v>3</v>
      </c>
      <c r="E363" s="30">
        <v>2</v>
      </c>
      <c r="F363" s="30">
        <v>38</v>
      </c>
      <c r="G363" s="29" t="s">
        <v>66</v>
      </c>
      <c r="H363" s="29"/>
      <c r="I363" s="49"/>
      <c r="L363" s="184"/>
      <c r="M363" s="187"/>
      <c r="N363" s="29" t="s">
        <v>3</v>
      </c>
      <c r="O363" s="30">
        <v>2</v>
      </c>
      <c r="P363" s="30">
        <v>38</v>
      </c>
      <c r="Q363" s="29" t="s">
        <v>66</v>
      </c>
      <c r="R363" s="29"/>
      <c r="S363" s="49"/>
    </row>
    <row r="364" spans="2:19" x14ac:dyDescent="0.25">
      <c r="B364" s="184"/>
      <c r="C364" s="187"/>
      <c r="D364" s="29" t="s">
        <v>80</v>
      </c>
      <c r="E364" s="30">
        <v>3</v>
      </c>
      <c r="F364" s="30">
        <v>39</v>
      </c>
      <c r="G364" s="29" t="s">
        <v>66</v>
      </c>
      <c r="H364" s="29"/>
      <c r="I364" s="49"/>
      <c r="L364" s="184"/>
      <c r="M364" s="187"/>
      <c r="N364" s="29" t="s">
        <v>80</v>
      </c>
      <c r="O364" s="30">
        <v>3</v>
      </c>
      <c r="P364" s="30">
        <v>39</v>
      </c>
      <c r="Q364" s="29" t="s">
        <v>66</v>
      </c>
      <c r="R364" s="29"/>
      <c r="S364" s="49"/>
    </row>
    <row r="365" spans="2:19" x14ac:dyDescent="0.25">
      <c r="B365" s="184"/>
      <c r="C365" s="187"/>
      <c r="D365" s="29" t="s">
        <v>81</v>
      </c>
      <c r="E365" s="30">
        <v>4</v>
      </c>
      <c r="F365" s="30">
        <v>40</v>
      </c>
      <c r="G365" s="29" t="s">
        <v>66</v>
      </c>
      <c r="H365" s="29"/>
      <c r="I365" s="49"/>
      <c r="L365" s="184"/>
      <c r="M365" s="187"/>
      <c r="N365" s="29" t="s">
        <v>81</v>
      </c>
      <c r="O365" s="30">
        <v>4</v>
      </c>
      <c r="P365" s="30">
        <v>40</v>
      </c>
      <c r="Q365" s="29" t="s">
        <v>66</v>
      </c>
      <c r="R365" s="29"/>
      <c r="S365" s="49"/>
    </row>
    <row r="366" spans="2:19" x14ac:dyDescent="0.25">
      <c r="B366" s="184"/>
      <c r="C366" s="187"/>
      <c r="D366" s="29" t="s">
        <v>82</v>
      </c>
      <c r="E366" s="30">
        <v>5</v>
      </c>
      <c r="F366" s="30">
        <v>41</v>
      </c>
      <c r="G366" s="29" t="s">
        <v>66</v>
      </c>
      <c r="H366" s="29"/>
      <c r="I366" s="49"/>
      <c r="L366" s="184"/>
      <c r="M366" s="187"/>
      <c r="N366" s="29" t="s">
        <v>82</v>
      </c>
      <c r="O366" s="30">
        <v>5</v>
      </c>
      <c r="P366" s="30">
        <v>41</v>
      </c>
      <c r="Q366" s="29" t="s">
        <v>66</v>
      </c>
      <c r="R366" s="29"/>
      <c r="S366" s="49"/>
    </row>
    <row r="367" spans="2:19" ht="15.75" thickBot="1" x14ac:dyDescent="0.3">
      <c r="B367" s="184"/>
      <c r="C367" s="188"/>
      <c r="D367" s="29" t="s">
        <v>83</v>
      </c>
      <c r="E367" s="30">
        <v>6</v>
      </c>
      <c r="F367" s="30">
        <v>42</v>
      </c>
      <c r="G367" s="29" t="s">
        <v>66</v>
      </c>
      <c r="H367" s="29"/>
      <c r="I367" s="49"/>
      <c r="L367" s="184"/>
      <c r="M367" s="188"/>
      <c r="N367" s="29" t="s">
        <v>83</v>
      </c>
      <c r="O367" s="30">
        <v>6</v>
      </c>
      <c r="P367" s="30">
        <v>42</v>
      </c>
      <c r="Q367" s="29" t="s">
        <v>66</v>
      </c>
      <c r="R367" s="29"/>
      <c r="S367" s="49"/>
    </row>
    <row r="368" spans="2:19" x14ac:dyDescent="0.25">
      <c r="B368" s="184"/>
      <c r="C368" s="186" t="s">
        <v>84</v>
      </c>
      <c r="D368" s="29" t="s">
        <v>2</v>
      </c>
      <c r="E368" s="30">
        <v>1</v>
      </c>
      <c r="F368" s="30">
        <v>43</v>
      </c>
      <c r="G368" s="29" t="s">
        <v>66</v>
      </c>
      <c r="H368" s="29"/>
      <c r="I368" s="49"/>
      <c r="L368" s="184"/>
      <c r="M368" s="186" t="s">
        <v>84</v>
      </c>
      <c r="N368" s="29" t="s">
        <v>2</v>
      </c>
      <c r="O368" s="30">
        <v>1</v>
      </c>
      <c r="P368" s="30">
        <v>43</v>
      </c>
      <c r="Q368" s="29" t="s">
        <v>66</v>
      </c>
      <c r="R368" s="29"/>
      <c r="S368" s="49"/>
    </row>
    <row r="369" spans="2:19" x14ac:dyDescent="0.25">
      <c r="B369" s="184"/>
      <c r="C369" s="187"/>
      <c r="D369" s="29" t="s">
        <v>3</v>
      </c>
      <c r="E369" s="30">
        <v>2</v>
      </c>
      <c r="F369" s="30">
        <v>44</v>
      </c>
      <c r="G369" s="29" t="s">
        <v>66</v>
      </c>
      <c r="H369" s="29"/>
      <c r="I369" s="49"/>
      <c r="L369" s="184"/>
      <c r="M369" s="187"/>
      <c r="N369" s="29" t="s">
        <v>3</v>
      </c>
      <c r="O369" s="30">
        <v>2</v>
      </c>
      <c r="P369" s="30">
        <v>44</v>
      </c>
      <c r="Q369" s="29" t="s">
        <v>66</v>
      </c>
      <c r="R369" s="29"/>
      <c r="S369" s="49"/>
    </row>
    <row r="370" spans="2:19" x14ac:dyDescent="0.25">
      <c r="B370" s="184"/>
      <c r="C370" s="187"/>
      <c r="D370" s="29" t="s">
        <v>80</v>
      </c>
      <c r="E370" s="30">
        <v>3</v>
      </c>
      <c r="F370" s="30">
        <v>45</v>
      </c>
      <c r="G370" s="29" t="s">
        <v>66</v>
      </c>
      <c r="H370" s="29"/>
      <c r="I370" s="49"/>
      <c r="L370" s="184"/>
      <c r="M370" s="187"/>
      <c r="N370" s="29" t="s">
        <v>80</v>
      </c>
      <c r="O370" s="30">
        <v>3</v>
      </c>
      <c r="P370" s="30">
        <v>45</v>
      </c>
      <c r="Q370" s="29" t="s">
        <v>66</v>
      </c>
      <c r="R370" s="29"/>
      <c r="S370" s="49"/>
    </row>
    <row r="371" spans="2:19" x14ac:dyDescent="0.25">
      <c r="B371" s="184"/>
      <c r="C371" s="187"/>
      <c r="D371" s="29" t="s">
        <v>81</v>
      </c>
      <c r="E371" s="30">
        <v>4</v>
      </c>
      <c r="F371" s="30">
        <v>46</v>
      </c>
      <c r="G371" s="29" t="s">
        <v>66</v>
      </c>
      <c r="H371" s="29"/>
      <c r="I371" s="49"/>
      <c r="L371" s="184"/>
      <c r="M371" s="187"/>
      <c r="N371" s="29" t="s">
        <v>81</v>
      </c>
      <c r="O371" s="30">
        <v>4</v>
      </c>
      <c r="P371" s="30">
        <v>46</v>
      </c>
      <c r="Q371" s="29" t="s">
        <v>66</v>
      </c>
      <c r="R371" s="29"/>
      <c r="S371" s="49"/>
    </row>
    <row r="372" spans="2:19" x14ac:dyDescent="0.25">
      <c r="B372" s="184"/>
      <c r="C372" s="187"/>
      <c r="D372" s="29" t="s">
        <v>82</v>
      </c>
      <c r="E372" s="30">
        <v>5</v>
      </c>
      <c r="F372" s="30">
        <v>47</v>
      </c>
      <c r="G372" s="29" t="s">
        <v>66</v>
      </c>
      <c r="H372" s="29"/>
      <c r="I372" s="49"/>
      <c r="L372" s="184"/>
      <c r="M372" s="187"/>
      <c r="N372" s="29" t="s">
        <v>82</v>
      </c>
      <c r="O372" s="30">
        <v>5</v>
      </c>
      <c r="P372" s="30">
        <v>47</v>
      </c>
      <c r="Q372" s="29" t="s">
        <v>66</v>
      </c>
      <c r="R372" s="29"/>
      <c r="S372" s="49"/>
    </row>
    <row r="373" spans="2:19" ht="15.75" thickBot="1" x14ac:dyDescent="0.3">
      <c r="B373" s="185"/>
      <c r="C373" s="188"/>
      <c r="D373" s="29" t="s">
        <v>83</v>
      </c>
      <c r="E373" s="30">
        <v>6</v>
      </c>
      <c r="F373" s="30">
        <v>48</v>
      </c>
      <c r="G373" s="29" t="s">
        <v>66</v>
      </c>
      <c r="H373" s="29"/>
      <c r="I373" s="49"/>
      <c r="L373" s="185"/>
      <c r="M373" s="188"/>
      <c r="N373" s="29" t="s">
        <v>83</v>
      </c>
      <c r="O373" s="30">
        <v>6</v>
      </c>
      <c r="P373" s="30">
        <v>48</v>
      </c>
      <c r="Q373" s="29" t="s">
        <v>66</v>
      </c>
      <c r="R373" s="29"/>
      <c r="S373" s="49"/>
    </row>
    <row r="374" spans="2:19" ht="15.75" thickBot="1" x14ac:dyDescent="0.3"/>
    <row r="375" spans="2:19" ht="15.75" thickBot="1" x14ac:dyDescent="0.3">
      <c r="B375" s="171" t="s">
        <v>358</v>
      </c>
      <c r="C375" s="172"/>
      <c r="D375" s="172"/>
      <c r="E375" s="172"/>
      <c r="F375" s="172"/>
      <c r="G375" s="172"/>
      <c r="H375" s="172"/>
      <c r="I375" s="173"/>
      <c r="L375" s="171" t="s">
        <v>359</v>
      </c>
      <c r="M375" s="172"/>
      <c r="N375" s="172"/>
      <c r="O375" s="172"/>
      <c r="P375" s="172"/>
      <c r="Q375" s="172"/>
      <c r="R375" s="172"/>
      <c r="S375" s="173"/>
    </row>
    <row r="376" spans="2:19" ht="13.5" customHeight="1" x14ac:dyDescent="0.25"/>
    <row r="377" spans="2:19" ht="26.25" thickBot="1" x14ac:dyDescent="0.3">
      <c r="B377" s="15" t="s">
        <v>70</v>
      </c>
      <c r="C377" s="16" t="s">
        <v>71</v>
      </c>
      <c r="D377" s="15" t="s">
        <v>72</v>
      </c>
      <c r="E377" s="17" t="s">
        <v>73</v>
      </c>
      <c r="F377" s="17" t="s">
        <v>74</v>
      </c>
      <c r="G377" s="15" t="s">
        <v>75</v>
      </c>
      <c r="H377" s="15" t="s">
        <v>55</v>
      </c>
      <c r="I377" s="15" t="s">
        <v>76</v>
      </c>
      <c r="L377" s="15" t="s">
        <v>70</v>
      </c>
      <c r="M377" s="16" t="s">
        <v>71</v>
      </c>
      <c r="N377" s="15" t="s">
        <v>72</v>
      </c>
      <c r="O377" s="17" t="s">
        <v>73</v>
      </c>
      <c r="P377" s="17" t="s">
        <v>74</v>
      </c>
      <c r="Q377" s="15" t="s">
        <v>75</v>
      </c>
      <c r="R377" s="15" t="s">
        <v>55</v>
      </c>
      <c r="S377" s="15" t="s">
        <v>76</v>
      </c>
    </row>
    <row r="378" spans="2:19" x14ac:dyDescent="0.25">
      <c r="B378" s="174" t="s">
        <v>2</v>
      </c>
      <c r="C378" s="168" t="s">
        <v>77</v>
      </c>
      <c r="D378" s="18" t="s">
        <v>2</v>
      </c>
      <c r="E378" s="19">
        <v>1</v>
      </c>
      <c r="F378" s="19">
        <v>1</v>
      </c>
      <c r="G378" s="18" t="s">
        <v>78</v>
      </c>
      <c r="H378" s="156" t="s">
        <v>141</v>
      </c>
      <c r="I378" s="165" t="s">
        <v>198</v>
      </c>
      <c r="L378" s="174" t="s">
        <v>2</v>
      </c>
      <c r="M378" s="168" t="s">
        <v>77</v>
      </c>
      <c r="N378" s="18" t="s">
        <v>2</v>
      </c>
      <c r="O378" s="19">
        <v>1</v>
      </c>
      <c r="P378" s="19">
        <v>1</v>
      </c>
      <c r="Q378" s="18" t="s">
        <v>78</v>
      </c>
      <c r="R378" s="156" t="s">
        <v>141</v>
      </c>
      <c r="S378" s="165" t="s">
        <v>200</v>
      </c>
    </row>
    <row r="379" spans="2:19" x14ac:dyDescent="0.25">
      <c r="B379" s="175"/>
      <c r="C379" s="169"/>
      <c r="D379" s="18" t="s">
        <v>3</v>
      </c>
      <c r="E379" s="19">
        <v>2</v>
      </c>
      <c r="F379" s="19">
        <v>2</v>
      </c>
      <c r="G379" s="18" t="s">
        <v>78</v>
      </c>
      <c r="H379" s="157"/>
      <c r="I379" s="166"/>
      <c r="L379" s="175"/>
      <c r="M379" s="169"/>
      <c r="N379" s="18" t="s">
        <v>3</v>
      </c>
      <c r="O379" s="19">
        <v>2</v>
      </c>
      <c r="P379" s="19">
        <v>2</v>
      </c>
      <c r="Q379" s="18" t="s">
        <v>78</v>
      </c>
      <c r="R379" s="157"/>
      <c r="S379" s="166"/>
    </row>
    <row r="380" spans="2:19" x14ac:dyDescent="0.25">
      <c r="B380" s="175"/>
      <c r="C380" s="169"/>
      <c r="D380" s="18" t="s">
        <v>80</v>
      </c>
      <c r="E380" s="20">
        <v>3</v>
      </c>
      <c r="F380" s="20">
        <v>3</v>
      </c>
      <c r="G380" s="18" t="s">
        <v>66</v>
      </c>
      <c r="H380" s="157"/>
      <c r="I380" s="166"/>
      <c r="L380" s="175"/>
      <c r="M380" s="169"/>
      <c r="N380" s="18" t="s">
        <v>80</v>
      </c>
      <c r="O380" s="20">
        <v>3</v>
      </c>
      <c r="P380" s="20">
        <v>3</v>
      </c>
      <c r="Q380" s="18" t="s">
        <v>66</v>
      </c>
      <c r="R380" s="157"/>
      <c r="S380" s="166"/>
    </row>
    <row r="381" spans="2:19" x14ac:dyDescent="0.25">
      <c r="B381" s="175"/>
      <c r="C381" s="169"/>
      <c r="D381" s="18" t="s">
        <v>81</v>
      </c>
      <c r="E381" s="20">
        <v>4</v>
      </c>
      <c r="F381" s="20">
        <v>4</v>
      </c>
      <c r="G381" s="18" t="s">
        <v>66</v>
      </c>
      <c r="H381" s="157"/>
      <c r="I381" s="166"/>
      <c r="L381" s="175"/>
      <c r="M381" s="169"/>
      <c r="N381" s="18" t="s">
        <v>81</v>
      </c>
      <c r="O381" s="20">
        <v>4</v>
      </c>
      <c r="P381" s="20">
        <v>4</v>
      </c>
      <c r="Q381" s="18" t="s">
        <v>66</v>
      </c>
      <c r="R381" s="157"/>
      <c r="S381" s="166"/>
    </row>
    <row r="382" spans="2:19" x14ac:dyDescent="0.25">
      <c r="B382" s="175"/>
      <c r="C382" s="169"/>
      <c r="D382" s="18" t="s">
        <v>82</v>
      </c>
      <c r="E382" s="20">
        <v>5</v>
      </c>
      <c r="F382" s="20">
        <v>5</v>
      </c>
      <c r="G382" s="18" t="s">
        <v>66</v>
      </c>
      <c r="H382" s="157"/>
      <c r="I382" s="166"/>
      <c r="L382" s="175"/>
      <c r="M382" s="169"/>
      <c r="N382" s="18" t="s">
        <v>82</v>
      </c>
      <c r="O382" s="20">
        <v>5</v>
      </c>
      <c r="P382" s="20">
        <v>5</v>
      </c>
      <c r="Q382" s="18" t="s">
        <v>66</v>
      </c>
      <c r="R382" s="157"/>
      <c r="S382" s="166"/>
    </row>
    <row r="383" spans="2:19" ht="15.75" thickBot="1" x14ac:dyDescent="0.3">
      <c r="B383" s="175"/>
      <c r="C383" s="170"/>
      <c r="D383" s="18" t="s">
        <v>83</v>
      </c>
      <c r="E383" s="20">
        <v>6</v>
      </c>
      <c r="F383" s="20">
        <v>6</v>
      </c>
      <c r="G383" s="18" t="s">
        <v>66</v>
      </c>
      <c r="H383" s="158"/>
      <c r="I383" s="167"/>
      <c r="L383" s="175"/>
      <c r="M383" s="170"/>
      <c r="N383" s="18" t="s">
        <v>83</v>
      </c>
      <c r="O383" s="20">
        <v>6</v>
      </c>
      <c r="P383" s="20">
        <v>6</v>
      </c>
      <c r="Q383" s="18" t="s">
        <v>66</v>
      </c>
      <c r="R383" s="158"/>
      <c r="S383" s="167"/>
    </row>
    <row r="384" spans="2:19" x14ac:dyDescent="0.25">
      <c r="B384" s="175"/>
      <c r="C384" s="168" t="s">
        <v>84</v>
      </c>
      <c r="D384" s="18" t="s">
        <v>2</v>
      </c>
      <c r="E384" s="19">
        <v>1</v>
      </c>
      <c r="F384" s="19">
        <v>7</v>
      </c>
      <c r="G384" s="18" t="s">
        <v>66</v>
      </c>
      <c r="H384" s="32"/>
      <c r="I384" s="50"/>
      <c r="L384" s="175"/>
      <c r="M384" s="168" t="s">
        <v>84</v>
      </c>
      <c r="N384" s="18" t="s">
        <v>2</v>
      </c>
      <c r="O384" s="19">
        <v>1</v>
      </c>
      <c r="P384" s="19">
        <v>7</v>
      </c>
      <c r="Q384" s="18" t="s">
        <v>66</v>
      </c>
      <c r="R384" s="32"/>
      <c r="S384" s="50"/>
    </row>
    <row r="385" spans="2:19" x14ac:dyDescent="0.25">
      <c r="B385" s="175"/>
      <c r="C385" s="169"/>
      <c r="D385" s="18" t="s">
        <v>3</v>
      </c>
      <c r="E385" s="19">
        <v>2</v>
      </c>
      <c r="F385" s="19">
        <v>8</v>
      </c>
      <c r="G385" s="18" t="s">
        <v>66</v>
      </c>
      <c r="H385" s="32"/>
      <c r="I385" s="50"/>
      <c r="L385" s="175"/>
      <c r="M385" s="169"/>
      <c r="N385" s="18" t="s">
        <v>3</v>
      </c>
      <c r="O385" s="19">
        <v>2</v>
      </c>
      <c r="P385" s="19">
        <v>8</v>
      </c>
      <c r="Q385" s="18" t="s">
        <v>66</v>
      </c>
      <c r="R385" s="32"/>
      <c r="S385" s="50"/>
    </row>
    <row r="386" spans="2:19" x14ac:dyDescent="0.25">
      <c r="B386" s="175"/>
      <c r="C386" s="169"/>
      <c r="D386" s="18" t="s">
        <v>80</v>
      </c>
      <c r="E386" s="20">
        <v>3</v>
      </c>
      <c r="F386" s="20">
        <v>9</v>
      </c>
      <c r="G386" s="18" t="s">
        <v>66</v>
      </c>
      <c r="H386" s="32"/>
      <c r="I386" s="50"/>
      <c r="L386" s="175"/>
      <c r="M386" s="169"/>
      <c r="N386" s="18" t="s">
        <v>80</v>
      </c>
      <c r="O386" s="20">
        <v>3</v>
      </c>
      <c r="P386" s="20">
        <v>9</v>
      </c>
      <c r="Q386" s="18" t="s">
        <v>66</v>
      </c>
      <c r="R386" s="32"/>
      <c r="S386" s="50"/>
    </row>
    <row r="387" spans="2:19" x14ac:dyDescent="0.25">
      <c r="B387" s="175"/>
      <c r="C387" s="169"/>
      <c r="D387" s="18" t="s">
        <v>81</v>
      </c>
      <c r="E387" s="20">
        <v>4</v>
      </c>
      <c r="F387" s="20">
        <v>10</v>
      </c>
      <c r="G387" s="18" t="s">
        <v>66</v>
      </c>
      <c r="H387" s="32"/>
      <c r="I387" s="50"/>
      <c r="L387" s="175"/>
      <c r="M387" s="169"/>
      <c r="N387" s="18" t="s">
        <v>81</v>
      </c>
      <c r="O387" s="20">
        <v>4</v>
      </c>
      <c r="P387" s="20">
        <v>10</v>
      </c>
      <c r="Q387" s="18" t="s">
        <v>66</v>
      </c>
      <c r="R387" s="32"/>
      <c r="S387" s="50"/>
    </row>
    <row r="388" spans="2:19" x14ac:dyDescent="0.25">
      <c r="B388" s="175"/>
      <c r="C388" s="169"/>
      <c r="D388" s="18" t="s">
        <v>82</v>
      </c>
      <c r="E388" s="20">
        <v>5</v>
      </c>
      <c r="F388" s="20">
        <v>11</v>
      </c>
      <c r="G388" s="18" t="s">
        <v>66</v>
      </c>
      <c r="H388" s="32"/>
      <c r="I388" s="50"/>
      <c r="L388" s="175"/>
      <c r="M388" s="169"/>
      <c r="N388" s="18" t="s">
        <v>82</v>
      </c>
      <c r="O388" s="20">
        <v>5</v>
      </c>
      <c r="P388" s="20">
        <v>11</v>
      </c>
      <c r="Q388" s="18" t="s">
        <v>66</v>
      </c>
      <c r="R388" s="32"/>
      <c r="S388" s="50"/>
    </row>
    <row r="389" spans="2:19" ht="15.75" thickBot="1" x14ac:dyDescent="0.3">
      <c r="B389" s="176"/>
      <c r="C389" s="170"/>
      <c r="D389" s="18" t="s">
        <v>83</v>
      </c>
      <c r="E389" s="20">
        <v>6</v>
      </c>
      <c r="F389" s="20">
        <v>12</v>
      </c>
      <c r="G389" s="18" t="s">
        <v>66</v>
      </c>
      <c r="H389" s="32"/>
      <c r="I389" s="50"/>
      <c r="L389" s="176"/>
      <c r="M389" s="170"/>
      <c r="N389" s="18" t="s">
        <v>83</v>
      </c>
      <c r="O389" s="20">
        <v>6</v>
      </c>
      <c r="P389" s="20">
        <v>12</v>
      </c>
      <c r="Q389" s="18" t="s">
        <v>66</v>
      </c>
      <c r="R389" s="32"/>
      <c r="S389" s="50"/>
    </row>
    <row r="390" spans="2:19" x14ac:dyDescent="0.25">
      <c r="B390" s="180" t="s">
        <v>3</v>
      </c>
      <c r="C390" s="177" t="s">
        <v>77</v>
      </c>
      <c r="D390" s="21" t="s">
        <v>2</v>
      </c>
      <c r="E390" s="22">
        <v>1</v>
      </c>
      <c r="F390" s="22">
        <v>13</v>
      </c>
      <c r="G390" s="21" t="s">
        <v>66</v>
      </c>
      <c r="H390" s="21"/>
      <c r="I390" s="51"/>
      <c r="L390" s="180" t="s">
        <v>3</v>
      </c>
      <c r="M390" s="177" t="s">
        <v>77</v>
      </c>
      <c r="N390" s="21" t="s">
        <v>2</v>
      </c>
      <c r="O390" s="22">
        <v>1</v>
      </c>
      <c r="P390" s="22">
        <v>13</v>
      </c>
      <c r="Q390" s="21" t="s">
        <v>66</v>
      </c>
      <c r="R390" s="21"/>
      <c r="S390" s="51"/>
    </row>
    <row r="391" spans="2:19" x14ac:dyDescent="0.25">
      <c r="B391" s="181"/>
      <c r="C391" s="178"/>
      <c r="D391" s="23" t="s">
        <v>3</v>
      </c>
      <c r="E391" s="24">
        <v>2</v>
      </c>
      <c r="F391" s="24">
        <v>14</v>
      </c>
      <c r="G391" s="23" t="s">
        <v>66</v>
      </c>
      <c r="H391" s="23"/>
      <c r="I391" s="47"/>
      <c r="L391" s="181"/>
      <c r="M391" s="178"/>
      <c r="N391" s="23" t="s">
        <v>3</v>
      </c>
      <c r="O391" s="24">
        <v>2</v>
      </c>
      <c r="P391" s="24">
        <v>14</v>
      </c>
      <c r="Q391" s="23" t="s">
        <v>66</v>
      </c>
      <c r="R391" s="23"/>
      <c r="S391" s="47"/>
    </row>
    <row r="392" spans="2:19" x14ac:dyDescent="0.25">
      <c r="B392" s="181"/>
      <c r="C392" s="178"/>
      <c r="D392" s="23" t="s">
        <v>80</v>
      </c>
      <c r="E392" s="24">
        <v>3</v>
      </c>
      <c r="F392" s="24">
        <v>15</v>
      </c>
      <c r="G392" s="23" t="s">
        <v>66</v>
      </c>
      <c r="H392" s="23"/>
      <c r="I392" s="47"/>
      <c r="L392" s="181"/>
      <c r="M392" s="178"/>
      <c r="N392" s="23" t="s">
        <v>80</v>
      </c>
      <c r="O392" s="24">
        <v>3</v>
      </c>
      <c r="P392" s="24">
        <v>15</v>
      </c>
      <c r="Q392" s="23" t="s">
        <v>66</v>
      </c>
      <c r="R392" s="23"/>
      <c r="S392" s="47"/>
    </row>
    <row r="393" spans="2:19" x14ac:dyDescent="0.25">
      <c r="B393" s="181"/>
      <c r="C393" s="178"/>
      <c r="D393" s="23" t="s">
        <v>81</v>
      </c>
      <c r="E393" s="24">
        <v>4</v>
      </c>
      <c r="F393" s="24">
        <v>16</v>
      </c>
      <c r="G393" s="23" t="s">
        <v>66</v>
      </c>
      <c r="H393" s="23"/>
      <c r="I393" s="47"/>
      <c r="L393" s="181"/>
      <c r="M393" s="178"/>
      <c r="N393" s="23" t="s">
        <v>81</v>
      </c>
      <c r="O393" s="24">
        <v>4</v>
      </c>
      <c r="P393" s="24">
        <v>16</v>
      </c>
      <c r="Q393" s="23" t="s">
        <v>66</v>
      </c>
      <c r="R393" s="23"/>
      <c r="S393" s="47"/>
    </row>
    <row r="394" spans="2:19" x14ac:dyDescent="0.25">
      <c r="B394" s="181"/>
      <c r="C394" s="178"/>
      <c r="D394" s="23" t="s">
        <v>82</v>
      </c>
      <c r="E394" s="24">
        <v>5</v>
      </c>
      <c r="F394" s="24">
        <v>17</v>
      </c>
      <c r="G394" s="23" t="s">
        <v>66</v>
      </c>
      <c r="H394" s="23"/>
      <c r="I394" s="47"/>
      <c r="L394" s="181"/>
      <c r="M394" s="178"/>
      <c r="N394" s="23" t="s">
        <v>82</v>
      </c>
      <c r="O394" s="24">
        <v>5</v>
      </c>
      <c r="P394" s="24">
        <v>17</v>
      </c>
      <c r="Q394" s="23" t="s">
        <v>66</v>
      </c>
      <c r="R394" s="23"/>
      <c r="S394" s="47"/>
    </row>
    <row r="395" spans="2:19" ht="15.75" thickBot="1" x14ac:dyDescent="0.3">
      <c r="B395" s="181"/>
      <c r="C395" s="179"/>
      <c r="D395" s="23" t="s">
        <v>83</v>
      </c>
      <c r="E395" s="24">
        <v>6</v>
      </c>
      <c r="F395" s="24">
        <v>18</v>
      </c>
      <c r="G395" s="23" t="s">
        <v>66</v>
      </c>
      <c r="H395" s="23"/>
      <c r="I395" s="47"/>
      <c r="L395" s="181"/>
      <c r="M395" s="179"/>
      <c r="N395" s="23" t="s">
        <v>83</v>
      </c>
      <c r="O395" s="24">
        <v>6</v>
      </c>
      <c r="P395" s="24">
        <v>18</v>
      </c>
      <c r="Q395" s="23" t="s">
        <v>66</v>
      </c>
      <c r="R395" s="23"/>
      <c r="S395" s="47"/>
    </row>
    <row r="396" spans="2:19" x14ac:dyDescent="0.25">
      <c r="B396" s="181"/>
      <c r="C396" s="177" t="s">
        <v>84</v>
      </c>
      <c r="D396" s="23" t="s">
        <v>2</v>
      </c>
      <c r="E396" s="24">
        <v>1</v>
      </c>
      <c r="F396" s="24">
        <v>19</v>
      </c>
      <c r="G396" s="23" t="s">
        <v>66</v>
      </c>
      <c r="H396" s="23"/>
      <c r="I396" s="47"/>
      <c r="L396" s="181"/>
      <c r="M396" s="177" t="s">
        <v>84</v>
      </c>
      <c r="N396" s="23" t="s">
        <v>2</v>
      </c>
      <c r="O396" s="24">
        <v>1</v>
      </c>
      <c r="P396" s="24">
        <v>19</v>
      </c>
      <c r="Q396" s="23" t="s">
        <v>66</v>
      </c>
      <c r="R396" s="23"/>
      <c r="S396" s="47"/>
    </row>
    <row r="397" spans="2:19" x14ac:dyDescent="0.25">
      <c r="B397" s="181"/>
      <c r="C397" s="178"/>
      <c r="D397" s="23" t="s">
        <v>3</v>
      </c>
      <c r="E397" s="24">
        <v>2</v>
      </c>
      <c r="F397" s="24">
        <v>20</v>
      </c>
      <c r="G397" s="23" t="s">
        <v>66</v>
      </c>
      <c r="H397" s="23"/>
      <c r="I397" s="47"/>
      <c r="L397" s="181"/>
      <c r="M397" s="178"/>
      <c r="N397" s="23" t="s">
        <v>3</v>
      </c>
      <c r="O397" s="24">
        <v>2</v>
      </c>
      <c r="P397" s="24">
        <v>20</v>
      </c>
      <c r="Q397" s="23" t="s">
        <v>66</v>
      </c>
      <c r="R397" s="23"/>
      <c r="S397" s="47"/>
    </row>
    <row r="398" spans="2:19" x14ac:dyDescent="0.25">
      <c r="B398" s="181"/>
      <c r="C398" s="178"/>
      <c r="D398" s="23" t="s">
        <v>80</v>
      </c>
      <c r="E398" s="26">
        <v>3</v>
      </c>
      <c r="F398" s="24">
        <v>21</v>
      </c>
      <c r="G398" s="23" t="s">
        <v>66</v>
      </c>
      <c r="H398" s="23"/>
      <c r="I398" s="47"/>
      <c r="L398" s="181"/>
      <c r="M398" s="178"/>
      <c r="N398" s="23" t="s">
        <v>80</v>
      </c>
      <c r="O398" s="26">
        <v>3</v>
      </c>
      <c r="P398" s="24">
        <v>21</v>
      </c>
      <c r="Q398" s="23" t="s">
        <v>66</v>
      </c>
      <c r="R398" s="23"/>
      <c r="S398" s="47"/>
    </row>
    <row r="399" spans="2:19" x14ac:dyDescent="0.25">
      <c r="B399" s="181"/>
      <c r="C399" s="178"/>
      <c r="D399" s="23" t="s">
        <v>81</v>
      </c>
      <c r="E399" s="24">
        <v>4</v>
      </c>
      <c r="F399" s="24">
        <v>22</v>
      </c>
      <c r="G399" s="23" t="s">
        <v>66</v>
      </c>
      <c r="H399" s="23"/>
      <c r="I399" s="47"/>
      <c r="L399" s="181"/>
      <c r="M399" s="178"/>
      <c r="N399" s="23" t="s">
        <v>81</v>
      </c>
      <c r="O399" s="24">
        <v>4</v>
      </c>
      <c r="P399" s="24">
        <v>22</v>
      </c>
      <c r="Q399" s="23" t="s">
        <v>66</v>
      </c>
      <c r="R399" s="23"/>
      <c r="S399" s="47"/>
    </row>
    <row r="400" spans="2:19" x14ac:dyDescent="0.25">
      <c r="B400" s="181"/>
      <c r="C400" s="178"/>
      <c r="D400" s="23" t="s">
        <v>82</v>
      </c>
      <c r="E400" s="24">
        <v>5</v>
      </c>
      <c r="F400" s="24">
        <v>23</v>
      </c>
      <c r="G400" s="23" t="s">
        <v>66</v>
      </c>
      <c r="H400" s="23"/>
      <c r="I400" s="47"/>
      <c r="L400" s="181"/>
      <c r="M400" s="178"/>
      <c r="N400" s="23" t="s">
        <v>82</v>
      </c>
      <c r="O400" s="24">
        <v>5</v>
      </c>
      <c r="P400" s="24">
        <v>23</v>
      </c>
      <c r="Q400" s="23" t="s">
        <v>66</v>
      </c>
      <c r="R400" s="23"/>
      <c r="S400" s="47"/>
    </row>
    <row r="401" spans="2:19" ht="15.75" thickBot="1" x14ac:dyDescent="0.3">
      <c r="B401" s="182"/>
      <c r="C401" s="179"/>
      <c r="D401" s="23" t="s">
        <v>83</v>
      </c>
      <c r="E401" s="24">
        <v>6</v>
      </c>
      <c r="F401" s="24">
        <v>24</v>
      </c>
      <c r="G401" s="23" t="s">
        <v>66</v>
      </c>
      <c r="H401" s="23"/>
      <c r="I401" s="47"/>
      <c r="L401" s="182"/>
      <c r="M401" s="179"/>
      <c r="N401" s="23" t="s">
        <v>83</v>
      </c>
      <c r="O401" s="24">
        <v>6</v>
      </c>
      <c r="P401" s="24">
        <v>24</v>
      </c>
      <c r="Q401" s="23" t="s">
        <v>66</v>
      </c>
      <c r="R401" s="23"/>
      <c r="S401" s="47"/>
    </row>
    <row r="402" spans="2:19" x14ac:dyDescent="0.25">
      <c r="B402" s="189" t="s">
        <v>80</v>
      </c>
      <c r="C402" s="192" t="s">
        <v>77</v>
      </c>
      <c r="D402" s="27" t="s">
        <v>2</v>
      </c>
      <c r="E402" s="28">
        <v>1</v>
      </c>
      <c r="F402" s="28">
        <v>25</v>
      </c>
      <c r="G402" s="27" t="s">
        <v>66</v>
      </c>
      <c r="H402" s="27"/>
      <c r="I402" s="48"/>
      <c r="L402" s="189" t="s">
        <v>80</v>
      </c>
      <c r="M402" s="192" t="s">
        <v>77</v>
      </c>
      <c r="N402" s="27" t="s">
        <v>2</v>
      </c>
      <c r="O402" s="28">
        <v>1</v>
      </c>
      <c r="P402" s="28">
        <v>25</v>
      </c>
      <c r="Q402" s="27" t="s">
        <v>66</v>
      </c>
      <c r="R402" s="27"/>
      <c r="S402" s="48"/>
    </row>
    <row r="403" spans="2:19" x14ac:dyDescent="0.25">
      <c r="B403" s="190"/>
      <c r="C403" s="193"/>
      <c r="D403" s="27" t="s">
        <v>3</v>
      </c>
      <c r="E403" s="28">
        <v>2</v>
      </c>
      <c r="F403" s="28">
        <v>26</v>
      </c>
      <c r="G403" s="27" t="s">
        <v>66</v>
      </c>
      <c r="H403" s="27"/>
      <c r="I403" s="48"/>
      <c r="L403" s="190"/>
      <c r="M403" s="193"/>
      <c r="N403" s="27" t="s">
        <v>3</v>
      </c>
      <c r="O403" s="28">
        <v>2</v>
      </c>
      <c r="P403" s="28">
        <v>26</v>
      </c>
      <c r="Q403" s="27" t="s">
        <v>66</v>
      </c>
      <c r="R403" s="27"/>
      <c r="S403" s="48"/>
    </row>
    <row r="404" spans="2:19" x14ac:dyDescent="0.25">
      <c r="B404" s="190"/>
      <c r="C404" s="193"/>
      <c r="D404" s="27" t="s">
        <v>80</v>
      </c>
      <c r="E404" s="28">
        <v>3</v>
      </c>
      <c r="F404" s="28">
        <v>27</v>
      </c>
      <c r="G404" s="27" t="s">
        <v>66</v>
      </c>
      <c r="H404" s="27"/>
      <c r="I404" s="48"/>
      <c r="L404" s="190"/>
      <c r="M404" s="193"/>
      <c r="N404" s="27" t="s">
        <v>80</v>
      </c>
      <c r="O404" s="28">
        <v>3</v>
      </c>
      <c r="P404" s="28">
        <v>27</v>
      </c>
      <c r="Q404" s="27" t="s">
        <v>66</v>
      </c>
      <c r="R404" s="27"/>
      <c r="S404" s="48"/>
    </row>
    <row r="405" spans="2:19" x14ac:dyDescent="0.25">
      <c r="B405" s="190"/>
      <c r="C405" s="193"/>
      <c r="D405" s="27" t="s">
        <v>81</v>
      </c>
      <c r="E405" s="28">
        <v>4</v>
      </c>
      <c r="F405" s="28">
        <v>28</v>
      </c>
      <c r="G405" s="27" t="s">
        <v>66</v>
      </c>
      <c r="H405" s="27"/>
      <c r="I405" s="48"/>
      <c r="L405" s="190"/>
      <c r="M405" s="193"/>
      <c r="N405" s="27" t="s">
        <v>81</v>
      </c>
      <c r="O405" s="28">
        <v>4</v>
      </c>
      <c r="P405" s="28">
        <v>28</v>
      </c>
      <c r="Q405" s="27" t="s">
        <v>66</v>
      </c>
      <c r="R405" s="27"/>
      <c r="S405" s="48"/>
    </row>
    <row r="406" spans="2:19" x14ac:dyDescent="0.25">
      <c r="B406" s="190"/>
      <c r="C406" s="193"/>
      <c r="D406" s="27" t="s">
        <v>82</v>
      </c>
      <c r="E406" s="28">
        <v>5</v>
      </c>
      <c r="F406" s="28">
        <v>29</v>
      </c>
      <c r="G406" s="27" t="s">
        <v>66</v>
      </c>
      <c r="H406" s="27"/>
      <c r="I406" s="48"/>
      <c r="L406" s="190"/>
      <c r="M406" s="193"/>
      <c r="N406" s="27" t="s">
        <v>82</v>
      </c>
      <c r="O406" s="28">
        <v>5</v>
      </c>
      <c r="P406" s="28">
        <v>29</v>
      </c>
      <c r="Q406" s="27" t="s">
        <v>66</v>
      </c>
      <c r="R406" s="27"/>
      <c r="S406" s="48"/>
    </row>
    <row r="407" spans="2:19" ht="15.75" thickBot="1" x14ac:dyDescent="0.3">
      <c r="B407" s="190"/>
      <c r="C407" s="194"/>
      <c r="D407" s="27" t="s">
        <v>83</v>
      </c>
      <c r="E407" s="28">
        <v>6</v>
      </c>
      <c r="F407" s="28">
        <v>30</v>
      </c>
      <c r="G407" s="27" t="s">
        <v>66</v>
      </c>
      <c r="H407" s="27"/>
      <c r="I407" s="48"/>
      <c r="L407" s="190"/>
      <c r="M407" s="194"/>
      <c r="N407" s="27" t="s">
        <v>83</v>
      </c>
      <c r="O407" s="28">
        <v>6</v>
      </c>
      <c r="P407" s="28">
        <v>30</v>
      </c>
      <c r="Q407" s="27" t="s">
        <v>66</v>
      </c>
      <c r="R407" s="27"/>
      <c r="S407" s="48"/>
    </row>
    <row r="408" spans="2:19" x14ac:dyDescent="0.25">
      <c r="B408" s="190"/>
      <c r="C408" s="192" t="s">
        <v>84</v>
      </c>
      <c r="D408" s="27" t="s">
        <v>2</v>
      </c>
      <c r="E408" s="28">
        <v>1</v>
      </c>
      <c r="F408" s="28">
        <v>31</v>
      </c>
      <c r="G408" s="27" t="s">
        <v>66</v>
      </c>
      <c r="H408" s="27"/>
      <c r="I408" s="48"/>
      <c r="L408" s="190"/>
      <c r="M408" s="192" t="s">
        <v>84</v>
      </c>
      <c r="N408" s="27" t="s">
        <v>2</v>
      </c>
      <c r="O408" s="28">
        <v>1</v>
      </c>
      <c r="P408" s="28">
        <v>31</v>
      </c>
      <c r="Q408" s="27" t="s">
        <v>66</v>
      </c>
      <c r="R408" s="27"/>
      <c r="S408" s="48"/>
    </row>
    <row r="409" spans="2:19" x14ac:dyDescent="0.25">
      <c r="B409" s="190"/>
      <c r="C409" s="193"/>
      <c r="D409" s="27" t="s">
        <v>3</v>
      </c>
      <c r="E409" s="28">
        <v>2</v>
      </c>
      <c r="F409" s="28">
        <v>32</v>
      </c>
      <c r="G409" s="27" t="s">
        <v>66</v>
      </c>
      <c r="H409" s="27"/>
      <c r="I409" s="48"/>
      <c r="L409" s="190"/>
      <c r="M409" s="193"/>
      <c r="N409" s="27" t="s">
        <v>3</v>
      </c>
      <c r="O409" s="28">
        <v>2</v>
      </c>
      <c r="P409" s="28">
        <v>32</v>
      </c>
      <c r="Q409" s="27" t="s">
        <v>66</v>
      </c>
      <c r="R409" s="27"/>
      <c r="S409" s="48"/>
    </row>
    <row r="410" spans="2:19" x14ac:dyDescent="0.25">
      <c r="B410" s="190"/>
      <c r="C410" s="193"/>
      <c r="D410" s="27" t="s">
        <v>80</v>
      </c>
      <c r="E410" s="28">
        <v>3</v>
      </c>
      <c r="F410" s="28">
        <v>33</v>
      </c>
      <c r="G410" s="27" t="s">
        <v>66</v>
      </c>
      <c r="H410" s="27"/>
      <c r="I410" s="48"/>
      <c r="L410" s="190"/>
      <c r="M410" s="193"/>
      <c r="N410" s="27" t="s">
        <v>80</v>
      </c>
      <c r="O410" s="28">
        <v>3</v>
      </c>
      <c r="P410" s="28">
        <v>33</v>
      </c>
      <c r="Q410" s="27" t="s">
        <v>66</v>
      </c>
      <c r="R410" s="27"/>
      <c r="S410" s="48"/>
    </row>
    <row r="411" spans="2:19" x14ac:dyDescent="0.25">
      <c r="B411" s="190"/>
      <c r="C411" s="193"/>
      <c r="D411" s="27" t="s">
        <v>81</v>
      </c>
      <c r="E411" s="28">
        <v>4</v>
      </c>
      <c r="F411" s="28">
        <v>34</v>
      </c>
      <c r="G411" s="27" t="s">
        <v>66</v>
      </c>
      <c r="H411" s="27"/>
      <c r="I411" s="48"/>
      <c r="L411" s="190"/>
      <c r="M411" s="193"/>
      <c r="N411" s="27" t="s">
        <v>81</v>
      </c>
      <c r="O411" s="28">
        <v>4</v>
      </c>
      <c r="P411" s="28">
        <v>34</v>
      </c>
      <c r="Q411" s="27" t="s">
        <v>66</v>
      </c>
      <c r="R411" s="27"/>
      <c r="S411" s="48"/>
    </row>
    <row r="412" spans="2:19" x14ac:dyDescent="0.25">
      <c r="B412" s="190"/>
      <c r="C412" s="193"/>
      <c r="D412" s="27" t="s">
        <v>82</v>
      </c>
      <c r="E412" s="28">
        <v>5</v>
      </c>
      <c r="F412" s="28">
        <v>35</v>
      </c>
      <c r="G412" s="27" t="s">
        <v>66</v>
      </c>
      <c r="H412" s="27"/>
      <c r="I412" s="48"/>
      <c r="L412" s="190"/>
      <c r="M412" s="193"/>
      <c r="N412" s="27" t="s">
        <v>82</v>
      </c>
      <c r="O412" s="28">
        <v>5</v>
      </c>
      <c r="P412" s="28">
        <v>35</v>
      </c>
      <c r="Q412" s="27" t="s">
        <v>66</v>
      </c>
      <c r="R412" s="27"/>
      <c r="S412" s="48"/>
    </row>
    <row r="413" spans="2:19" ht="15.75" thickBot="1" x14ac:dyDescent="0.3">
      <c r="B413" s="191"/>
      <c r="C413" s="194"/>
      <c r="D413" s="27" t="s">
        <v>83</v>
      </c>
      <c r="E413" s="28">
        <v>6</v>
      </c>
      <c r="F413" s="28">
        <v>36</v>
      </c>
      <c r="G413" s="27" t="s">
        <v>66</v>
      </c>
      <c r="H413" s="27"/>
      <c r="I413" s="48"/>
      <c r="L413" s="191"/>
      <c r="M413" s="194"/>
      <c r="N413" s="27" t="s">
        <v>83</v>
      </c>
      <c r="O413" s="28">
        <v>6</v>
      </c>
      <c r="P413" s="28">
        <v>36</v>
      </c>
      <c r="Q413" s="27" t="s">
        <v>66</v>
      </c>
      <c r="R413" s="27"/>
      <c r="S413" s="48"/>
    </row>
    <row r="414" spans="2:19" x14ac:dyDescent="0.25">
      <c r="B414" s="183" t="s">
        <v>81</v>
      </c>
      <c r="C414" s="186" t="s">
        <v>77</v>
      </c>
      <c r="D414" s="29" t="s">
        <v>2</v>
      </c>
      <c r="E414" s="30">
        <v>1</v>
      </c>
      <c r="F414" s="30">
        <v>37</v>
      </c>
      <c r="G414" s="29" t="s">
        <v>66</v>
      </c>
      <c r="H414" s="29"/>
      <c r="I414" s="49"/>
      <c r="L414" s="183" t="s">
        <v>81</v>
      </c>
      <c r="M414" s="186" t="s">
        <v>77</v>
      </c>
      <c r="N414" s="29" t="s">
        <v>2</v>
      </c>
      <c r="O414" s="30">
        <v>1</v>
      </c>
      <c r="P414" s="30">
        <v>37</v>
      </c>
      <c r="Q414" s="29" t="s">
        <v>66</v>
      </c>
      <c r="R414" s="29"/>
      <c r="S414" s="49"/>
    </row>
    <row r="415" spans="2:19" x14ac:dyDescent="0.25">
      <c r="B415" s="184"/>
      <c r="C415" s="187"/>
      <c r="D415" s="29" t="s">
        <v>3</v>
      </c>
      <c r="E415" s="30">
        <v>2</v>
      </c>
      <c r="F415" s="30">
        <v>38</v>
      </c>
      <c r="G415" s="29" t="s">
        <v>66</v>
      </c>
      <c r="H415" s="29"/>
      <c r="I415" s="49"/>
      <c r="L415" s="184"/>
      <c r="M415" s="187"/>
      <c r="N415" s="29" t="s">
        <v>3</v>
      </c>
      <c r="O415" s="30">
        <v>2</v>
      </c>
      <c r="P415" s="30">
        <v>38</v>
      </c>
      <c r="Q415" s="29" t="s">
        <v>66</v>
      </c>
      <c r="R415" s="29"/>
      <c r="S415" s="49"/>
    </row>
    <row r="416" spans="2:19" x14ac:dyDescent="0.25">
      <c r="B416" s="184"/>
      <c r="C416" s="187"/>
      <c r="D416" s="29" t="s">
        <v>80</v>
      </c>
      <c r="E416" s="30">
        <v>3</v>
      </c>
      <c r="F416" s="30">
        <v>39</v>
      </c>
      <c r="G416" s="29" t="s">
        <v>66</v>
      </c>
      <c r="H416" s="29"/>
      <c r="I416" s="49"/>
      <c r="L416" s="184"/>
      <c r="M416" s="187"/>
      <c r="N416" s="29" t="s">
        <v>80</v>
      </c>
      <c r="O416" s="30">
        <v>3</v>
      </c>
      <c r="P416" s="30">
        <v>39</v>
      </c>
      <c r="Q416" s="29" t="s">
        <v>66</v>
      </c>
      <c r="R416" s="29"/>
      <c r="S416" s="49"/>
    </row>
    <row r="417" spans="2:19" x14ac:dyDescent="0.25">
      <c r="B417" s="184"/>
      <c r="C417" s="187"/>
      <c r="D417" s="29" t="s">
        <v>81</v>
      </c>
      <c r="E417" s="30">
        <v>4</v>
      </c>
      <c r="F417" s="30">
        <v>40</v>
      </c>
      <c r="G417" s="29" t="s">
        <v>66</v>
      </c>
      <c r="H417" s="29"/>
      <c r="I417" s="49"/>
      <c r="L417" s="184"/>
      <c r="M417" s="187"/>
      <c r="N417" s="29" t="s">
        <v>81</v>
      </c>
      <c r="O417" s="30">
        <v>4</v>
      </c>
      <c r="P417" s="30">
        <v>40</v>
      </c>
      <c r="Q417" s="29" t="s">
        <v>66</v>
      </c>
      <c r="R417" s="29"/>
      <c r="S417" s="49"/>
    </row>
    <row r="418" spans="2:19" x14ac:dyDescent="0.25">
      <c r="B418" s="184"/>
      <c r="C418" s="187"/>
      <c r="D418" s="29" t="s">
        <v>82</v>
      </c>
      <c r="E418" s="30">
        <v>5</v>
      </c>
      <c r="F418" s="30">
        <v>41</v>
      </c>
      <c r="G418" s="29" t="s">
        <v>66</v>
      </c>
      <c r="H418" s="29"/>
      <c r="I418" s="49"/>
      <c r="L418" s="184"/>
      <c r="M418" s="187"/>
      <c r="N418" s="29" t="s">
        <v>82</v>
      </c>
      <c r="O418" s="30">
        <v>5</v>
      </c>
      <c r="P418" s="30">
        <v>41</v>
      </c>
      <c r="Q418" s="29" t="s">
        <v>66</v>
      </c>
      <c r="R418" s="29"/>
      <c r="S418" s="49"/>
    </row>
    <row r="419" spans="2:19" ht="15.75" thickBot="1" x14ac:dyDescent="0.3">
      <c r="B419" s="184"/>
      <c r="C419" s="188"/>
      <c r="D419" s="29" t="s">
        <v>83</v>
      </c>
      <c r="E419" s="30">
        <v>6</v>
      </c>
      <c r="F419" s="30">
        <v>42</v>
      </c>
      <c r="G419" s="29" t="s">
        <v>66</v>
      </c>
      <c r="H419" s="29"/>
      <c r="I419" s="49"/>
      <c r="L419" s="184"/>
      <c r="M419" s="188"/>
      <c r="N419" s="29" t="s">
        <v>83</v>
      </c>
      <c r="O419" s="30">
        <v>6</v>
      </c>
      <c r="P419" s="30">
        <v>42</v>
      </c>
      <c r="Q419" s="29" t="s">
        <v>66</v>
      </c>
      <c r="R419" s="29"/>
      <c r="S419" s="49"/>
    </row>
    <row r="420" spans="2:19" x14ac:dyDescent="0.25">
      <c r="B420" s="184"/>
      <c r="C420" s="186" t="s">
        <v>84</v>
      </c>
      <c r="D420" s="29" t="s">
        <v>2</v>
      </c>
      <c r="E420" s="30">
        <v>1</v>
      </c>
      <c r="F420" s="30">
        <v>43</v>
      </c>
      <c r="G420" s="29" t="s">
        <v>66</v>
      </c>
      <c r="H420" s="29"/>
      <c r="I420" s="49"/>
      <c r="L420" s="184"/>
      <c r="M420" s="186" t="s">
        <v>84</v>
      </c>
      <c r="N420" s="29" t="s">
        <v>2</v>
      </c>
      <c r="O420" s="30">
        <v>1</v>
      </c>
      <c r="P420" s="30">
        <v>43</v>
      </c>
      <c r="Q420" s="29" t="s">
        <v>66</v>
      </c>
      <c r="R420" s="29"/>
      <c r="S420" s="49"/>
    </row>
    <row r="421" spans="2:19" x14ac:dyDescent="0.25">
      <c r="B421" s="184"/>
      <c r="C421" s="187"/>
      <c r="D421" s="29" t="s">
        <v>3</v>
      </c>
      <c r="E421" s="30">
        <v>2</v>
      </c>
      <c r="F421" s="30">
        <v>44</v>
      </c>
      <c r="G421" s="29" t="s">
        <v>66</v>
      </c>
      <c r="H421" s="29"/>
      <c r="I421" s="49"/>
      <c r="L421" s="184"/>
      <c r="M421" s="187"/>
      <c r="N421" s="29" t="s">
        <v>3</v>
      </c>
      <c r="O421" s="30">
        <v>2</v>
      </c>
      <c r="P421" s="30">
        <v>44</v>
      </c>
      <c r="Q421" s="29" t="s">
        <v>66</v>
      </c>
      <c r="R421" s="29"/>
      <c r="S421" s="49"/>
    </row>
    <row r="422" spans="2:19" x14ac:dyDescent="0.25">
      <c r="B422" s="184"/>
      <c r="C422" s="187"/>
      <c r="D422" s="29" t="s">
        <v>80</v>
      </c>
      <c r="E422" s="30">
        <v>3</v>
      </c>
      <c r="F422" s="30">
        <v>45</v>
      </c>
      <c r="G422" s="29" t="s">
        <v>66</v>
      </c>
      <c r="H422" s="29"/>
      <c r="I422" s="49"/>
      <c r="L422" s="184"/>
      <c r="M422" s="187"/>
      <c r="N422" s="29" t="s">
        <v>80</v>
      </c>
      <c r="O422" s="30">
        <v>3</v>
      </c>
      <c r="P422" s="30">
        <v>45</v>
      </c>
      <c r="Q422" s="29" t="s">
        <v>66</v>
      </c>
      <c r="R422" s="29"/>
      <c r="S422" s="49"/>
    </row>
    <row r="423" spans="2:19" x14ac:dyDescent="0.25">
      <c r="B423" s="184"/>
      <c r="C423" s="187"/>
      <c r="D423" s="29" t="s">
        <v>81</v>
      </c>
      <c r="E423" s="30">
        <v>4</v>
      </c>
      <c r="F423" s="30">
        <v>46</v>
      </c>
      <c r="G423" s="29" t="s">
        <v>66</v>
      </c>
      <c r="H423" s="29"/>
      <c r="I423" s="49"/>
      <c r="L423" s="184"/>
      <c r="M423" s="187"/>
      <c r="N423" s="29" t="s">
        <v>81</v>
      </c>
      <c r="O423" s="30">
        <v>4</v>
      </c>
      <c r="P423" s="30">
        <v>46</v>
      </c>
      <c r="Q423" s="29" t="s">
        <v>66</v>
      </c>
      <c r="R423" s="29"/>
      <c r="S423" s="49"/>
    </row>
    <row r="424" spans="2:19" x14ac:dyDescent="0.25">
      <c r="B424" s="184"/>
      <c r="C424" s="187"/>
      <c r="D424" s="29" t="s">
        <v>82</v>
      </c>
      <c r="E424" s="30">
        <v>5</v>
      </c>
      <c r="F424" s="30">
        <v>47</v>
      </c>
      <c r="G424" s="29" t="s">
        <v>66</v>
      </c>
      <c r="H424" s="29"/>
      <c r="I424" s="49"/>
      <c r="L424" s="184"/>
      <c r="M424" s="187"/>
      <c r="N424" s="29" t="s">
        <v>82</v>
      </c>
      <c r="O424" s="30">
        <v>5</v>
      </c>
      <c r="P424" s="30">
        <v>47</v>
      </c>
      <c r="Q424" s="29" t="s">
        <v>66</v>
      </c>
      <c r="R424" s="29"/>
      <c r="S424" s="49"/>
    </row>
    <row r="425" spans="2:19" ht="15.75" thickBot="1" x14ac:dyDescent="0.3">
      <c r="B425" s="185"/>
      <c r="C425" s="188"/>
      <c r="D425" s="29" t="s">
        <v>83</v>
      </c>
      <c r="E425" s="30">
        <v>6</v>
      </c>
      <c r="F425" s="30">
        <v>48</v>
      </c>
      <c r="G425" s="29" t="s">
        <v>66</v>
      </c>
      <c r="H425" s="29"/>
      <c r="I425" s="49"/>
      <c r="L425" s="185"/>
      <c r="M425" s="188"/>
      <c r="N425" s="29" t="s">
        <v>83</v>
      </c>
      <c r="O425" s="30">
        <v>6</v>
      </c>
      <c r="P425" s="30">
        <v>48</v>
      </c>
      <c r="Q425" s="29" t="s">
        <v>66</v>
      </c>
      <c r="R425" s="29"/>
      <c r="S425" s="49"/>
    </row>
    <row r="431" spans="2:19" ht="15.75" thickBot="1" x14ac:dyDescent="0.3"/>
    <row r="432" spans="2:19" ht="15.75" thickBot="1" x14ac:dyDescent="0.3">
      <c r="B432" s="171" t="s">
        <v>360</v>
      </c>
      <c r="C432" s="172"/>
      <c r="D432" s="172"/>
      <c r="E432" s="172"/>
      <c r="F432" s="172"/>
      <c r="G432" s="172"/>
      <c r="H432" s="172"/>
      <c r="I432" s="173"/>
      <c r="L432" s="171" t="s">
        <v>361</v>
      </c>
      <c r="M432" s="172"/>
      <c r="N432" s="172"/>
      <c r="O432" s="172"/>
      <c r="P432" s="172"/>
      <c r="Q432" s="172"/>
      <c r="R432" s="172"/>
      <c r="S432" s="173"/>
    </row>
    <row r="434" spans="2:19" ht="26.25" thickBot="1" x14ac:dyDescent="0.3">
      <c r="B434" s="15" t="s">
        <v>70</v>
      </c>
      <c r="C434" s="16" t="s">
        <v>71</v>
      </c>
      <c r="D434" s="15" t="s">
        <v>72</v>
      </c>
      <c r="E434" s="17" t="s">
        <v>73</v>
      </c>
      <c r="F434" s="17" t="s">
        <v>74</v>
      </c>
      <c r="G434" s="15" t="s">
        <v>75</v>
      </c>
      <c r="H434" s="15" t="s">
        <v>55</v>
      </c>
      <c r="I434" s="15" t="s">
        <v>76</v>
      </c>
      <c r="L434" s="15" t="s">
        <v>70</v>
      </c>
      <c r="M434" s="16" t="s">
        <v>71</v>
      </c>
      <c r="N434" s="15" t="s">
        <v>72</v>
      </c>
      <c r="O434" s="17" t="s">
        <v>73</v>
      </c>
      <c r="P434" s="17" t="s">
        <v>74</v>
      </c>
      <c r="Q434" s="15" t="s">
        <v>75</v>
      </c>
      <c r="R434" s="15" t="s">
        <v>55</v>
      </c>
      <c r="S434" s="15" t="s">
        <v>76</v>
      </c>
    </row>
    <row r="435" spans="2:19" x14ac:dyDescent="0.25">
      <c r="B435" s="174" t="s">
        <v>2</v>
      </c>
      <c r="C435" s="168" t="s">
        <v>77</v>
      </c>
      <c r="D435" s="18" t="s">
        <v>2</v>
      </c>
      <c r="E435" s="19">
        <v>1</v>
      </c>
      <c r="F435" s="19">
        <v>1</v>
      </c>
      <c r="G435" s="18" t="s">
        <v>78</v>
      </c>
      <c r="H435" s="156" t="s">
        <v>141</v>
      </c>
      <c r="I435" s="165" t="s">
        <v>199</v>
      </c>
      <c r="L435" s="174" t="s">
        <v>2</v>
      </c>
      <c r="M435" s="168" t="s">
        <v>77</v>
      </c>
      <c r="N435" s="18" t="s">
        <v>2</v>
      </c>
      <c r="O435" s="19">
        <v>1</v>
      </c>
      <c r="P435" s="19">
        <v>1</v>
      </c>
      <c r="Q435" s="18" t="s">
        <v>78</v>
      </c>
      <c r="R435" s="156" t="s">
        <v>141</v>
      </c>
      <c r="S435" s="165" t="s">
        <v>201</v>
      </c>
    </row>
    <row r="436" spans="2:19" x14ac:dyDescent="0.25">
      <c r="B436" s="175"/>
      <c r="C436" s="169"/>
      <c r="D436" s="18" t="s">
        <v>3</v>
      </c>
      <c r="E436" s="19">
        <v>2</v>
      </c>
      <c r="F436" s="19">
        <v>2</v>
      </c>
      <c r="G436" s="18" t="s">
        <v>78</v>
      </c>
      <c r="H436" s="157"/>
      <c r="I436" s="166"/>
      <c r="L436" s="175"/>
      <c r="M436" s="169"/>
      <c r="N436" s="18" t="s">
        <v>3</v>
      </c>
      <c r="O436" s="19">
        <v>2</v>
      </c>
      <c r="P436" s="19">
        <v>2</v>
      </c>
      <c r="Q436" s="18" t="s">
        <v>78</v>
      </c>
      <c r="R436" s="157"/>
      <c r="S436" s="166"/>
    </row>
    <row r="437" spans="2:19" x14ac:dyDescent="0.25">
      <c r="B437" s="175"/>
      <c r="C437" s="169"/>
      <c r="D437" s="18" t="s">
        <v>80</v>
      </c>
      <c r="E437" s="20">
        <v>3</v>
      </c>
      <c r="F437" s="20">
        <v>3</v>
      </c>
      <c r="G437" s="18" t="s">
        <v>66</v>
      </c>
      <c r="H437" s="157"/>
      <c r="I437" s="166"/>
      <c r="L437" s="175"/>
      <c r="M437" s="169"/>
      <c r="N437" s="18" t="s">
        <v>80</v>
      </c>
      <c r="O437" s="20">
        <v>3</v>
      </c>
      <c r="P437" s="20">
        <v>3</v>
      </c>
      <c r="Q437" s="18" t="s">
        <v>66</v>
      </c>
      <c r="R437" s="157"/>
      <c r="S437" s="166"/>
    </row>
    <row r="438" spans="2:19" x14ac:dyDescent="0.25">
      <c r="B438" s="175"/>
      <c r="C438" s="169"/>
      <c r="D438" s="18" t="s">
        <v>81</v>
      </c>
      <c r="E438" s="20">
        <v>4</v>
      </c>
      <c r="F438" s="20">
        <v>4</v>
      </c>
      <c r="G438" s="18" t="s">
        <v>66</v>
      </c>
      <c r="H438" s="157"/>
      <c r="I438" s="166"/>
      <c r="L438" s="175"/>
      <c r="M438" s="169"/>
      <c r="N438" s="18" t="s">
        <v>81</v>
      </c>
      <c r="O438" s="20">
        <v>4</v>
      </c>
      <c r="P438" s="20">
        <v>4</v>
      </c>
      <c r="Q438" s="18" t="s">
        <v>66</v>
      </c>
      <c r="R438" s="157"/>
      <c r="S438" s="166"/>
    </row>
    <row r="439" spans="2:19" x14ac:dyDescent="0.25">
      <c r="B439" s="175"/>
      <c r="C439" s="169"/>
      <c r="D439" s="18" t="s">
        <v>82</v>
      </c>
      <c r="E439" s="20">
        <v>5</v>
      </c>
      <c r="F439" s="20">
        <v>5</v>
      </c>
      <c r="G439" s="18" t="s">
        <v>66</v>
      </c>
      <c r="H439" s="157"/>
      <c r="I439" s="166"/>
      <c r="L439" s="175"/>
      <c r="M439" s="169"/>
      <c r="N439" s="18" t="s">
        <v>82</v>
      </c>
      <c r="O439" s="20">
        <v>5</v>
      </c>
      <c r="P439" s="20">
        <v>5</v>
      </c>
      <c r="Q439" s="18" t="s">
        <v>66</v>
      </c>
      <c r="R439" s="157"/>
      <c r="S439" s="166"/>
    </row>
    <row r="440" spans="2:19" ht="15.75" thickBot="1" x14ac:dyDescent="0.3">
      <c r="B440" s="175"/>
      <c r="C440" s="170"/>
      <c r="D440" s="18" t="s">
        <v>83</v>
      </c>
      <c r="E440" s="20">
        <v>6</v>
      </c>
      <c r="F440" s="20">
        <v>6</v>
      </c>
      <c r="G440" s="18" t="s">
        <v>66</v>
      </c>
      <c r="H440" s="158"/>
      <c r="I440" s="167"/>
      <c r="L440" s="175"/>
      <c r="M440" s="170"/>
      <c r="N440" s="18" t="s">
        <v>83</v>
      </c>
      <c r="O440" s="20">
        <v>6</v>
      </c>
      <c r="P440" s="20">
        <v>6</v>
      </c>
      <c r="Q440" s="18" t="s">
        <v>66</v>
      </c>
      <c r="R440" s="158"/>
      <c r="S440" s="167"/>
    </row>
    <row r="441" spans="2:19" x14ac:dyDescent="0.25">
      <c r="B441" s="175"/>
      <c r="C441" s="168" t="s">
        <v>84</v>
      </c>
      <c r="D441" s="18" t="s">
        <v>2</v>
      </c>
      <c r="E441" s="19">
        <v>1</v>
      </c>
      <c r="F441" s="19">
        <v>7</v>
      </c>
      <c r="G441" s="18" t="s">
        <v>66</v>
      </c>
      <c r="H441" s="32"/>
      <c r="I441" s="50"/>
      <c r="L441" s="175"/>
      <c r="M441" s="168" t="s">
        <v>84</v>
      </c>
      <c r="N441" s="18" t="s">
        <v>2</v>
      </c>
      <c r="O441" s="19">
        <v>1</v>
      </c>
      <c r="P441" s="19">
        <v>7</v>
      </c>
      <c r="Q441" s="18" t="s">
        <v>66</v>
      </c>
      <c r="R441" s="32"/>
      <c r="S441" s="50"/>
    </row>
    <row r="442" spans="2:19" x14ac:dyDescent="0.25">
      <c r="B442" s="175"/>
      <c r="C442" s="169"/>
      <c r="D442" s="18" t="s">
        <v>3</v>
      </c>
      <c r="E442" s="19">
        <v>2</v>
      </c>
      <c r="F442" s="19">
        <v>8</v>
      </c>
      <c r="G442" s="18" t="s">
        <v>66</v>
      </c>
      <c r="H442" s="32"/>
      <c r="I442" s="50"/>
      <c r="L442" s="175"/>
      <c r="M442" s="169"/>
      <c r="N442" s="18" t="s">
        <v>3</v>
      </c>
      <c r="O442" s="19">
        <v>2</v>
      </c>
      <c r="P442" s="19">
        <v>8</v>
      </c>
      <c r="Q442" s="18" t="s">
        <v>66</v>
      </c>
      <c r="R442" s="32"/>
      <c r="S442" s="50"/>
    </row>
    <row r="443" spans="2:19" x14ac:dyDescent="0.25">
      <c r="B443" s="175"/>
      <c r="C443" s="169"/>
      <c r="D443" s="18" t="s">
        <v>80</v>
      </c>
      <c r="E443" s="20">
        <v>3</v>
      </c>
      <c r="F443" s="20">
        <v>9</v>
      </c>
      <c r="G443" s="18" t="s">
        <v>66</v>
      </c>
      <c r="H443" s="32"/>
      <c r="I443" s="50"/>
      <c r="L443" s="175"/>
      <c r="M443" s="169"/>
      <c r="N443" s="18" t="s">
        <v>80</v>
      </c>
      <c r="O443" s="20">
        <v>3</v>
      </c>
      <c r="P443" s="20">
        <v>9</v>
      </c>
      <c r="Q443" s="18" t="s">
        <v>66</v>
      </c>
      <c r="R443" s="32"/>
      <c r="S443" s="50"/>
    </row>
    <row r="444" spans="2:19" x14ac:dyDescent="0.25">
      <c r="B444" s="175"/>
      <c r="C444" s="169"/>
      <c r="D444" s="18" t="s">
        <v>81</v>
      </c>
      <c r="E444" s="20">
        <v>4</v>
      </c>
      <c r="F444" s="20">
        <v>10</v>
      </c>
      <c r="G444" s="18" t="s">
        <v>66</v>
      </c>
      <c r="H444" s="32"/>
      <c r="I444" s="50"/>
      <c r="L444" s="175"/>
      <c r="M444" s="169"/>
      <c r="N444" s="18" t="s">
        <v>81</v>
      </c>
      <c r="O444" s="20">
        <v>4</v>
      </c>
      <c r="P444" s="20">
        <v>10</v>
      </c>
      <c r="Q444" s="18" t="s">
        <v>66</v>
      </c>
      <c r="R444" s="32"/>
      <c r="S444" s="50"/>
    </row>
    <row r="445" spans="2:19" x14ac:dyDescent="0.25">
      <c r="B445" s="175"/>
      <c r="C445" s="169"/>
      <c r="D445" s="18" t="s">
        <v>82</v>
      </c>
      <c r="E445" s="20">
        <v>5</v>
      </c>
      <c r="F445" s="20">
        <v>11</v>
      </c>
      <c r="G445" s="18" t="s">
        <v>66</v>
      </c>
      <c r="H445" s="32"/>
      <c r="I445" s="50"/>
      <c r="L445" s="175"/>
      <c r="M445" s="169"/>
      <c r="N445" s="18" t="s">
        <v>82</v>
      </c>
      <c r="O445" s="20">
        <v>5</v>
      </c>
      <c r="P445" s="20">
        <v>11</v>
      </c>
      <c r="Q445" s="18" t="s">
        <v>66</v>
      </c>
      <c r="R445" s="32"/>
      <c r="S445" s="50"/>
    </row>
    <row r="446" spans="2:19" ht="15.75" thickBot="1" x14ac:dyDescent="0.3">
      <c r="B446" s="176"/>
      <c r="C446" s="170"/>
      <c r="D446" s="18" t="s">
        <v>83</v>
      </c>
      <c r="E446" s="20">
        <v>6</v>
      </c>
      <c r="F446" s="20">
        <v>12</v>
      </c>
      <c r="G446" s="18" t="s">
        <v>66</v>
      </c>
      <c r="H446" s="32"/>
      <c r="I446" s="50"/>
      <c r="L446" s="176"/>
      <c r="M446" s="170"/>
      <c r="N446" s="18" t="s">
        <v>83</v>
      </c>
      <c r="O446" s="20">
        <v>6</v>
      </c>
      <c r="P446" s="20">
        <v>12</v>
      </c>
      <c r="Q446" s="18" t="s">
        <v>66</v>
      </c>
      <c r="R446" s="32"/>
      <c r="S446" s="50"/>
    </row>
    <row r="447" spans="2:19" x14ac:dyDescent="0.25">
      <c r="B447" s="180" t="s">
        <v>3</v>
      </c>
      <c r="C447" s="177" t="s">
        <v>77</v>
      </c>
      <c r="D447" s="21" t="s">
        <v>2</v>
      </c>
      <c r="E447" s="22">
        <v>1</v>
      </c>
      <c r="F447" s="22">
        <v>13</v>
      </c>
      <c r="G447" s="21" t="s">
        <v>66</v>
      </c>
      <c r="H447" s="21"/>
      <c r="I447" s="51"/>
      <c r="L447" s="180" t="s">
        <v>3</v>
      </c>
      <c r="M447" s="177" t="s">
        <v>77</v>
      </c>
      <c r="N447" s="21" t="s">
        <v>2</v>
      </c>
      <c r="O447" s="22">
        <v>1</v>
      </c>
      <c r="P447" s="22">
        <v>13</v>
      </c>
      <c r="Q447" s="21" t="s">
        <v>66</v>
      </c>
      <c r="R447" s="21"/>
      <c r="S447" s="51"/>
    </row>
    <row r="448" spans="2:19" x14ac:dyDescent="0.25">
      <c r="B448" s="181"/>
      <c r="C448" s="178"/>
      <c r="D448" s="23" t="s">
        <v>3</v>
      </c>
      <c r="E448" s="24">
        <v>2</v>
      </c>
      <c r="F448" s="24">
        <v>14</v>
      </c>
      <c r="G448" s="23" t="s">
        <v>66</v>
      </c>
      <c r="H448" s="23"/>
      <c r="I448" s="47"/>
      <c r="L448" s="181"/>
      <c r="M448" s="178"/>
      <c r="N448" s="23" t="s">
        <v>3</v>
      </c>
      <c r="O448" s="24">
        <v>2</v>
      </c>
      <c r="P448" s="24">
        <v>14</v>
      </c>
      <c r="Q448" s="23" t="s">
        <v>66</v>
      </c>
      <c r="R448" s="23"/>
      <c r="S448" s="47"/>
    </row>
    <row r="449" spans="2:19" x14ac:dyDescent="0.25">
      <c r="B449" s="181"/>
      <c r="C449" s="178"/>
      <c r="D449" s="23" t="s">
        <v>80</v>
      </c>
      <c r="E449" s="24">
        <v>3</v>
      </c>
      <c r="F449" s="24">
        <v>15</v>
      </c>
      <c r="G449" s="23" t="s">
        <v>66</v>
      </c>
      <c r="H449" s="23"/>
      <c r="I449" s="47"/>
      <c r="L449" s="181"/>
      <c r="M449" s="178"/>
      <c r="N449" s="23" t="s">
        <v>80</v>
      </c>
      <c r="O449" s="24">
        <v>3</v>
      </c>
      <c r="P449" s="24">
        <v>15</v>
      </c>
      <c r="Q449" s="23" t="s">
        <v>66</v>
      </c>
      <c r="R449" s="23"/>
      <c r="S449" s="47"/>
    </row>
    <row r="450" spans="2:19" x14ac:dyDescent="0.25">
      <c r="B450" s="181"/>
      <c r="C450" s="178"/>
      <c r="D450" s="23" t="s">
        <v>81</v>
      </c>
      <c r="E450" s="24">
        <v>4</v>
      </c>
      <c r="F450" s="24">
        <v>16</v>
      </c>
      <c r="G450" s="23" t="s">
        <v>66</v>
      </c>
      <c r="H450" s="23"/>
      <c r="I450" s="47"/>
      <c r="L450" s="181"/>
      <c r="M450" s="178"/>
      <c r="N450" s="23" t="s">
        <v>81</v>
      </c>
      <c r="O450" s="24">
        <v>4</v>
      </c>
      <c r="P450" s="24">
        <v>16</v>
      </c>
      <c r="Q450" s="23" t="s">
        <v>66</v>
      </c>
      <c r="R450" s="23"/>
      <c r="S450" s="47"/>
    </row>
    <row r="451" spans="2:19" x14ac:dyDescent="0.25">
      <c r="B451" s="181"/>
      <c r="C451" s="178"/>
      <c r="D451" s="23" t="s">
        <v>82</v>
      </c>
      <c r="E451" s="24">
        <v>5</v>
      </c>
      <c r="F451" s="24">
        <v>17</v>
      </c>
      <c r="G451" s="23" t="s">
        <v>66</v>
      </c>
      <c r="H451" s="23"/>
      <c r="I451" s="47"/>
      <c r="L451" s="181"/>
      <c r="M451" s="178"/>
      <c r="N451" s="23" t="s">
        <v>82</v>
      </c>
      <c r="O451" s="24">
        <v>5</v>
      </c>
      <c r="P451" s="24">
        <v>17</v>
      </c>
      <c r="Q451" s="23" t="s">
        <v>66</v>
      </c>
      <c r="R451" s="23"/>
      <c r="S451" s="47"/>
    </row>
    <row r="452" spans="2:19" ht="15.75" thickBot="1" x14ac:dyDescent="0.3">
      <c r="B452" s="181"/>
      <c r="C452" s="179"/>
      <c r="D452" s="23" t="s">
        <v>83</v>
      </c>
      <c r="E452" s="24">
        <v>6</v>
      </c>
      <c r="F452" s="24">
        <v>18</v>
      </c>
      <c r="G452" s="23" t="s">
        <v>66</v>
      </c>
      <c r="H452" s="23"/>
      <c r="I452" s="47"/>
      <c r="L452" s="181"/>
      <c r="M452" s="179"/>
      <c r="N452" s="23" t="s">
        <v>83</v>
      </c>
      <c r="O452" s="24">
        <v>6</v>
      </c>
      <c r="P452" s="24">
        <v>18</v>
      </c>
      <c r="Q452" s="23" t="s">
        <v>66</v>
      </c>
      <c r="R452" s="23"/>
      <c r="S452" s="47"/>
    </row>
    <row r="453" spans="2:19" x14ac:dyDescent="0.25">
      <c r="B453" s="181"/>
      <c r="C453" s="177" t="s">
        <v>84</v>
      </c>
      <c r="D453" s="23" t="s">
        <v>2</v>
      </c>
      <c r="E453" s="24">
        <v>1</v>
      </c>
      <c r="F453" s="24">
        <v>19</v>
      </c>
      <c r="G453" s="23" t="s">
        <v>66</v>
      </c>
      <c r="H453" s="23"/>
      <c r="I453" s="47"/>
      <c r="L453" s="181"/>
      <c r="M453" s="177" t="s">
        <v>84</v>
      </c>
      <c r="N453" s="23" t="s">
        <v>2</v>
      </c>
      <c r="O453" s="24">
        <v>1</v>
      </c>
      <c r="P453" s="24">
        <v>19</v>
      </c>
      <c r="Q453" s="23" t="s">
        <v>66</v>
      </c>
      <c r="R453" s="23"/>
      <c r="S453" s="47"/>
    </row>
    <row r="454" spans="2:19" x14ac:dyDescent="0.25">
      <c r="B454" s="181"/>
      <c r="C454" s="178"/>
      <c r="D454" s="23" t="s">
        <v>3</v>
      </c>
      <c r="E454" s="24">
        <v>2</v>
      </c>
      <c r="F454" s="24">
        <v>20</v>
      </c>
      <c r="G454" s="23" t="s">
        <v>66</v>
      </c>
      <c r="H454" s="23"/>
      <c r="I454" s="47"/>
      <c r="L454" s="181"/>
      <c r="M454" s="178"/>
      <c r="N454" s="23" t="s">
        <v>3</v>
      </c>
      <c r="O454" s="24">
        <v>2</v>
      </c>
      <c r="P454" s="24">
        <v>20</v>
      </c>
      <c r="Q454" s="23" t="s">
        <v>66</v>
      </c>
      <c r="R454" s="23"/>
      <c r="S454" s="47"/>
    </row>
    <row r="455" spans="2:19" x14ac:dyDescent="0.25">
      <c r="B455" s="181"/>
      <c r="C455" s="178"/>
      <c r="D455" s="23" t="s">
        <v>80</v>
      </c>
      <c r="E455" s="26">
        <v>3</v>
      </c>
      <c r="F455" s="24">
        <v>21</v>
      </c>
      <c r="G455" s="23" t="s">
        <v>66</v>
      </c>
      <c r="H455" s="23"/>
      <c r="I455" s="47"/>
      <c r="L455" s="181"/>
      <c r="M455" s="178"/>
      <c r="N455" s="23" t="s">
        <v>80</v>
      </c>
      <c r="O455" s="26">
        <v>3</v>
      </c>
      <c r="P455" s="24">
        <v>21</v>
      </c>
      <c r="Q455" s="23" t="s">
        <v>66</v>
      </c>
      <c r="R455" s="23"/>
      <c r="S455" s="47"/>
    </row>
    <row r="456" spans="2:19" x14ac:dyDescent="0.25">
      <c r="B456" s="181"/>
      <c r="C456" s="178"/>
      <c r="D456" s="23" t="s">
        <v>81</v>
      </c>
      <c r="E456" s="24">
        <v>4</v>
      </c>
      <c r="F456" s="24">
        <v>22</v>
      </c>
      <c r="G456" s="23" t="s">
        <v>66</v>
      </c>
      <c r="H456" s="23"/>
      <c r="I456" s="47"/>
      <c r="L456" s="181"/>
      <c r="M456" s="178"/>
      <c r="N456" s="23" t="s">
        <v>81</v>
      </c>
      <c r="O456" s="24">
        <v>4</v>
      </c>
      <c r="P456" s="24">
        <v>22</v>
      </c>
      <c r="Q456" s="23" t="s">
        <v>66</v>
      </c>
      <c r="R456" s="23"/>
      <c r="S456" s="47"/>
    </row>
    <row r="457" spans="2:19" x14ac:dyDescent="0.25">
      <c r="B457" s="181"/>
      <c r="C457" s="178"/>
      <c r="D457" s="23" t="s">
        <v>82</v>
      </c>
      <c r="E457" s="24">
        <v>5</v>
      </c>
      <c r="F457" s="24">
        <v>23</v>
      </c>
      <c r="G457" s="23" t="s">
        <v>66</v>
      </c>
      <c r="H457" s="23"/>
      <c r="I457" s="47"/>
      <c r="L457" s="181"/>
      <c r="M457" s="178"/>
      <c r="N457" s="23" t="s">
        <v>82</v>
      </c>
      <c r="O457" s="24">
        <v>5</v>
      </c>
      <c r="P457" s="24">
        <v>23</v>
      </c>
      <c r="Q457" s="23" t="s">
        <v>66</v>
      </c>
      <c r="R457" s="23"/>
      <c r="S457" s="47"/>
    </row>
    <row r="458" spans="2:19" ht="15.75" thickBot="1" x14ac:dyDescent="0.3">
      <c r="B458" s="182"/>
      <c r="C458" s="179"/>
      <c r="D458" s="23" t="s">
        <v>83</v>
      </c>
      <c r="E458" s="24">
        <v>6</v>
      </c>
      <c r="F458" s="24">
        <v>24</v>
      </c>
      <c r="G458" s="23" t="s">
        <v>66</v>
      </c>
      <c r="H458" s="23"/>
      <c r="I458" s="47"/>
      <c r="L458" s="182"/>
      <c r="M458" s="179"/>
      <c r="N458" s="23" t="s">
        <v>83</v>
      </c>
      <c r="O458" s="24">
        <v>6</v>
      </c>
      <c r="P458" s="24">
        <v>24</v>
      </c>
      <c r="Q458" s="23" t="s">
        <v>66</v>
      </c>
      <c r="R458" s="23"/>
      <c r="S458" s="47"/>
    </row>
    <row r="459" spans="2:19" x14ac:dyDescent="0.25">
      <c r="B459" s="189" t="s">
        <v>80</v>
      </c>
      <c r="C459" s="192" t="s">
        <v>77</v>
      </c>
      <c r="D459" s="27" t="s">
        <v>2</v>
      </c>
      <c r="E459" s="28">
        <v>1</v>
      </c>
      <c r="F459" s="28">
        <v>25</v>
      </c>
      <c r="G459" s="27" t="s">
        <v>66</v>
      </c>
      <c r="H459" s="27"/>
      <c r="I459" s="48"/>
      <c r="L459" s="189" t="s">
        <v>80</v>
      </c>
      <c r="M459" s="192" t="s">
        <v>77</v>
      </c>
      <c r="N459" s="27" t="s">
        <v>2</v>
      </c>
      <c r="O459" s="28">
        <v>1</v>
      </c>
      <c r="P459" s="28">
        <v>25</v>
      </c>
      <c r="Q459" s="27" t="s">
        <v>66</v>
      </c>
      <c r="R459" s="27"/>
      <c r="S459" s="48"/>
    </row>
    <row r="460" spans="2:19" x14ac:dyDescent="0.25">
      <c r="B460" s="190"/>
      <c r="C460" s="193"/>
      <c r="D460" s="27" t="s">
        <v>3</v>
      </c>
      <c r="E460" s="28">
        <v>2</v>
      </c>
      <c r="F460" s="28">
        <v>26</v>
      </c>
      <c r="G460" s="27" t="s">
        <v>66</v>
      </c>
      <c r="H460" s="27"/>
      <c r="I460" s="48"/>
      <c r="L460" s="190"/>
      <c r="M460" s="193"/>
      <c r="N460" s="27" t="s">
        <v>3</v>
      </c>
      <c r="O460" s="28">
        <v>2</v>
      </c>
      <c r="P460" s="28">
        <v>26</v>
      </c>
      <c r="Q460" s="27" t="s">
        <v>66</v>
      </c>
      <c r="R460" s="27"/>
      <c r="S460" s="48"/>
    </row>
    <row r="461" spans="2:19" x14ac:dyDescent="0.25">
      <c r="B461" s="190"/>
      <c r="C461" s="193"/>
      <c r="D461" s="27" t="s">
        <v>80</v>
      </c>
      <c r="E461" s="28">
        <v>3</v>
      </c>
      <c r="F461" s="28">
        <v>27</v>
      </c>
      <c r="G461" s="27" t="s">
        <v>66</v>
      </c>
      <c r="H461" s="27"/>
      <c r="I461" s="48"/>
      <c r="L461" s="190"/>
      <c r="M461" s="193"/>
      <c r="N461" s="27" t="s">
        <v>80</v>
      </c>
      <c r="O461" s="28">
        <v>3</v>
      </c>
      <c r="P461" s="28">
        <v>27</v>
      </c>
      <c r="Q461" s="27" t="s">
        <v>66</v>
      </c>
      <c r="R461" s="27"/>
      <c r="S461" s="48"/>
    </row>
    <row r="462" spans="2:19" x14ac:dyDescent="0.25">
      <c r="B462" s="190"/>
      <c r="C462" s="193"/>
      <c r="D462" s="27" t="s">
        <v>81</v>
      </c>
      <c r="E462" s="28">
        <v>4</v>
      </c>
      <c r="F462" s="28">
        <v>28</v>
      </c>
      <c r="G462" s="27" t="s">
        <v>66</v>
      </c>
      <c r="H462" s="27"/>
      <c r="I462" s="48"/>
      <c r="L462" s="190"/>
      <c r="M462" s="193"/>
      <c r="N462" s="27" t="s">
        <v>81</v>
      </c>
      <c r="O462" s="28">
        <v>4</v>
      </c>
      <c r="P462" s="28">
        <v>28</v>
      </c>
      <c r="Q462" s="27" t="s">
        <v>66</v>
      </c>
      <c r="R462" s="27"/>
      <c r="S462" s="48"/>
    </row>
    <row r="463" spans="2:19" x14ac:dyDescent="0.25">
      <c r="B463" s="190"/>
      <c r="C463" s="193"/>
      <c r="D463" s="27" t="s">
        <v>82</v>
      </c>
      <c r="E463" s="28">
        <v>5</v>
      </c>
      <c r="F463" s="28">
        <v>29</v>
      </c>
      <c r="G463" s="27" t="s">
        <v>66</v>
      </c>
      <c r="H463" s="27"/>
      <c r="I463" s="48"/>
      <c r="L463" s="190"/>
      <c r="M463" s="193"/>
      <c r="N463" s="27" t="s">
        <v>82</v>
      </c>
      <c r="O463" s="28">
        <v>5</v>
      </c>
      <c r="P463" s="28">
        <v>29</v>
      </c>
      <c r="Q463" s="27" t="s">
        <v>66</v>
      </c>
      <c r="R463" s="27"/>
      <c r="S463" s="48"/>
    </row>
    <row r="464" spans="2:19" ht="15.75" thickBot="1" x14ac:dyDescent="0.3">
      <c r="B464" s="190"/>
      <c r="C464" s="194"/>
      <c r="D464" s="27" t="s">
        <v>83</v>
      </c>
      <c r="E464" s="28">
        <v>6</v>
      </c>
      <c r="F464" s="28">
        <v>30</v>
      </c>
      <c r="G464" s="27" t="s">
        <v>66</v>
      </c>
      <c r="H464" s="27"/>
      <c r="I464" s="48"/>
      <c r="L464" s="190"/>
      <c r="M464" s="194"/>
      <c r="N464" s="27" t="s">
        <v>83</v>
      </c>
      <c r="O464" s="28">
        <v>6</v>
      </c>
      <c r="P464" s="28">
        <v>30</v>
      </c>
      <c r="Q464" s="27" t="s">
        <v>66</v>
      </c>
      <c r="R464" s="27"/>
      <c r="S464" s="48"/>
    </row>
    <row r="465" spans="2:19" x14ac:dyDescent="0.25">
      <c r="B465" s="190"/>
      <c r="C465" s="192" t="s">
        <v>84</v>
      </c>
      <c r="D465" s="27" t="s">
        <v>2</v>
      </c>
      <c r="E465" s="28">
        <v>1</v>
      </c>
      <c r="F465" s="28">
        <v>31</v>
      </c>
      <c r="G465" s="27" t="s">
        <v>66</v>
      </c>
      <c r="H465" s="27"/>
      <c r="I465" s="48"/>
      <c r="L465" s="190"/>
      <c r="M465" s="192" t="s">
        <v>84</v>
      </c>
      <c r="N465" s="27" t="s">
        <v>2</v>
      </c>
      <c r="O465" s="28">
        <v>1</v>
      </c>
      <c r="P465" s="28">
        <v>31</v>
      </c>
      <c r="Q465" s="27" t="s">
        <v>66</v>
      </c>
      <c r="R465" s="27"/>
      <c r="S465" s="48"/>
    </row>
    <row r="466" spans="2:19" x14ac:dyDescent="0.25">
      <c r="B466" s="190"/>
      <c r="C466" s="193"/>
      <c r="D466" s="27" t="s">
        <v>3</v>
      </c>
      <c r="E466" s="28">
        <v>2</v>
      </c>
      <c r="F466" s="28">
        <v>32</v>
      </c>
      <c r="G466" s="27" t="s">
        <v>66</v>
      </c>
      <c r="H466" s="27"/>
      <c r="I466" s="48"/>
      <c r="L466" s="190"/>
      <c r="M466" s="193"/>
      <c r="N466" s="27" t="s">
        <v>3</v>
      </c>
      <c r="O466" s="28">
        <v>2</v>
      </c>
      <c r="P466" s="28">
        <v>32</v>
      </c>
      <c r="Q466" s="27" t="s">
        <v>66</v>
      </c>
      <c r="R466" s="27"/>
      <c r="S466" s="48"/>
    </row>
    <row r="467" spans="2:19" x14ac:dyDescent="0.25">
      <c r="B467" s="190"/>
      <c r="C467" s="193"/>
      <c r="D467" s="27" t="s">
        <v>80</v>
      </c>
      <c r="E467" s="28">
        <v>3</v>
      </c>
      <c r="F467" s="28">
        <v>33</v>
      </c>
      <c r="G467" s="27" t="s">
        <v>66</v>
      </c>
      <c r="H467" s="27"/>
      <c r="I467" s="48"/>
      <c r="L467" s="190"/>
      <c r="M467" s="193"/>
      <c r="N467" s="27" t="s">
        <v>80</v>
      </c>
      <c r="O467" s="28">
        <v>3</v>
      </c>
      <c r="P467" s="28">
        <v>33</v>
      </c>
      <c r="Q467" s="27" t="s">
        <v>66</v>
      </c>
      <c r="R467" s="27"/>
      <c r="S467" s="48"/>
    </row>
    <row r="468" spans="2:19" x14ac:dyDescent="0.25">
      <c r="B468" s="190"/>
      <c r="C468" s="193"/>
      <c r="D468" s="27" t="s">
        <v>81</v>
      </c>
      <c r="E468" s="28">
        <v>4</v>
      </c>
      <c r="F468" s="28">
        <v>34</v>
      </c>
      <c r="G468" s="27" t="s">
        <v>66</v>
      </c>
      <c r="H468" s="27"/>
      <c r="I468" s="48"/>
      <c r="L468" s="190"/>
      <c r="M468" s="193"/>
      <c r="N468" s="27" t="s">
        <v>81</v>
      </c>
      <c r="O468" s="28">
        <v>4</v>
      </c>
      <c r="P468" s="28">
        <v>34</v>
      </c>
      <c r="Q468" s="27" t="s">
        <v>66</v>
      </c>
      <c r="R468" s="27"/>
      <c r="S468" s="48"/>
    </row>
    <row r="469" spans="2:19" x14ac:dyDescent="0.25">
      <c r="B469" s="190"/>
      <c r="C469" s="193"/>
      <c r="D469" s="27" t="s">
        <v>82</v>
      </c>
      <c r="E469" s="28">
        <v>5</v>
      </c>
      <c r="F469" s="28">
        <v>35</v>
      </c>
      <c r="G469" s="27" t="s">
        <v>66</v>
      </c>
      <c r="H469" s="27"/>
      <c r="I469" s="48"/>
      <c r="L469" s="190"/>
      <c r="M469" s="193"/>
      <c r="N469" s="27" t="s">
        <v>82</v>
      </c>
      <c r="O469" s="28">
        <v>5</v>
      </c>
      <c r="P469" s="28">
        <v>35</v>
      </c>
      <c r="Q469" s="27" t="s">
        <v>66</v>
      </c>
      <c r="R469" s="27"/>
      <c r="S469" s="48"/>
    </row>
    <row r="470" spans="2:19" ht="15.75" thickBot="1" x14ac:dyDescent="0.3">
      <c r="B470" s="191"/>
      <c r="C470" s="194"/>
      <c r="D470" s="27" t="s">
        <v>83</v>
      </c>
      <c r="E470" s="28">
        <v>6</v>
      </c>
      <c r="F470" s="28">
        <v>36</v>
      </c>
      <c r="G470" s="27" t="s">
        <v>66</v>
      </c>
      <c r="H470" s="27"/>
      <c r="I470" s="48"/>
      <c r="L470" s="191"/>
      <c r="M470" s="194"/>
      <c r="N470" s="27" t="s">
        <v>83</v>
      </c>
      <c r="O470" s="28">
        <v>6</v>
      </c>
      <c r="P470" s="28">
        <v>36</v>
      </c>
      <c r="Q470" s="27" t="s">
        <v>66</v>
      </c>
      <c r="R470" s="27"/>
      <c r="S470" s="48"/>
    </row>
    <row r="471" spans="2:19" x14ac:dyDescent="0.25">
      <c r="B471" s="183" t="s">
        <v>81</v>
      </c>
      <c r="C471" s="186" t="s">
        <v>77</v>
      </c>
      <c r="D471" s="29" t="s">
        <v>2</v>
      </c>
      <c r="E471" s="30">
        <v>1</v>
      </c>
      <c r="F471" s="30">
        <v>37</v>
      </c>
      <c r="G471" s="29" t="s">
        <v>66</v>
      </c>
      <c r="H471" s="29"/>
      <c r="I471" s="49"/>
      <c r="L471" s="183" t="s">
        <v>81</v>
      </c>
      <c r="M471" s="186" t="s">
        <v>77</v>
      </c>
      <c r="N471" s="29" t="s">
        <v>2</v>
      </c>
      <c r="O471" s="30">
        <v>1</v>
      </c>
      <c r="P471" s="30">
        <v>37</v>
      </c>
      <c r="Q471" s="29" t="s">
        <v>66</v>
      </c>
      <c r="R471" s="29"/>
      <c r="S471" s="49"/>
    </row>
    <row r="472" spans="2:19" x14ac:dyDescent="0.25">
      <c r="B472" s="184"/>
      <c r="C472" s="187"/>
      <c r="D472" s="29" t="s">
        <v>3</v>
      </c>
      <c r="E472" s="30">
        <v>2</v>
      </c>
      <c r="F472" s="30">
        <v>38</v>
      </c>
      <c r="G472" s="29" t="s">
        <v>66</v>
      </c>
      <c r="H472" s="29"/>
      <c r="I472" s="49"/>
      <c r="L472" s="184"/>
      <c r="M472" s="187"/>
      <c r="N472" s="29" t="s">
        <v>3</v>
      </c>
      <c r="O472" s="30">
        <v>2</v>
      </c>
      <c r="P472" s="30">
        <v>38</v>
      </c>
      <c r="Q472" s="29" t="s">
        <v>66</v>
      </c>
      <c r="R472" s="29"/>
      <c r="S472" s="49"/>
    </row>
    <row r="473" spans="2:19" x14ac:dyDescent="0.25">
      <c r="B473" s="184"/>
      <c r="C473" s="187"/>
      <c r="D473" s="29" t="s">
        <v>80</v>
      </c>
      <c r="E473" s="30">
        <v>3</v>
      </c>
      <c r="F473" s="30">
        <v>39</v>
      </c>
      <c r="G473" s="29" t="s">
        <v>66</v>
      </c>
      <c r="H473" s="29"/>
      <c r="I473" s="49"/>
      <c r="L473" s="184"/>
      <c r="M473" s="187"/>
      <c r="N473" s="29" t="s">
        <v>80</v>
      </c>
      <c r="O473" s="30">
        <v>3</v>
      </c>
      <c r="P473" s="30">
        <v>39</v>
      </c>
      <c r="Q473" s="29" t="s">
        <v>66</v>
      </c>
      <c r="R473" s="29"/>
      <c r="S473" s="49"/>
    </row>
    <row r="474" spans="2:19" x14ac:dyDescent="0.25">
      <c r="B474" s="184"/>
      <c r="C474" s="187"/>
      <c r="D474" s="29" t="s">
        <v>81</v>
      </c>
      <c r="E474" s="30">
        <v>4</v>
      </c>
      <c r="F474" s="30">
        <v>40</v>
      </c>
      <c r="G474" s="29" t="s">
        <v>66</v>
      </c>
      <c r="H474" s="29"/>
      <c r="I474" s="49"/>
      <c r="L474" s="184"/>
      <c r="M474" s="187"/>
      <c r="N474" s="29" t="s">
        <v>81</v>
      </c>
      <c r="O474" s="30">
        <v>4</v>
      </c>
      <c r="P474" s="30">
        <v>40</v>
      </c>
      <c r="Q474" s="29" t="s">
        <v>66</v>
      </c>
      <c r="R474" s="29"/>
      <c r="S474" s="49"/>
    </row>
    <row r="475" spans="2:19" x14ac:dyDescent="0.25">
      <c r="B475" s="184"/>
      <c r="C475" s="187"/>
      <c r="D475" s="29" t="s">
        <v>82</v>
      </c>
      <c r="E475" s="30">
        <v>5</v>
      </c>
      <c r="F475" s="30">
        <v>41</v>
      </c>
      <c r="G475" s="29" t="s">
        <v>66</v>
      </c>
      <c r="H475" s="29"/>
      <c r="I475" s="49"/>
      <c r="L475" s="184"/>
      <c r="M475" s="187"/>
      <c r="N475" s="29" t="s">
        <v>82</v>
      </c>
      <c r="O475" s="30">
        <v>5</v>
      </c>
      <c r="P475" s="30">
        <v>41</v>
      </c>
      <c r="Q475" s="29" t="s">
        <v>66</v>
      </c>
      <c r="R475" s="29"/>
      <c r="S475" s="49"/>
    </row>
    <row r="476" spans="2:19" ht="15.75" thickBot="1" x14ac:dyDescent="0.3">
      <c r="B476" s="184"/>
      <c r="C476" s="188"/>
      <c r="D476" s="29" t="s">
        <v>83</v>
      </c>
      <c r="E476" s="30">
        <v>6</v>
      </c>
      <c r="F476" s="30">
        <v>42</v>
      </c>
      <c r="G476" s="29" t="s">
        <v>66</v>
      </c>
      <c r="H476" s="29"/>
      <c r="I476" s="49"/>
      <c r="L476" s="184"/>
      <c r="M476" s="188"/>
      <c r="N476" s="29" t="s">
        <v>83</v>
      </c>
      <c r="O476" s="30">
        <v>6</v>
      </c>
      <c r="P476" s="30">
        <v>42</v>
      </c>
      <c r="Q476" s="29" t="s">
        <v>66</v>
      </c>
      <c r="R476" s="29"/>
      <c r="S476" s="49"/>
    </row>
    <row r="477" spans="2:19" x14ac:dyDescent="0.25">
      <c r="B477" s="184"/>
      <c r="C477" s="186" t="s">
        <v>84</v>
      </c>
      <c r="D477" s="29" t="s">
        <v>2</v>
      </c>
      <c r="E477" s="30">
        <v>1</v>
      </c>
      <c r="F477" s="30">
        <v>43</v>
      </c>
      <c r="G477" s="29" t="s">
        <v>66</v>
      </c>
      <c r="H477" s="29"/>
      <c r="I477" s="49"/>
      <c r="L477" s="184"/>
      <c r="M477" s="186" t="s">
        <v>84</v>
      </c>
      <c r="N477" s="29" t="s">
        <v>2</v>
      </c>
      <c r="O477" s="30">
        <v>1</v>
      </c>
      <c r="P477" s="30">
        <v>43</v>
      </c>
      <c r="Q477" s="29" t="s">
        <v>66</v>
      </c>
      <c r="R477" s="29"/>
      <c r="S477" s="49"/>
    </row>
    <row r="478" spans="2:19" x14ac:dyDescent="0.25">
      <c r="B478" s="184"/>
      <c r="C478" s="187"/>
      <c r="D478" s="29" t="s">
        <v>3</v>
      </c>
      <c r="E478" s="30">
        <v>2</v>
      </c>
      <c r="F478" s="30">
        <v>44</v>
      </c>
      <c r="G478" s="29" t="s">
        <v>66</v>
      </c>
      <c r="H478" s="29"/>
      <c r="I478" s="49"/>
      <c r="L478" s="184"/>
      <c r="M478" s="187"/>
      <c r="N478" s="29" t="s">
        <v>3</v>
      </c>
      <c r="O478" s="30">
        <v>2</v>
      </c>
      <c r="P478" s="30">
        <v>44</v>
      </c>
      <c r="Q478" s="29" t="s">
        <v>66</v>
      </c>
      <c r="R478" s="29"/>
      <c r="S478" s="49"/>
    </row>
    <row r="479" spans="2:19" x14ac:dyDescent="0.25">
      <c r="B479" s="184"/>
      <c r="C479" s="187"/>
      <c r="D479" s="29" t="s">
        <v>80</v>
      </c>
      <c r="E479" s="30">
        <v>3</v>
      </c>
      <c r="F479" s="30">
        <v>45</v>
      </c>
      <c r="G479" s="29" t="s">
        <v>66</v>
      </c>
      <c r="H479" s="29"/>
      <c r="I479" s="49"/>
      <c r="L479" s="184"/>
      <c r="M479" s="187"/>
      <c r="N479" s="29" t="s">
        <v>80</v>
      </c>
      <c r="O479" s="30">
        <v>3</v>
      </c>
      <c r="P479" s="30">
        <v>45</v>
      </c>
      <c r="Q479" s="29" t="s">
        <v>66</v>
      </c>
      <c r="R479" s="29"/>
      <c r="S479" s="49"/>
    </row>
    <row r="480" spans="2:19" x14ac:dyDescent="0.25">
      <c r="B480" s="184"/>
      <c r="C480" s="187"/>
      <c r="D480" s="29" t="s">
        <v>81</v>
      </c>
      <c r="E480" s="30">
        <v>4</v>
      </c>
      <c r="F480" s="30">
        <v>46</v>
      </c>
      <c r="G480" s="29" t="s">
        <v>66</v>
      </c>
      <c r="H480" s="29"/>
      <c r="I480" s="49"/>
      <c r="L480" s="184"/>
      <c r="M480" s="187"/>
      <c r="N480" s="29" t="s">
        <v>81</v>
      </c>
      <c r="O480" s="30">
        <v>4</v>
      </c>
      <c r="P480" s="30">
        <v>46</v>
      </c>
      <c r="Q480" s="29" t="s">
        <v>66</v>
      </c>
      <c r="R480" s="29"/>
      <c r="S480" s="49"/>
    </row>
    <row r="481" spans="2:19" x14ac:dyDescent="0.25">
      <c r="B481" s="184"/>
      <c r="C481" s="187"/>
      <c r="D481" s="29" t="s">
        <v>82</v>
      </c>
      <c r="E481" s="30">
        <v>5</v>
      </c>
      <c r="F481" s="30">
        <v>47</v>
      </c>
      <c r="G481" s="29" t="s">
        <v>66</v>
      </c>
      <c r="H481" s="29"/>
      <c r="I481" s="49"/>
      <c r="L481" s="184"/>
      <c r="M481" s="187"/>
      <c r="N481" s="29" t="s">
        <v>82</v>
      </c>
      <c r="O481" s="30">
        <v>5</v>
      </c>
      <c r="P481" s="30">
        <v>47</v>
      </c>
      <c r="Q481" s="29" t="s">
        <v>66</v>
      </c>
      <c r="R481" s="29"/>
      <c r="S481" s="49"/>
    </row>
    <row r="482" spans="2:19" ht="15.75" thickBot="1" x14ac:dyDescent="0.3">
      <c r="B482" s="185"/>
      <c r="C482" s="188"/>
      <c r="D482" s="29" t="s">
        <v>83</v>
      </c>
      <c r="E482" s="30">
        <v>6</v>
      </c>
      <c r="F482" s="30">
        <v>48</v>
      </c>
      <c r="G482" s="29" t="s">
        <v>66</v>
      </c>
      <c r="H482" s="29"/>
      <c r="I482" s="49"/>
      <c r="L482" s="185"/>
      <c r="M482" s="188"/>
      <c r="N482" s="29" t="s">
        <v>83</v>
      </c>
      <c r="O482" s="30">
        <v>6</v>
      </c>
      <c r="P482" s="30">
        <v>48</v>
      </c>
      <c r="Q482" s="29" t="s">
        <v>66</v>
      </c>
      <c r="R482" s="29"/>
      <c r="S482" s="49"/>
    </row>
    <row r="483" spans="2:19" ht="15.75" thickBot="1" x14ac:dyDescent="0.3"/>
    <row r="484" spans="2:19" ht="15.75" thickBot="1" x14ac:dyDescent="0.3">
      <c r="B484" s="171" t="s">
        <v>362</v>
      </c>
      <c r="C484" s="172"/>
      <c r="D484" s="172"/>
      <c r="E484" s="172"/>
      <c r="F484" s="172"/>
      <c r="G484" s="172"/>
      <c r="H484" s="172"/>
      <c r="I484" s="173"/>
      <c r="L484" s="171" t="s">
        <v>363</v>
      </c>
      <c r="M484" s="172"/>
      <c r="N484" s="172"/>
      <c r="O484" s="172"/>
      <c r="P484" s="172"/>
      <c r="Q484" s="172"/>
      <c r="R484" s="172"/>
      <c r="S484" s="173"/>
    </row>
    <row r="486" spans="2:19" ht="26.25" thickBot="1" x14ac:dyDescent="0.3">
      <c r="B486" s="15" t="s">
        <v>70</v>
      </c>
      <c r="C486" s="16" t="s">
        <v>71</v>
      </c>
      <c r="D486" s="15" t="s">
        <v>72</v>
      </c>
      <c r="E486" s="17" t="s">
        <v>73</v>
      </c>
      <c r="F486" s="17" t="s">
        <v>74</v>
      </c>
      <c r="G486" s="15" t="s">
        <v>75</v>
      </c>
      <c r="H486" s="15" t="s">
        <v>55</v>
      </c>
      <c r="I486" s="15" t="s">
        <v>76</v>
      </c>
      <c r="L486" s="15" t="s">
        <v>70</v>
      </c>
      <c r="M486" s="16" t="s">
        <v>71</v>
      </c>
      <c r="N486" s="15" t="s">
        <v>72</v>
      </c>
      <c r="O486" s="17" t="s">
        <v>73</v>
      </c>
      <c r="P486" s="17" t="s">
        <v>74</v>
      </c>
      <c r="Q486" s="15" t="s">
        <v>75</v>
      </c>
      <c r="R486" s="15" t="s">
        <v>55</v>
      </c>
      <c r="S486" s="15" t="s">
        <v>76</v>
      </c>
    </row>
    <row r="487" spans="2:19" x14ac:dyDescent="0.25">
      <c r="B487" s="174" t="s">
        <v>2</v>
      </c>
      <c r="C487" s="168" t="s">
        <v>77</v>
      </c>
      <c r="D487" s="18" t="s">
        <v>2</v>
      </c>
      <c r="E487" s="19">
        <v>1</v>
      </c>
      <c r="F487" s="19">
        <v>1</v>
      </c>
      <c r="G487" s="18" t="s">
        <v>78</v>
      </c>
      <c r="H487" s="156" t="s">
        <v>141</v>
      </c>
      <c r="I487" s="165" t="s">
        <v>200</v>
      </c>
      <c r="L487" s="174" t="s">
        <v>2</v>
      </c>
      <c r="M487" s="168" t="s">
        <v>77</v>
      </c>
      <c r="N487" s="18" t="s">
        <v>2</v>
      </c>
      <c r="O487" s="19">
        <v>1</v>
      </c>
      <c r="P487" s="19">
        <v>1</v>
      </c>
      <c r="Q487" s="18" t="s">
        <v>78</v>
      </c>
      <c r="R487" s="156" t="s">
        <v>141</v>
      </c>
      <c r="S487" s="165" t="s">
        <v>156</v>
      </c>
    </row>
    <row r="488" spans="2:19" x14ac:dyDescent="0.25">
      <c r="B488" s="175"/>
      <c r="C488" s="169"/>
      <c r="D488" s="18" t="s">
        <v>3</v>
      </c>
      <c r="E488" s="19">
        <v>2</v>
      </c>
      <c r="F488" s="19">
        <v>2</v>
      </c>
      <c r="G488" s="18" t="s">
        <v>78</v>
      </c>
      <c r="H488" s="157"/>
      <c r="I488" s="166"/>
      <c r="L488" s="175"/>
      <c r="M488" s="169"/>
      <c r="N488" s="18" t="s">
        <v>3</v>
      </c>
      <c r="O488" s="19">
        <v>2</v>
      </c>
      <c r="P488" s="19">
        <v>2</v>
      </c>
      <c r="Q488" s="18" t="s">
        <v>78</v>
      </c>
      <c r="R488" s="157"/>
      <c r="S488" s="166"/>
    </row>
    <row r="489" spans="2:19" x14ac:dyDescent="0.25">
      <c r="B489" s="175"/>
      <c r="C489" s="169"/>
      <c r="D489" s="18" t="s">
        <v>80</v>
      </c>
      <c r="E489" s="20">
        <v>3</v>
      </c>
      <c r="F489" s="20">
        <v>3</v>
      </c>
      <c r="G489" s="18" t="s">
        <v>66</v>
      </c>
      <c r="H489" s="157"/>
      <c r="I489" s="166"/>
      <c r="L489" s="175"/>
      <c r="M489" s="169"/>
      <c r="N489" s="18" t="s">
        <v>80</v>
      </c>
      <c r="O489" s="20">
        <v>3</v>
      </c>
      <c r="P489" s="20">
        <v>3</v>
      </c>
      <c r="Q489" s="18" t="s">
        <v>66</v>
      </c>
      <c r="R489" s="157"/>
      <c r="S489" s="166"/>
    </row>
    <row r="490" spans="2:19" x14ac:dyDescent="0.25">
      <c r="B490" s="175"/>
      <c r="C490" s="169"/>
      <c r="D490" s="18" t="s">
        <v>81</v>
      </c>
      <c r="E490" s="20">
        <v>4</v>
      </c>
      <c r="F490" s="20">
        <v>4</v>
      </c>
      <c r="G490" s="18" t="s">
        <v>66</v>
      </c>
      <c r="H490" s="157"/>
      <c r="I490" s="166"/>
      <c r="L490" s="175"/>
      <c r="M490" s="169"/>
      <c r="N490" s="18" t="s">
        <v>81</v>
      </c>
      <c r="O490" s="20">
        <v>4</v>
      </c>
      <c r="P490" s="20">
        <v>4</v>
      </c>
      <c r="Q490" s="18" t="s">
        <v>66</v>
      </c>
      <c r="R490" s="157"/>
      <c r="S490" s="166"/>
    </row>
    <row r="491" spans="2:19" x14ac:dyDescent="0.25">
      <c r="B491" s="175"/>
      <c r="C491" s="169"/>
      <c r="D491" s="18" t="s">
        <v>82</v>
      </c>
      <c r="E491" s="20">
        <v>5</v>
      </c>
      <c r="F491" s="20">
        <v>5</v>
      </c>
      <c r="G491" s="18" t="s">
        <v>66</v>
      </c>
      <c r="H491" s="157"/>
      <c r="I491" s="166"/>
      <c r="L491" s="175"/>
      <c r="M491" s="169"/>
      <c r="N491" s="18" t="s">
        <v>82</v>
      </c>
      <c r="O491" s="20">
        <v>5</v>
      </c>
      <c r="P491" s="20">
        <v>5</v>
      </c>
      <c r="Q491" s="18" t="s">
        <v>66</v>
      </c>
      <c r="R491" s="157"/>
      <c r="S491" s="166"/>
    </row>
    <row r="492" spans="2:19" ht="15.75" thickBot="1" x14ac:dyDescent="0.3">
      <c r="B492" s="175"/>
      <c r="C492" s="170"/>
      <c r="D492" s="18" t="s">
        <v>83</v>
      </c>
      <c r="E492" s="20">
        <v>6</v>
      </c>
      <c r="F492" s="20">
        <v>6</v>
      </c>
      <c r="G492" s="18" t="s">
        <v>66</v>
      </c>
      <c r="H492" s="158"/>
      <c r="I492" s="167"/>
      <c r="L492" s="175"/>
      <c r="M492" s="170"/>
      <c r="N492" s="18" t="s">
        <v>83</v>
      </c>
      <c r="O492" s="20">
        <v>6</v>
      </c>
      <c r="P492" s="20">
        <v>6</v>
      </c>
      <c r="Q492" s="18" t="s">
        <v>66</v>
      </c>
      <c r="R492" s="158"/>
      <c r="S492" s="167"/>
    </row>
    <row r="493" spans="2:19" x14ac:dyDescent="0.25">
      <c r="B493" s="175"/>
      <c r="C493" s="168" t="s">
        <v>84</v>
      </c>
      <c r="D493" s="18" t="s">
        <v>2</v>
      </c>
      <c r="E493" s="19">
        <v>1</v>
      </c>
      <c r="F493" s="19">
        <v>7</v>
      </c>
      <c r="G493" s="18" t="s">
        <v>66</v>
      </c>
      <c r="H493" s="32"/>
      <c r="I493" s="50"/>
      <c r="L493" s="175"/>
      <c r="M493" s="168" t="s">
        <v>84</v>
      </c>
      <c r="N493" s="18" t="s">
        <v>2</v>
      </c>
      <c r="O493" s="19">
        <v>1</v>
      </c>
      <c r="P493" s="19">
        <v>7</v>
      </c>
      <c r="Q493" s="18" t="s">
        <v>66</v>
      </c>
      <c r="R493" s="32"/>
      <c r="S493" s="50"/>
    </row>
    <row r="494" spans="2:19" x14ac:dyDescent="0.25">
      <c r="B494" s="175"/>
      <c r="C494" s="169"/>
      <c r="D494" s="18" t="s">
        <v>3</v>
      </c>
      <c r="E494" s="19">
        <v>2</v>
      </c>
      <c r="F494" s="19">
        <v>8</v>
      </c>
      <c r="G494" s="18" t="s">
        <v>66</v>
      </c>
      <c r="H494" s="32"/>
      <c r="I494" s="50"/>
      <c r="L494" s="175"/>
      <c r="M494" s="169"/>
      <c r="N494" s="18" t="s">
        <v>3</v>
      </c>
      <c r="O494" s="19">
        <v>2</v>
      </c>
      <c r="P494" s="19">
        <v>8</v>
      </c>
      <c r="Q494" s="18" t="s">
        <v>66</v>
      </c>
      <c r="R494" s="32"/>
      <c r="S494" s="50"/>
    </row>
    <row r="495" spans="2:19" x14ac:dyDescent="0.25">
      <c r="B495" s="175"/>
      <c r="C495" s="169"/>
      <c r="D495" s="18" t="s">
        <v>80</v>
      </c>
      <c r="E495" s="20">
        <v>3</v>
      </c>
      <c r="F495" s="20">
        <v>9</v>
      </c>
      <c r="G495" s="18" t="s">
        <v>66</v>
      </c>
      <c r="H495" s="32"/>
      <c r="I495" s="50"/>
      <c r="L495" s="175"/>
      <c r="M495" s="169"/>
      <c r="N495" s="18" t="s">
        <v>80</v>
      </c>
      <c r="O495" s="20">
        <v>3</v>
      </c>
      <c r="P495" s="20">
        <v>9</v>
      </c>
      <c r="Q495" s="18" t="s">
        <v>66</v>
      </c>
      <c r="R495" s="32"/>
      <c r="S495" s="50"/>
    </row>
    <row r="496" spans="2:19" x14ac:dyDescent="0.25">
      <c r="B496" s="175"/>
      <c r="C496" s="169"/>
      <c r="D496" s="18" t="s">
        <v>81</v>
      </c>
      <c r="E496" s="20">
        <v>4</v>
      </c>
      <c r="F496" s="20">
        <v>10</v>
      </c>
      <c r="G496" s="18" t="s">
        <v>66</v>
      </c>
      <c r="H496" s="32"/>
      <c r="I496" s="50"/>
      <c r="L496" s="175"/>
      <c r="M496" s="169"/>
      <c r="N496" s="18" t="s">
        <v>81</v>
      </c>
      <c r="O496" s="20">
        <v>4</v>
      </c>
      <c r="P496" s="20">
        <v>10</v>
      </c>
      <c r="Q496" s="18" t="s">
        <v>66</v>
      </c>
      <c r="R496" s="32"/>
      <c r="S496" s="50"/>
    </row>
    <row r="497" spans="2:19" x14ac:dyDescent="0.25">
      <c r="B497" s="175"/>
      <c r="C497" s="169"/>
      <c r="D497" s="18" t="s">
        <v>82</v>
      </c>
      <c r="E497" s="20">
        <v>5</v>
      </c>
      <c r="F497" s="20">
        <v>11</v>
      </c>
      <c r="G497" s="18" t="s">
        <v>66</v>
      </c>
      <c r="H497" s="32"/>
      <c r="I497" s="50"/>
      <c r="L497" s="175"/>
      <c r="M497" s="169"/>
      <c r="N497" s="18" t="s">
        <v>82</v>
      </c>
      <c r="O497" s="20">
        <v>5</v>
      </c>
      <c r="P497" s="20">
        <v>11</v>
      </c>
      <c r="Q497" s="18" t="s">
        <v>66</v>
      </c>
      <c r="R497" s="32"/>
      <c r="S497" s="50"/>
    </row>
    <row r="498" spans="2:19" ht="15.75" thickBot="1" x14ac:dyDescent="0.3">
      <c r="B498" s="176"/>
      <c r="C498" s="170"/>
      <c r="D498" s="18" t="s">
        <v>83</v>
      </c>
      <c r="E498" s="20">
        <v>6</v>
      </c>
      <c r="F498" s="20">
        <v>12</v>
      </c>
      <c r="G498" s="18" t="s">
        <v>66</v>
      </c>
      <c r="H498" s="32"/>
      <c r="I498" s="50"/>
      <c r="L498" s="176"/>
      <c r="M498" s="170"/>
      <c r="N498" s="18" t="s">
        <v>83</v>
      </c>
      <c r="O498" s="20">
        <v>6</v>
      </c>
      <c r="P498" s="20">
        <v>12</v>
      </c>
      <c r="Q498" s="18" t="s">
        <v>66</v>
      </c>
      <c r="R498" s="32"/>
      <c r="S498" s="50"/>
    </row>
    <row r="499" spans="2:19" x14ac:dyDescent="0.25">
      <c r="B499" s="180" t="s">
        <v>3</v>
      </c>
      <c r="C499" s="177" t="s">
        <v>77</v>
      </c>
      <c r="D499" s="21" t="s">
        <v>2</v>
      </c>
      <c r="E499" s="22">
        <v>1</v>
      </c>
      <c r="F499" s="22">
        <v>13</v>
      </c>
      <c r="G499" s="21" t="s">
        <v>66</v>
      </c>
      <c r="H499" s="21"/>
      <c r="I499" s="51"/>
      <c r="L499" s="180" t="s">
        <v>3</v>
      </c>
      <c r="M499" s="177" t="s">
        <v>77</v>
      </c>
      <c r="N499" s="21" t="s">
        <v>2</v>
      </c>
      <c r="O499" s="22">
        <v>1</v>
      </c>
      <c r="P499" s="22">
        <v>13</v>
      </c>
      <c r="Q499" s="21" t="s">
        <v>66</v>
      </c>
      <c r="R499" s="21"/>
      <c r="S499" s="51"/>
    </row>
    <row r="500" spans="2:19" x14ac:dyDescent="0.25">
      <c r="B500" s="181"/>
      <c r="C500" s="178"/>
      <c r="D500" s="23" t="s">
        <v>3</v>
      </c>
      <c r="E500" s="24">
        <v>2</v>
      </c>
      <c r="F500" s="24">
        <v>14</v>
      </c>
      <c r="G500" s="23" t="s">
        <v>66</v>
      </c>
      <c r="H500" s="23"/>
      <c r="I500" s="47"/>
      <c r="L500" s="181"/>
      <c r="M500" s="178"/>
      <c r="N500" s="23" t="s">
        <v>3</v>
      </c>
      <c r="O500" s="24">
        <v>2</v>
      </c>
      <c r="P500" s="24">
        <v>14</v>
      </c>
      <c r="Q500" s="23" t="s">
        <v>66</v>
      </c>
      <c r="R500" s="23"/>
      <c r="S500" s="47"/>
    </row>
    <row r="501" spans="2:19" x14ac:dyDescent="0.25">
      <c r="B501" s="181"/>
      <c r="C501" s="178"/>
      <c r="D501" s="23" t="s">
        <v>80</v>
      </c>
      <c r="E501" s="24">
        <v>3</v>
      </c>
      <c r="F501" s="24">
        <v>15</v>
      </c>
      <c r="G501" s="23" t="s">
        <v>66</v>
      </c>
      <c r="H501" s="23"/>
      <c r="I501" s="47"/>
      <c r="L501" s="181"/>
      <c r="M501" s="178"/>
      <c r="N501" s="23" t="s">
        <v>80</v>
      </c>
      <c r="O501" s="24">
        <v>3</v>
      </c>
      <c r="P501" s="24">
        <v>15</v>
      </c>
      <c r="Q501" s="23" t="s">
        <v>66</v>
      </c>
      <c r="R501" s="23"/>
      <c r="S501" s="47"/>
    </row>
    <row r="502" spans="2:19" x14ac:dyDescent="0.25">
      <c r="B502" s="181"/>
      <c r="C502" s="178"/>
      <c r="D502" s="23" t="s">
        <v>81</v>
      </c>
      <c r="E502" s="24">
        <v>4</v>
      </c>
      <c r="F502" s="24">
        <v>16</v>
      </c>
      <c r="G502" s="23" t="s">
        <v>66</v>
      </c>
      <c r="H502" s="23"/>
      <c r="I502" s="47"/>
      <c r="L502" s="181"/>
      <c r="M502" s="178"/>
      <c r="N502" s="23" t="s">
        <v>81</v>
      </c>
      <c r="O502" s="24">
        <v>4</v>
      </c>
      <c r="P502" s="24">
        <v>16</v>
      </c>
      <c r="Q502" s="23" t="s">
        <v>66</v>
      </c>
      <c r="R502" s="23"/>
      <c r="S502" s="47"/>
    </row>
    <row r="503" spans="2:19" x14ac:dyDescent="0.25">
      <c r="B503" s="181"/>
      <c r="C503" s="178"/>
      <c r="D503" s="23" t="s">
        <v>82</v>
      </c>
      <c r="E503" s="24">
        <v>5</v>
      </c>
      <c r="F503" s="24">
        <v>17</v>
      </c>
      <c r="G503" s="23" t="s">
        <v>66</v>
      </c>
      <c r="H503" s="23"/>
      <c r="I503" s="47"/>
      <c r="L503" s="181"/>
      <c r="M503" s="178"/>
      <c r="N503" s="23" t="s">
        <v>82</v>
      </c>
      <c r="O503" s="24">
        <v>5</v>
      </c>
      <c r="P503" s="24">
        <v>17</v>
      </c>
      <c r="Q503" s="23" t="s">
        <v>66</v>
      </c>
      <c r="R503" s="23"/>
      <c r="S503" s="47"/>
    </row>
    <row r="504" spans="2:19" ht="15.75" thickBot="1" x14ac:dyDescent="0.3">
      <c r="B504" s="181"/>
      <c r="C504" s="179"/>
      <c r="D504" s="23" t="s">
        <v>83</v>
      </c>
      <c r="E504" s="24">
        <v>6</v>
      </c>
      <c r="F504" s="24">
        <v>18</v>
      </c>
      <c r="G504" s="23" t="s">
        <v>66</v>
      </c>
      <c r="H504" s="23"/>
      <c r="I504" s="47"/>
      <c r="L504" s="181"/>
      <c r="M504" s="179"/>
      <c r="N504" s="23" t="s">
        <v>83</v>
      </c>
      <c r="O504" s="24">
        <v>6</v>
      </c>
      <c r="P504" s="24">
        <v>18</v>
      </c>
      <c r="Q504" s="23" t="s">
        <v>66</v>
      </c>
      <c r="R504" s="23"/>
      <c r="S504" s="47"/>
    </row>
    <row r="505" spans="2:19" x14ac:dyDescent="0.25">
      <c r="B505" s="181"/>
      <c r="C505" s="177" t="s">
        <v>84</v>
      </c>
      <c r="D505" s="23" t="s">
        <v>2</v>
      </c>
      <c r="E505" s="24">
        <v>1</v>
      </c>
      <c r="F505" s="24">
        <v>19</v>
      </c>
      <c r="G505" s="23" t="s">
        <v>66</v>
      </c>
      <c r="H505" s="23"/>
      <c r="I505" s="47"/>
      <c r="L505" s="181"/>
      <c r="M505" s="177" t="s">
        <v>84</v>
      </c>
      <c r="N505" s="23" t="s">
        <v>2</v>
      </c>
      <c r="O505" s="24">
        <v>1</v>
      </c>
      <c r="P505" s="24">
        <v>19</v>
      </c>
      <c r="Q505" s="23" t="s">
        <v>66</v>
      </c>
      <c r="R505" s="23"/>
      <c r="S505" s="47"/>
    </row>
    <row r="506" spans="2:19" x14ac:dyDescent="0.25">
      <c r="B506" s="181"/>
      <c r="C506" s="178"/>
      <c r="D506" s="23" t="s">
        <v>3</v>
      </c>
      <c r="E506" s="24">
        <v>2</v>
      </c>
      <c r="F506" s="24">
        <v>20</v>
      </c>
      <c r="G506" s="23" t="s">
        <v>66</v>
      </c>
      <c r="H506" s="23"/>
      <c r="I506" s="47"/>
      <c r="L506" s="181"/>
      <c r="M506" s="178"/>
      <c r="N506" s="23" t="s">
        <v>3</v>
      </c>
      <c r="O506" s="24">
        <v>2</v>
      </c>
      <c r="P506" s="24">
        <v>20</v>
      </c>
      <c r="Q506" s="23" t="s">
        <v>66</v>
      </c>
      <c r="R506" s="23"/>
      <c r="S506" s="47"/>
    </row>
    <row r="507" spans="2:19" x14ac:dyDescent="0.25">
      <c r="B507" s="181"/>
      <c r="C507" s="178"/>
      <c r="D507" s="23" t="s">
        <v>80</v>
      </c>
      <c r="E507" s="26">
        <v>3</v>
      </c>
      <c r="F507" s="24">
        <v>21</v>
      </c>
      <c r="G507" s="23" t="s">
        <v>66</v>
      </c>
      <c r="H507" s="23"/>
      <c r="I507" s="47"/>
      <c r="L507" s="181"/>
      <c r="M507" s="178"/>
      <c r="N507" s="23" t="s">
        <v>80</v>
      </c>
      <c r="O507" s="26">
        <v>3</v>
      </c>
      <c r="P507" s="24">
        <v>21</v>
      </c>
      <c r="Q507" s="23" t="s">
        <v>66</v>
      </c>
      <c r="R507" s="23"/>
      <c r="S507" s="47"/>
    </row>
    <row r="508" spans="2:19" x14ac:dyDescent="0.25">
      <c r="B508" s="181"/>
      <c r="C508" s="178"/>
      <c r="D508" s="23" t="s">
        <v>81</v>
      </c>
      <c r="E508" s="24">
        <v>4</v>
      </c>
      <c r="F508" s="24">
        <v>22</v>
      </c>
      <c r="G508" s="23" t="s">
        <v>66</v>
      </c>
      <c r="H508" s="23"/>
      <c r="I508" s="47"/>
      <c r="L508" s="181"/>
      <c r="M508" s="178"/>
      <c r="N508" s="23" t="s">
        <v>81</v>
      </c>
      <c r="O508" s="24">
        <v>4</v>
      </c>
      <c r="P508" s="24">
        <v>22</v>
      </c>
      <c r="Q508" s="23" t="s">
        <v>66</v>
      </c>
      <c r="R508" s="23"/>
      <c r="S508" s="47"/>
    </row>
    <row r="509" spans="2:19" x14ac:dyDescent="0.25">
      <c r="B509" s="181"/>
      <c r="C509" s="178"/>
      <c r="D509" s="23" t="s">
        <v>82</v>
      </c>
      <c r="E509" s="24">
        <v>5</v>
      </c>
      <c r="F509" s="24">
        <v>23</v>
      </c>
      <c r="G509" s="23" t="s">
        <v>66</v>
      </c>
      <c r="H509" s="23"/>
      <c r="I509" s="47"/>
      <c r="L509" s="181"/>
      <c r="M509" s="178"/>
      <c r="N509" s="23" t="s">
        <v>82</v>
      </c>
      <c r="O509" s="24">
        <v>5</v>
      </c>
      <c r="P509" s="24">
        <v>23</v>
      </c>
      <c r="Q509" s="23" t="s">
        <v>66</v>
      </c>
      <c r="R509" s="23"/>
      <c r="S509" s="47"/>
    </row>
    <row r="510" spans="2:19" ht="15.75" thickBot="1" x14ac:dyDescent="0.3">
      <c r="B510" s="182"/>
      <c r="C510" s="179"/>
      <c r="D510" s="23" t="s">
        <v>83</v>
      </c>
      <c r="E510" s="24">
        <v>6</v>
      </c>
      <c r="F510" s="24">
        <v>24</v>
      </c>
      <c r="G510" s="23" t="s">
        <v>66</v>
      </c>
      <c r="H510" s="23"/>
      <c r="I510" s="47"/>
      <c r="L510" s="182"/>
      <c r="M510" s="179"/>
      <c r="N510" s="23" t="s">
        <v>83</v>
      </c>
      <c r="O510" s="24">
        <v>6</v>
      </c>
      <c r="P510" s="24">
        <v>24</v>
      </c>
      <c r="Q510" s="23" t="s">
        <v>66</v>
      </c>
      <c r="R510" s="23"/>
      <c r="S510" s="47"/>
    </row>
    <row r="511" spans="2:19" x14ac:dyDescent="0.25">
      <c r="B511" s="189" t="s">
        <v>80</v>
      </c>
      <c r="C511" s="192" t="s">
        <v>77</v>
      </c>
      <c r="D511" s="27" t="s">
        <v>2</v>
      </c>
      <c r="E511" s="28">
        <v>1</v>
      </c>
      <c r="F511" s="28">
        <v>25</v>
      </c>
      <c r="G511" s="27" t="s">
        <v>66</v>
      </c>
      <c r="H511" s="27"/>
      <c r="I511" s="48"/>
      <c r="L511" s="189" t="s">
        <v>80</v>
      </c>
      <c r="M511" s="192" t="s">
        <v>77</v>
      </c>
      <c r="N511" s="27" t="s">
        <v>2</v>
      </c>
      <c r="O511" s="28">
        <v>1</v>
      </c>
      <c r="P511" s="28">
        <v>25</v>
      </c>
      <c r="Q511" s="27" t="s">
        <v>66</v>
      </c>
      <c r="R511" s="27"/>
      <c r="S511" s="48"/>
    </row>
    <row r="512" spans="2:19" x14ac:dyDescent="0.25">
      <c r="B512" s="190"/>
      <c r="C512" s="193"/>
      <c r="D512" s="27" t="s">
        <v>3</v>
      </c>
      <c r="E512" s="28">
        <v>2</v>
      </c>
      <c r="F512" s="28">
        <v>26</v>
      </c>
      <c r="G512" s="27" t="s">
        <v>66</v>
      </c>
      <c r="H512" s="27"/>
      <c r="I512" s="48"/>
      <c r="L512" s="190"/>
      <c r="M512" s="193"/>
      <c r="N512" s="27" t="s">
        <v>3</v>
      </c>
      <c r="O512" s="28">
        <v>2</v>
      </c>
      <c r="P512" s="28">
        <v>26</v>
      </c>
      <c r="Q512" s="27" t="s">
        <v>66</v>
      </c>
      <c r="R512" s="27"/>
      <c r="S512" s="48"/>
    </row>
    <row r="513" spans="2:19" x14ac:dyDescent="0.25">
      <c r="B513" s="190"/>
      <c r="C513" s="193"/>
      <c r="D513" s="27" t="s">
        <v>80</v>
      </c>
      <c r="E513" s="28">
        <v>3</v>
      </c>
      <c r="F513" s="28">
        <v>27</v>
      </c>
      <c r="G513" s="27" t="s">
        <v>66</v>
      </c>
      <c r="H513" s="27"/>
      <c r="I513" s="48"/>
      <c r="L513" s="190"/>
      <c r="M513" s="193"/>
      <c r="N513" s="27" t="s">
        <v>80</v>
      </c>
      <c r="O513" s="28">
        <v>3</v>
      </c>
      <c r="P513" s="28">
        <v>27</v>
      </c>
      <c r="Q513" s="27" t="s">
        <v>66</v>
      </c>
      <c r="R513" s="27"/>
      <c r="S513" s="48"/>
    </row>
    <row r="514" spans="2:19" x14ac:dyDescent="0.25">
      <c r="B514" s="190"/>
      <c r="C514" s="193"/>
      <c r="D514" s="27" t="s">
        <v>81</v>
      </c>
      <c r="E514" s="28">
        <v>4</v>
      </c>
      <c r="F514" s="28">
        <v>28</v>
      </c>
      <c r="G514" s="27" t="s">
        <v>66</v>
      </c>
      <c r="H514" s="27"/>
      <c r="I514" s="48"/>
      <c r="L514" s="190"/>
      <c r="M514" s="193"/>
      <c r="N514" s="27" t="s">
        <v>81</v>
      </c>
      <c r="O514" s="28">
        <v>4</v>
      </c>
      <c r="P514" s="28">
        <v>28</v>
      </c>
      <c r="Q514" s="27" t="s">
        <v>66</v>
      </c>
      <c r="R514" s="27"/>
      <c r="S514" s="48"/>
    </row>
    <row r="515" spans="2:19" x14ac:dyDescent="0.25">
      <c r="B515" s="190"/>
      <c r="C515" s="193"/>
      <c r="D515" s="27" t="s">
        <v>82</v>
      </c>
      <c r="E515" s="28">
        <v>5</v>
      </c>
      <c r="F515" s="28">
        <v>29</v>
      </c>
      <c r="G515" s="27" t="s">
        <v>66</v>
      </c>
      <c r="H515" s="27"/>
      <c r="I515" s="48"/>
      <c r="L515" s="190"/>
      <c r="M515" s="193"/>
      <c r="N515" s="27" t="s">
        <v>82</v>
      </c>
      <c r="O515" s="28">
        <v>5</v>
      </c>
      <c r="P515" s="28">
        <v>29</v>
      </c>
      <c r="Q515" s="27" t="s">
        <v>66</v>
      </c>
      <c r="R515" s="27"/>
      <c r="S515" s="48"/>
    </row>
    <row r="516" spans="2:19" ht="15.75" thickBot="1" x14ac:dyDescent="0.3">
      <c r="B516" s="190"/>
      <c r="C516" s="194"/>
      <c r="D516" s="27" t="s">
        <v>83</v>
      </c>
      <c r="E516" s="28">
        <v>6</v>
      </c>
      <c r="F516" s="28">
        <v>30</v>
      </c>
      <c r="G516" s="27" t="s">
        <v>66</v>
      </c>
      <c r="H516" s="27"/>
      <c r="I516" s="48"/>
      <c r="L516" s="190"/>
      <c r="M516" s="194"/>
      <c r="N516" s="27" t="s">
        <v>83</v>
      </c>
      <c r="O516" s="28">
        <v>6</v>
      </c>
      <c r="P516" s="28">
        <v>30</v>
      </c>
      <c r="Q516" s="27" t="s">
        <v>66</v>
      </c>
      <c r="R516" s="27"/>
      <c r="S516" s="48"/>
    </row>
    <row r="517" spans="2:19" x14ac:dyDescent="0.25">
      <c r="B517" s="190"/>
      <c r="C517" s="192" t="s">
        <v>84</v>
      </c>
      <c r="D517" s="27" t="s">
        <v>2</v>
      </c>
      <c r="E517" s="28">
        <v>1</v>
      </c>
      <c r="F517" s="28">
        <v>31</v>
      </c>
      <c r="G517" s="27" t="s">
        <v>66</v>
      </c>
      <c r="H517" s="27"/>
      <c r="I517" s="48"/>
      <c r="L517" s="190"/>
      <c r="M517" s="192" t="s">
        <v>84</v>
      </c>
      <c r="N517" s="27" t="s">
        <v>2</v>
      </c>
      <c r="O517" s="28">
        <v>1</v>
      </c>
      <c r="P517" s="28">
        <v>31</v>
      </c>
      <c r="Q517" s="27" t="s">
        <v>66</v>
      </c>
      <c r="R517" s="27"/>
      <c r="S517" s="48"/>
    </row>
    <row r="518" spans="2:19" x14ac:dyDescent="0.25">
      <c r="B518" s="190"/>
      <c r="C518" s="193"/>
      <c r="D518" s="27" t="s">
        <v>3</v>
      </c>
      <c r="E518" s="28">
        <v>2</v>
      </c>
      <c r="F518" s="28">
        <v>32</v>
      </c>
      <c r="G518" s="27" t="s">
        <v>66</v>
      </c>
      <c r="H518" s="27"/>
      <c r="I518" s="48"/>
      <c r="L518" s="190"/>
      <c r="M518" s="193"/>
      <c r="N518" s="27" t="s">
        <v>3</v>
      </c>
      <c r="O518" s="28">
        <v>2</v>
      </c>
      <c r="P518" s="28">
        <v>32</v>
      </c>
      <c r="Q518" s="27" t="s">
        <v>66</v>
      </c>
      <c r="R518" s="27"/>
      <c r="S518" s="48"/>
    </row>
    <row r="519" spans="2:19" x14ac:dyDescent="0.25">
      <c r="B519" s="190"/>
      <c r="C519" s="193"/>
      <c r="D519" s="27" t="s">
        <v>80</v>
      </c>
      <c r="E519" s="28">
        <v>3</v>
      </c>
      <c r="F519" s="28">
        <v>33</v>
      </c>
      <c r="G519" s="27" t="s">
        <v>66</v>
      </c>
      <c r="H519" s="27"/>
      <c r="I519" s="48"/>
      <c r="L519" s="190"/>
      <c r="M519" s="193"/>
      <c r="N519" s="27" t="s">
        <v>80</v>
      </c>
      <c r="O519" s="28">
        <v>3</v>
      </c>
      <c r="P519" s="28">
        <v>33</v>
      </c>
      <c r="Q519" s="27" t="s">
        <v>66</v>
      </c>
      <c r="R519" s="27"/>
      <c r="S519" s="48"/>
    </row>
    <row r="520" spans="2:19" x14ac:dyDescent="0.25">
      <c r="B520" s="190"/>
      <c r="C520" s="193"/>
      <c r="D520" s="27" t="s">
        <v>81</v>
      </c>
      <c r="E520" s="28">
        <v>4</v>
      </c>
      <c r="F520" s="28">
        <v>34</v>
      </c>
      <c r="G520" s="27" t="s">
        <v>66</v>
      </c>
      <c r="H520" s="27"/>
      <c r="I520" s="48"/>
      <c r="L520" s="190"/>
      <c r="M520" s="193"/>
      <c r="N520" s="27" t="s">
        <v>81</v>
      </c>
      <c r="O520" s="28">
        <v>4</v>
      </c>
      <c r="P520" s="28">
        <v>34</v>
      </c>
      <c r="Q520" s="27" t="s">
        <v>66</v>
      </c>
      <c r="R520" s="27"/>
      <c r="S520" s="48"/>
    </row>
    <row r="521" spans="2:19" x14ac:dyDescent="0.25">
      <c r="B521" s="190"/>
      <c r="C521" s="193"/>
      <c r="D521" s="27" t="s">
        <v>82</v>
      </c>
      <c r="E521" s="28">
        <v>5</v>
      </c>
      <c r="F521" s="28">
        <v>35</v>
      </c>
      <c r="G521" s="27" t="s">
        <v>66</v>
      </c>
      <c r="H521" s="27"/>
      <c r="I521" s="48"/>
      <c r="L521" s="190"/>
      <c r="M521" s="193"/>
      <c r="N521" s="27" t="s">
        <v>82</v>
      </c>
      <c r="O521" s="28">
        <v>5</v>
      </c>
      <c r="P521" s="28">
        <v>35</v>
      </c>
      <c r="Q521" s="27" t="s">
        <v>66</v>
      </c>
      <c r="R521" s="27"/>
      <c r="S521" s="48"/>
    </row>
    <row r="522" spans="2:19" ht="15.75" thickBot="1" x14ac:dyDescent="0.3">
      <c r="B522" s="191"/>
      <c r="C522" s="194"/>
      <c r="D522" s="27" t="s">
        <v>83</v>
      </c>
      <c r="E522" s="28">
        <v>6</v>
      </c>
      <c r="F522" s="28">
        <v>36</v>
      </c>
      <c r="G522" s="27" t="s">
        <v>66</v>
      </c>
      <c r="H522" s="27"/>
      <c r="I522" s="48"/>
      <c r="L522" s="191"/>
      <c r="M522" s="194"/>
      <c r="N522" s="27" t="s">
        <v>83</v>
      </c>
      <c r="O522" s="28">
        <v>6</v>
      </c>
      <c r="P522" s="28">
        <v>36</v>
      </c>
      <c r="Q522" s="27" t="s">
        <v>66</v>
      </c>
      <c r="R522" s="27"/>
      <c r="S522" s="48"/>
    </row>
    <row r="523" spans="2:19" x14ac:dyDescent="0.25">
      <c r="B523" s="183" t="s">
        <v>81</v>
      </c>
      <c r="C523" s="186" t="s">
        <v>77</v>
      </c>
      <c r="D523" s="29" t="s">
        <v>2</v>
      </c>
      <c r="E523" s="30">
        <v>1</v>
      </c>
      <c r="F523" s="30">
        <v>37</v>
      </c>
      <c r="G523" s="29" t="s">
        <v>66</v>
      </c>
      <c r="H523" s="29"/>
      <c r="I523" s="49"/>
      <c r="L523" s="183" t="s">
        <v>81</v>
      </c>
      <c r="M523" s="186" t="s">
        <v>77</v>
      </c>
      <c r="N523" s="29" t="s">
        <v>2</v>
      </c>
      <c r="O523" s="30">
        <v>1</v>
      </c>
      <c r="P523" s="30">
        <v>37</v>
      </c>
      <c r="Q523" s="29" t="s">
        <v>66</v>
      </c>
      <c r="R523" s="29"/>
      <c r="S523" s="49"/>
    </row>
    <row r="524" spans="2:19" x14ac:dyDescent="0.25">
      <c r="B524" s="184"/>
      <c r="C524" s="187"/>
      <c r="D524" s="29" t="s">
        <v>3</v>
      </c>
      <c r="E524" s="30">
        <v>2</v>
      </c>
      <c r="F524" s="30">
        <v>38</v>
      </c>
      <c r="G524" s="29" t="s">
        <v>66</v>
      </c>
      <c r="H524" s="29"/>
      <c r="I524" s="49"/>
      <c r="L524" s="184"/>
      <c r="M524" s="187"/>
      <c r="N524" s="29" t="s">
        <v>3</v>
      </c>
      <c r="O524" s="30">
        <v>2</v>
      </c>
      <c r="P524" s="30">
        <v>38</v>
      </c>
      <c r="Q524" s="29" t="s">
        <v>66</v>
      </c>
      <c r="R524" s="29"/>
      <c r="S524" s="49"/>
    </row>
    <row r="525" spans="2:19" x14ac:dyDescent="0.25">
      <c r="B525" s="184"/>
      <c r="C525" s="187"/>
      <c r="D525" s="29" t="s">
        <v>80</v>
      </c>
      <c r="E525" s="30">
        <v>3</v>
      </c>
      <c r="F525" s="30">
        <v>39</v>
      </c>
      <c r="G525" s="29" t="s">
        <v>66</v>
      </c>
      <c r="H525" s="29"/>
      <c r="I525" s="49"/>
      <c r="L525" s="184"/>
      <c r="M525" s="187"/>
      <c r="N525" s="29" t="s">
        <v>80</v>
      </c>
      <c r="O525" s="30">
        <v>3</v>
      </c>
      <c r="P525" s="30">
        <v>39</v>
      </c>
      <c r="Q525" s="29" t="s">
        <v>66</v>
      </c>
      <c r="R525" s="29"/>
      <c r="S525" s="49"/>
    </row>
    <row r="526" spans="2:19" x14ac:dyDescent="0.25">
      <c r="B526" s="184"/>
      <c r="C526" s="187"/>
      <c r="D526" s="29" t="s">
        <v>81</v>
      </c>
      <c r="E526" s="30">
        <v>4</v>
      </c>
      <c r="F526" s="30">
        <v>40</v>
      </c>
      <c r="G526" s="29" t="s">
        <v>66</v>
      </c>
      <c r="H526" s="29"/>
      <c r="I526" s="49"/>
      <c r="L526" s="184"/>
      <c r="M526" s="187"/>
      <c r="N526" s="29" t="s">
        <v>81</v>
      </c>
      <c r="O526" s="30">
        <v>4</v>
      </c>
      <c r="P526" s="30">
        <v>40</v>
      </c>
      <c r="Q526" s="29" t="s">
        <v>66</v>
      </c>
      <c r="R526" s="29"/>
      <c r="S526" s="49"/>
    </row>
    <row r="527" spans="2:19" x14ac:dyDescent="0.25">
      <c r="B527" s="184"/>
      <c r="C527" s="187"/>
      <c r="D527" s="29" t="s">
        <v>82</v>
      </c>
      <c r="E527" s="30">
        <v>5</v>
      </c>
      <c r="F527" s="30">
        <v>41</v>
      </c>
      <c r="G527" s="29" t="s">
        <v>66</v>
      </c>
      <c r="H527" s="29"/>
      <c r="I527" s="49"/>
      <c r="L527" s="184"/>
      <c r="M527" s="187"/>
      <c r="N527" s="29" t="s">
        <v>82</v>
      </c>
      <c r="O527" s="30">
        <v>5</v>
      </c>
      <c r="P527" s="30">
        <v>41</v>
      </c>
      <c r="Q527" s="29" t="s">
        <v>66</v>
      </c>
      <c r="R527" s="29"/>
      <c r="S527" s="49"/>
    </row>
    <row r="528" spans="2:19" ht="15.75" thickBot="1" x14ac:dyDescent="0.3">
      <c r="B528" s="184"/>
      <c r="C528" s="188"/>
      <c r="D528" s="29" t="s">
        <v>83</v>
      </c>
      <c r="E528" s="30">
        <v>6</v>
      </c>
      <c r="F528" s="30">
        <v>42</v>
      </c>
      <c r="G528" s="29" t="s">
        <v>66</v>
      </c>
      <c r="H528" s="29"/>
      <c r="I528" s="49"/>
      <c r="L528" s="184"/>
      <c r="M528" s="188"/>
      <c r="N528" s="29" t="s">
        <v>83</v>
      </c>
      <c r="O528" s="30">
        <v>6</v>
      </c>
      <c r="P528" s="30">
        <v>42</v>
      </c>
      <c r="Q528" s="29" t="s">
        <v>66</v>
      </c>
      <c r="R528" s="29"/>
      <c r="S528" s="49"/>
    </row>
    <row r="529" spans="2:19" x14ac:dyDescent="0.25">
      <c r="B529" s="184"/>
      <c r="C529" s="186" t="s">
        <v>84</v>
      </c>
      <c r="D529" s="29" t="s">
        <v>2</v>
      </c>
      <c r="E529" s="30">
        <v>1</v>
      </c>
      <c r="F529" s="30">
        <v>43</v>
      </c>
      <c r="G529" s="29" t="s">
        <v>66</v>
      </c>
      <c r="H529" s="29"/>
      <c r="I529" s="49"/>
      <c r="L529" s="184"/>
      <c r="M529" s="186" t="s">
        <v>84</v>
      </c>
      <c r="N529" s="29" t="s">
        <v>2</v>
      </c>
      <c r="O529" s="30">
        <v>1</v>
      </c>
      <c r="P529" s="30">
        <v>43</v>
      </c>
      <c r="Q529" s="29" t="s">
        <v>66</v>
      </c>
      <c r="R529" s="29"/>
      <c r="S529" s="49"/>
    </row>
    <row r="530" spans="2:19" x14ac:dyDescent="0.25">
      <c r="B530" s="184"/>
      <c r="C530" s="187"/>
      <c r="D530" s="29" t="s">
        <v>3</v>
      </c>
      <c r="E530" s="30">
        <v>2</v>
      </c>
      <c r="F530" s="30">
        <v>44</v>
      </c>
      <c r="G530" s="29" t="s">
        <v>66</v>
      </c>
      <c r="H530" s="29"/>
      <c r="I530" s="49"/>
      <c r="L530" s="184"/>
      <c r="M530" s="187"/>
      <c r="N530" s="29" t="s">
        <v>3</v>
      </c>
      <c r="O530" s="30">
        <v>2</v>
      </c>
      <c r="P530" s="30">
        <v>44</v>
      </c>
      <c r="Q530" s="29" t="s">
        <v>66</v>
      </c>
      <c r="R530" s="29"/>
      <c r="S530" s="49"/>
    </row>
    <row r="531" spans="2:19" x14ac:dyDescent="0.25">
      <c r="B531" s="184"/>
      <c r="C531" s="187"/>
      <c r="D531" s="29" t="s">
        <v>80</v>
      </c>
      <c r="E531" s="30">
        <v>3</v>
      </c>
      <c r="F531" s="30">
        <v>45</v>
      </c>
      <c r="G531" s="29" t="s">
        <v>66</v>
      </c>
      <c r="H531" s="29"/>
      <c r="I531" s="49"/>
      <c r="L531" s="184"/>
      <c r="M531" s="187"/>
      <c r="N531" s="29" t="s">
        <v>80</v>
      </c>
      <c r="O531" s="30">
        <v>3</v>
      </c>
      <c r="P531" s="30">
        <v>45</v>
      </c>
      <c r="Q531" s="29" t="s">
        <v>66</v>
      </c>
      <c r="R531" s="29"/>
      <c r="S531" s="49"/>
    </row>
    <row r="532" spans="2:19" x14ac:dyDescent="0.25">
      <c r="B532" s="184"/>
      <c r="C532" s="187"/>
      <c r="D532" s="29" t="s">
        <v>81</v>
      </c>
      <c r="E532" s="30">
        <v>4</v>
      </c>
      <c r="F532" s="30">
        <v>46</v>
      </c>
      <c r="G532" s="29" t="s">
        <v>66</v>
      </c>
      <c r="H532" s="29"/>
      <c r="I532" s="49"/>
      <c r="L532" s="184"/>
      <c r="M532" s="187"/>
      <c r="N532" s="29" t="s">
        <v>81</v>
      </c>
      <c r="O532" s="30">
        <v>4</v>
      </c>
      <c r="P532" s="30">
        <v>46</v>
      </c>
      <c r="Q532" s="29" t="s">
        <v>66</v>
      </c>
      <c r="R532" s="29"/>
      <c r="S532" s="49"/>
    </row>
    <row r="533" spans="2:19" x14ac:dyDescent="0.25">
      <c r="B533" s="184"/>
      <c r="C533" s="187"/>
      <c r="D533" s="29" t="s">
        <v>82</v>
      </c>
      <c r="E533" s="30">
        <v>5</v>
      </c>
      <c r="F533" s="30">
        <v>47</v>
      </c>
      <c r="G533" s="29" t="s">
        <v>66</v>
      </c>
      <c r="H533" s="29"/>
      <c r="I533" s="49"/>
      <c r="L533" s="184"/>
      <c r="M533" s="187"/>
      <c r="N533" s="29" t="s">
        <v>82</v>
      </c>
      <c r="O533" s="30">
        <v>5</v>
      </c>
      <c r="P533" s="30">
        <v>47</v>
      </c>
      <c r="Q533" s="29" t="s">
        <v>66</v>
      </c>
      <c r="R533" s="29"/>
      <c r="S533" s="49"/>
    </row>
    <row r="534" spans="2:19" ht="15.75" thickBot="1" x14ac:dyDescent="0.3">
      <c r="B534" s="185"/>
      <c r="C534" s="188"/>
      <c r="D534" s="29" t="s">
        <v>83</v>
      </c>
      <c r="E534" s="30">
        <v>6</v>
      </c>
      <c r="F534" s="30">
        <v>48</v>
      </c>
      <c r="G534" s="29" t="s">
        <v>66</v>
      </c>
      <c r="H534" s="29"/>
      <c r="I534" s="49"/>
      <c r="L534" s="185"/>
      <c r="M534" s="188"/>
      <c r="N534" s="29" t="s">
        <v>83</v>
      </c>
      <c r="O534" s="30">
        <v>6</v>
      </c>
      <c r="P534" s="30">
        <v>48</v>
      </c>
      <c r="Q534" s="29" t="s">
        <v>66</v>
      </c>
      <c r="R534" s="29"/>
      <c r="S534" s="49"/>
    </row>
    <row r="535" spans="2:19" ht="15.75" thickBot="1" x14ac:dyDescent="0.3"/>
    <row r="536" spans="2:19" ht="15.75" thickBot="1" x14ac:dyDescent="0.3">
      <c r="B536" s="171" t="s">
        <v>364</v>
      </c>
      <c r="C536" s="172"/>
      <c r="D536" s="172"/>
      <c r="E536" s="172"/>
      <c r="F536" s="172"/>
      <c r="G536" s="172"/>
      <c r="H536" s="172"/>
      <c r="I536" s="173"/>
      <c r="L536" s="171" t="s">
        <v>365</v>
      </c>
      <c r="M536" s="172"/>
      <c r="N536" s="172"/>
      <c r="O536" s="172"/>
      <c r="P536" s="172"/>
      <c r="Q536" s="172"/>
      <c r="R536" s="172"/>
      <c r="S536" s="173"/>
    </row>
    <row r="538" spans="2:19" ht="26.25" thickBot="1" x14ac:dyDescent="0.3">
      <c r="B538" s="15" t="s">
        <v>70</v>
      </c>
      <c r="C538" s="16" t="s">
        <v>71</v>
      </c>
      <c r="D538" s="15" t="s">
        <v>72</v>
      </c>
      <c r="E538" s="17" t="s">
        <v>73</v>
      </c>
      <c r="F538" s="17" t="s">
        <v>74</v>
      </c>
      <c r="G538" s="15" t="s">
        <v>75</v>
      </c>
      <c r="H538" s="15" t="s">
        <v>55</v>
      </c>
      <c r="I538" s="15" t="s">
        <v>76</v>
      </c>
      <c r="L538" s="15" t="s">
        <v>70</v>
      </c>
      <c r="M538" s="16" t="s">
        <v>71</v>
      </c>
      <c r="N538" s="15" t="s">
        <v>72</v>
      </c>
      <c r="O538" s="17" t="s">
        <v>73</v>
      </c>
      <c r="P538" s="17" t="s">
        <v>74</v>
      </c>
      <c r="Q538" s="15" t="s">
        <v>75</v>
      </c>
      <c r="R538" s="15" t="s">
        <v>55</v>
      </c>
      <c r="S538" s="15" t="s">
        <v>76</v>
      </c>
    </row>
    <row r="539" spans="2:19" x14ac:dyDescent="0.25">
      <c r="B539" s="174" t="s">
        <v>2</v>
      </c>
      <c r="C539" s="168" t="s">
        <v>77</v>
      </c>
      <c r="D539" s="18" t="s">
        <v>2</v>
      </c>
      <c r="E539" s="19">
        <v>1</v>
      </c>
      <c r="F539" s="19">
        <v>1</v>
      </c>
      <c r="G539" s="18" t="s">
        <v>66</v>
      </c>
      <c r="H539" s="32"/>
      <c r="I539" s="50"/>
      <c r="L539" s="174" t="s">
        <v>2</v>
      </c>
      <c r="M539" s="168" t="s">
        <v>77</v>
      </c>
      <c r="N539" s="18" t="s">
        <v>2</v>
      </c>
      <c r="O539" s="19">
        <v>1</v>
      </c>
      <c r="P539" s="19">
        <v>1</v>
      </c>
      <c r="Q539" s="18" t="s">
        <v>66</v>
      </c>
      <c r="R539" s="32"/>
      <c r="S539" s="50"/>
    </row>
    <row r="540" spans="2:19" x14ac:dyDescent="0.25">
      <c r="B540" s="175"/>
      <c r="C540" s="169"/>
      <c r="D540" s="18" t="s">
        <v>3</v>
      </c>
      <c r="E540" s="19">
        <v>2</v>
      </c>
      <c r="F540" s="19">
        <v>2</v>
      </c>
      <c r="G540" s="18" t="s">
        <v>66</v>
      </c>
      <c r="H540" s="32"/>
      <c r="I540" s="50"/>
      <c r="L540" s="175"/>
      <c r="M540" s="169"/>
      <c r="N540" s="18" t="s">
        <v>3</v>
      </c>
      <c r="O540" s="19">
        <v>2</v>
      </c>
      <c r="P540" s="19">
        <v>2</v>
      </c>
      <c r="Q540" s="18" t="s">
        <v>66</v>
      </c>
      <c r="R540" s="32"/>
      <c r="S540" s="50"/>
    </row>
    <row r="541" spans="2:19" x14ac:dyDescent="0.25">
      <c r="B541" s="175"/>
      <c r="C541" s="169"/>
      <c r="D541" s="18" t="s">
        <v>80</v>
      </c>
      <c r="E541" s="20">
        <v>3</v>
      </c>
      <c r="F541" s="20">
        <v>3</v>
      </c>
      <c r="G541" s="18" t="s">
        <v>66</v>
      </c>
      <c r="H541" s="32"/>
      <c r="I541" s="50"/>
      <c r="L541" s="175"/>
      <c r="M541" s="169"/>
      <c r="N541" s="18" t="s">
        <v>80</v>
      </c>
      <c r="O541" s="20">
        <v>3</v>
      </c>
      <c r="P541" s="20">
        <v>3</v>
      </c>
      <c r="Q541" s="18" t="s">
        <v>66</v>
      </c>
      <c r="R541" s="32"/>
      <c r="S541" s="50"/>
    </row>
    <row r="542" spans="2:19" x14ac:dyDescent="0.25">
      <c r="B542" s="175"/>
      <c r="C542" s="169"/>
      <c r="D542" s="18" t="s">
        <v>81</v>
      </c>
      <c r="E542" s="20">
        <v>4</v>
      </c>
      <c r="F542" s="20">
        <v>4</v>
      </c>
      <c r="G542" s="18" t="s">
        <v>66</v>
      </c>
      <c r="H542" s="32"/>
      <c r="I542" s="50"/>
      <c r="L542" s="175"/>
      <c r="M542" s="169"/>
      <c r="N542" s="18" t="s">
        <v>81</v>
      </c>
      <c r="O542" s="20">
        <v>4</v>
      </c>
      <c r="P542" s="20">
        <v>4</v>
      </c>
      <c r="Q542" s="18" t="s">
        <v>66</v>
      </c>
      <c r="R542" s="32"/>
      <c r="S542" s="50"/>
    </row>
    <row r="543" spans="2:19" x14ac:dyDescent="0.25">
      <c r="B543" s="175"/>
      <c r="C543" s="169"/>
      <c r="D543" s="18" t="s">
        <v>82</v>
      </c>
      <c r="E543" s="20">
        <v>5</v>
      </c>
      <c r="F543" s="20">
        <v>5</v>
      </c>
      <c r="G543" s="18" t="s">
        <v>66</v>
      </c>
      <c r="H543" s="32"/>
      <c r="I543" s="50"/>
      <c r="L543" s="175"/>
      <c r="M543" s="169"/>
      <c r="N543" s="18" t="s">
        <v>82</v>
      </c>
      <c r="O543" s="20">
        <v>5</v>
      </c>
      <c r="P543" s="20">
        <v>5</v>
      </c>
      <c r="Q543" s="18" t="s">
        <v>66</v>
      </c>
      <c r="R543" s="32"/>
      <c r="S543" s="50"/>
    </row>
    <row r="544" spans="2:19" ht="15.75" thickBot="1" x14ac:dyDescent="0.3">
      <c r="B544" s="175"/>
      <c r="C544" s="170"/>
      <c r="D544" s="18" t="s">
        <v>83</v>
      </c>
      <c r="E544" s="20">
        <v>6</v>
      </c>
      <c r="F544" s="20">
        <v>6</v>
      </c>
      <c r="G544" s="18" t="s">
        <v>66</v>
      </c>
      <c r="H544" s="32"/>
      <c r="I544" s="50"/>
      <c r="L544" s="175"/>
      <c r="M544" s="170"/>
      <c r="N544" s="18" t="s">
        <v>83</v>
      </c>
      <c r="O544" s="20">
        <v>6</v>
      </c>
      <c r="P544" s="20">
        <v>6</v>
      </c>
      <c r="Q544" s="18" t="s">
        <v>66</v>
      </c>
      <c r="R544" s="32"/>
      <c r="S544" s="50"/>
    </row>
    <row r="545" spans="2:19" x14ac:dyDescent="0.25">
      <c r="B545" s="175"/>
      <c r="C545" s="168" t="s">
        <v>84</v>
      </c>
      <c r="D545" s="18" t="s">
        <v>2</v>
      </c>
      <c r="E545" s="19">
        <v>1</v>
      </c>
      <c r="F545" s="19">
        <v>7</v>
      </c>
      <c r="G545" s="18" t="s">
        <v>78</v>
      </c>
      <c r="H545" s="156" t="s">
        <v>130</v>
      </c>
      <c r="I545" s="165" t="s">
        <v>156</v>
      </c>
      <c r="L545" s="175"/>
      <c r="M545" s="168" t="s">
        <v>84</v>
      </c>
      <c r="N545" s="18" t="s">
        <v>2</v>
      </c>
      <c r="O545" s="19">
        <v>1</v>
      </c>
      <c r="P545" s="19">
        <v>7</v>
      </c>
      <c r="Q545" s="18" t="s">
        <v>78</v>
      </c>
      <c r="R545" s="156" t="s">
        <v>130</v>
      </c>
      <c r="S545" s="165" t="s">
        <v>203</v>
      </c>
    </row>
    <row r="546" spans="2:19" x14ac:dyDescent="0.25">
      <c r="B546" s="175"/>
      <c r="C546" s="169"/>
      <c r="D546" s="18" t="s">
        <v>3</v>
      </c>
      <c r="E546" s="19">
        <v>2</v>
      </c>
      <c r="F546" s="19">
        <v>8</v>
      </c>
      <c r="G546" s="18" t="s">
        <v>78</v>
      </c>
      <c r="H546" s="157"/>
      <c r="I546" s="166"/>
      <c r="L546" s="175"/>
      <c r="M546" s="169"/>
      <c r="N546" s="18" t="s">
        <v>3</v>
      </c>
      <c r="O546" s="19">
        <v>2</v>
      </c>
      <c r="P546" s="19">
        <v>8</v>
      </c>
      <c r="Q546" s="18" t="s">
        <v>78</v>
      </c>
      <c r="R546" s="157"/>
      <c r="S546" s="166"/>
    </row>
    <row r="547" spans="2:19" x14ac:dyDescent="0.25">
      <c r="B547" s="175"/>
      <c r="C547" s="169"/>
      <c r="D547" s="18" t="s">
        <v>80</v>
      </c>
      <c r="E547" s="20">
        <v>3</v>
      </c>
      <c r="F547" s="20">
        <v>9</v>
      </c>
      <c r="G547" s="18" t="s">
        <v>66</v>
      </c>
      <c r="H547" s="157"/>
      <c r="I547" s="166"/>
      <c r="L547" s="175"/>
      <c r="M547" s="169"/>
      <c r="N547" s="18" t="s">
        <v>80</v>
      </c>
      <c r="O547" s="20">
        <v>3</v>
      </c>
      <c r="P547" s="20">
        <v>9</v>
      </c>
      <c r="Q547" s="18" t="s">
        <v>66</v>
      </c>
      <c r="R547" s="157"/>
      <c r="S547" s="166"/>
    </row>
    <row r="548" spans="2:19" x14ac:dyDescent="0.25">
      <c r="B548" s="175"/>
      <c r="C548" s="169"/>
      <c r="D548" s="18" t="s">
        <v>81</v>
      </c>
      <c r="E548" s="20">
        <v>4</v>
      </c>
      <c r="F548" s="20">
        <v>10</v>
      </c>
      <c r="G548" s="18" t="s">
        <v>66</v>
      </c>
      <c r="H548" s="157"/>
      <c r="I548" s="166"/>
      <c r="L548" s="175"/>
      <c r="M548" s="169"/>
      <c r="N548" s="18" t="s">
        <v>81</v>
      </c>
      <c r="O548" s="20">
        <v>4</v>
      </c>
      <c r="P548" s="20">
        <v>10</v>
      </c>
      <c r="Q548" s="18" t="s">
        <v>66</v>
      </c>
      <c r="R548" s="157"/>
      <c r="S548" s="166"/>
    </row>
    <row r="549" spans="2:19" x14ac:dyDescent="0.25">
      <c r="B549" s="175"/>
      <c r="C549" s="169"/>
      <c r="D549" s="18" t="s">
        <v>82</v>
      </c>
      <c r="E549" s="20">
        <v>5</v>
      </c>
      <c r="F549" s="20">
        <v>11</v>
      </c>
      <c r="G549" s="18" t="s">
        <v>66</v>
      </c>
      <c r="H549" s="157"/>
      <c r="I549" s="166"/>
      <c r="L549" s="175"/>
      <c r="M549" s="169"/>
      <c r="N549" s="18" t="s">
        <v>82</v>
      </c>
      <c r="O549" s="20">
        <v>5</v>
      </c>
      <c r="P549" s="20">
        <v>11</v>
      </c>
      <c r="Q549" s="18" t="s">
        <v>66</v>
      </c>
      <c r="R549" s="157"/>
      <c r="S549" s="166"/>
    </row>
    <row r="550" spans="2:19" ht="15.75" thickBot="1" x14ac:dyDescent="0.3">
      <c r="B550" s="176"/>
      <c r="C550" s="170"/>
      <c r="D550" s="18" t="s">
        <v>83</v>
      </c>
      <c r="E550" s="20">
        <v>6</v>
      </c>
      <c r="F550" s="20">
        <v>12</v>
      </c>
      <c r="G550" s="18" t="s">
        <v>66</v>
      </c>
      <c r="H550" s="158"/>
      <c r="I550" s="167"/>
      <c r="L550" s="176"/>
      <c r="M550" s="170"/>
      <c r="N550" s="18" t="s">
        <v>83</v>
      </c>
      <c r="O550" s="20">
        <v>6</v>
      </c>
      <c r="P550" s="20">
        <v>12</v>
      </c>
      <c r="Q550" s="18" t="s">
        <v>66</v>
      </c>
      <c r="R550" s="158"/>
      <c r="S550" s="167"/>
    </row>
    <row r="551" spans="2:19" x14ac:dyDescent="0.25">
      <c r="B551" s="180" t="s">
        <v>3</v>
      </c>
      <c r="C551" s="177" t="s">
        <v>77</v>
      </c>
      <c r="D551" s="21" t="s">
        <v>2</v>
      </c>
      <c r="E551" s="22">
        <v>1</v>
      </c>
      <c r="F551" s="22">
        <v>13</v>
      </c>
      <c r="G551" s="21" t="s">
        <v>66</v>
      </c>
      <c r="H551" s="21"/>
      <c r="I551" s="51"/>
      <c r="L551" s="180" t="s">
        <v>3</v>
      </c>
      <c r="M551" s="177" t="s">
        <v>77</v>
      </c>
      <c r="N551" s="21" t="s">
        <v>2</v>
      </c>
      <c r="O551" s="22">
        <v>1</v>
      </c>
      <c r="P551" s="22">
        <v>13</v>
      </c>
      <c r="Q551" s="21" t="s">
        <v>66</v>
      </c>
      <c r="R551" s="21"/>
      <c r="S551" s="51"/>
    </row>
    <row r="552" spans="2:19" x14ac:dyDescent="0.25">
      <c r="B552" s="181"/>
      <c r="C552" s="178"/>
      <c r="D552" s="23" t="s">
        <v>3</v>
      </c>
      <c r="E552" s="24">
        <v>2</v>
      </c>
      <c r="F552" s="24">
        <v>14</v>
      </c>
      <c r="G552" s="23" t="s">
        <v>66</v>
      </c>
      <c r="H552" s="23"/>
      <c r="I552" s="47"/>
      <c r="L552" s="181"/>
      <c r="M552" s="178"/>
      <c r="N552" s="23" t="s">
        <v>3</v>
      </c>
      <c r="O552" s="24">
        <v>2</v>
      </c>
      <c r="P552" s="24">
        <v>14</v>
      </c>
      <c r="Q552" s="23" t="s">
        <v>66</v>
      </c>
      <c r="R552" s="23"/>
      <c r="S552" s="47"/>
    </row>
    <row r="553" spans="2:19" x14ac:dyDescent="0.25">
      <c r="B553" s="181"/>
      <c r="C553" s="178"/>
      <c r="D553" s="23" t="s">
        <v>80</v>
      </c>
      <c r="E553" s="24">
        <v>3</v>
      </c>
      <c r="F553" s="24">
        <v>15</v>
      </c>
      <c r="G553" s="23" t="s">
        <v>66</v>
      </c>
      <c r="H553" s="23"/>
      <c r="I553" s="47"/>
      <c r="L553" s="181"/>
      <c r="M553" s="178"/>
      <c r="N553" s="23" t="s">
        <v>80</v>
      </c>
      <c r="O553" s="24">
        <v>3</v>
      </c>
      <c r="P553" s="24">
        <v>15</v>
      </c>
      <c r="Q553" s="23" t="s">
        <v>66</v>
      </c>
      <c r="R553" s="23"/>
      <c r="S553" s="47"/>
    </row>
    <row r="554" spans="2:19" x14ac:dyDescent="0.25">
      <c r="B554" s="181"/>
      <c r="C554" s="178"/>
      <c r="D554" s="23" t="s">
        <v>81</v>
      </c>
      <c r="E554" s="24">
        <v>4</v>
      </c>
      <c r="F554" s="24">
        <v>16</v>
      </c>
      <c r="G554" s="23" t="s">
        <v>66</v>
      </c>
      <c r="H554" s="23"/>
      <c r="I554" s="47"/>
      <c r="L554" s="181"/>
      <c r="M554" s="178"/>
      <c r="N554" s="23" t="s">
        <v>81</v>
      </c>
      <c r="O554" s="24">
        <v>4</v>
      </c>
      <c r="P554" s="24">
        <v>16</v>
      </c>
      <c r="Q554" s="23" t="s">
        <v>66</v>
      </c>
      <c r="R554" s="23"/>
      <c r="S554" s="47"/>
    </row>
    <row r="555" spans="2:19" x14ac:dyDescent="0.25">
      <c r="B555" s="181"/>
      <c r="C555" s="178"/>
      <c r="D555" s="23" t="s">
        <v>82</v>
      </c>
      <c r="E555" s="24">
        <v>5</v>
      </c>
      <c r="F555" s="24">
        <v>17</v>
      </c>
      <c r="G555" s="23" t="s">
        <v>66</v>
      </c>
      <c r="H555" s="23"/>
      <c r="I555" s="47"/>
      <c r="L555" s="181"/>
      <c r="M555" s="178"/>
      <c r="N555" s="23" t="s">
        <v>82</v>
      </c>
      <c r="O555" s="24">
        <v>5</v>
      </c>
      <c r="P555" s="24">
        <v>17</v>
      </c>
      <c r="Q555" s="23" t="s">
        <v>66</v>
      </c>
      <c r="R555" s="23"/>
      <c r="S555" s="47"/>
    </row>
    <row r="556" spans="2:19" ht="15.75" thickBot="1" x14ac:dyDescent="0.3">
      <c r="B556" s="181"/>
      <c r="C556" s="179"/>
      <c r="D556" s="23" t="s">
        <v>83</v>
      </c>
      <c r="E556" s="24">
        <v>6</v>
      </c>
      <c r="F556" s="24">
        <v>18</v>
      </c>
      <c r="G556" s="23" t="s">
        <v>66</v>
      </c>
      <c r="H556" s="23"/>
      <c r="I556" s="47"/>
      <c r="L556" s="181"/>
      <c r="M556" s="179"/>
      <c r="N556" s="23" t="s">
        <v>83</v>
      </c>
      <c r="O556" s="24">
        <v>6</v>
      </c>
      <c r="P556" s="24">
        <v>18</v>
      </c>
      <c r="Q556" s="23" t="s">
        <v>66</v>
      </c>
      <c r="R556" s="23"/>
      <c r="S556" s="47"/>
    </row>
    <row r="557" spans="2:19" x14ac:dyDescent="0.25">
      <c r="B557" s="181"/>
      <c r="C557" s="177" t="s">
        <v>84</v>
      </c>
      <c r="D557" s="23" t="s">
        <v>2</v>
      </c>
      <c r="E557" s="24">
        <v>1</v>
      </c>
      <c r="F557" s="24">
        <v>19</v>
      </c>
      <c r="G557" s="23" t="s">
        <v>66</v>
      </c>
      <c r="H557" s="23"/>
      <c r="I557" s="47"/>
      <c r="L557" s="181"/>
      <c r="M557" s="177" t="s">
        <v>84</v>
      </c>
      <c r="N557" s="23" t="s">
        <v>2</v>
      </c>
      <c r="O557" s="24">
        <v>1</v>
      </c>
      <c r="P557" s="24">
        <v>19</v>
      </c>
      <c r="Q557" s="23" t="s">
        <v>66</v>
      </c>
      <c r="R557" s="23"/>
      <c r="S557" s="47"/>
    </row>
    <row r="558" spans="2:19" x14ac:dyDescent="0.25">
      <c r="B558" s="181"/>
      <c r="C558" s="178"/>
      <c r="D558" s="23" t="s">
        <v>3</v>
      </c>
      <c r="E558" s="24">
        <v>2</v>
      </c>
      <c r="F558" s="24">
        <v>20</v>
      </c>
      <c r="G558" s="23" t="s">
        <v>66</v>
      </c>
      <c r="H558" s="23"/>
      <c r="I558" s="47"/>
      <c r="L558" s="181"/>
      <c r="M558" s="178"/>
      <c r="N558" s="23" t="s">
        <v>3</v>
      </c>
      <c r="O558" s="24">
        <v>2</v>
      </c>
      <c r="P558" s="24">
        <v>20</v>
      </c>
      <c r="Q558" s="23" t="s">
        <v>66</v>
      </c>
      <c r="R558" s="23"/>
      <c r="S558" s="47"/>
    </row>
    <row r="559" spans="2:19" x14ac:dyDescent="0.25">
      <c r="B559" s="181"/>
      <c r="C559" s="178"/>
      <c r="D559" s="23" t="s">
        <v>80</v>
      </c>
      <c r="E559" s="26">
        <v>3</v>
      </c>
      <c r="F559" s="24">
        <v>21</v>
      </c>
      <c r="G559" s="23" t="s">
        <v>66</v>
      </c>
      <c r="H559" s="23"/>
      <c r="I559" s="47"/>
      <c r="L559" s="181"/>
      <c r="M559" s="178"/>
      <c r="N559" s="23" t="s">
        <v>80</v>
      </c>
      <c r="O559" s="26">
        <v>3</v>
      </c>
      <c r="P559" s="24">
        <v>21</v>
      </c>
      <c r="Q559" s="23" t="s">
        <v>66</v>
      </c>
      <c r="R559" s="23"/>
      <c r="S559" s="47"/>
    </row>
    <row r="560" spans="2:19" x14ac:dyDescent="0.25">
      <c r="B560" s="181"/>
      <c r="C560" s="178"/>
      <c r="D560" s="23" t="s">
        <v>81</v>
      </c>
      <c r="E560" s="24">
        <v>4</v>
      </c>
      <c r="F560" s="24">
        <v>22</v>
      </c>
      <c r="G560" s="23" t="s">
        <v>66</v>
      </c>
      <c r="H560" s="23"/>
      <c r="I560" s="47"/>
      <c r="L560" s="181"/>
      <c r="M560" s="178"/>
      <c r="N560" s="23" t="s">
        <v>81</v>
      </c>
      <c r="O560" s="24">
        <v>4</v>
      </c>
      <c r="P560" s="24">
        <v>22</v>
      </c>
      <c r="Q560" s="23" t="s">
        <v>66</v>
      </c>
      <c r="R560" s="23"/>
      <c r="S560" s="47"/>
    </row>
    <row r="561" spans="2:19" x14ac:dyDescent="0.25">
      <c r="B561" s="181"/>
      <c r="C561" s="178"/>
      <c r="D561" s="23" t="s">
        <v>82</v>
      </c>
      <c r="E561" s="24">
        <v>5</v>
      </c>
      <c r="F561" s="24">
        <v>23</v>
      </c>
      <c r="G561" s="23" t="s">
        <v>66</v>
      </c>
      <c r="H561" s="23"/>
      <c r="I561" s="47"/>
      <c r="L561" s="181"/>
      <c r="M561" s="178"/>
      <c r="N561" s="23" t="s">
        <v>82</v>
      </c>
      <c r="O561" s="24">
        <v>5</v>
      </c>
      <c r="P561" s="24">
        <v>23</v>
      </c>
      <c r="Q561" s="23" t="s">
        <v>66</v>
      </c>
      <c r="R561" s="23"/>
      <c r="S561" s="47"/>
    </row>
    <row r="562" spans="2:19" ht="15.75" thickBot="1" x14ac:dyDescent="0.3">
      <c r="B562" s="182"/>
      <c r="C562" s="179"/>
      <c r="D562" s="23" t="s">
        <v>83</v>
      </c>
      <c r="E562" s="24">
        <v>6</v>
      </c>
      <c r="F562" s="24">
        <v>24</v>
      </c>
      <c r="G562" s="23" t="s">
        <v>66</v>
      </c>
      <c r="H562" s="23"/>
      <c r="I562" s="47"/>
      <c r="L562" s="182"/>
      <c r="M562" s="179"/>
      <c r="N562" s="23" t="s">
        <v>83</v>
      </c>
      <c r="O562" s="24">
        <v>6</v>
      </c>
      <c r="P562" s="24">
        <v>24</v>
      </c>
      <c r="Q562" s="23" t="s">
        <v>66</v>
      </c>
      <c r="R562" s="23"/>
      <c r="S562" s="47"/>
    </row>
    <row r="563" spans="2:19" x14ac:dyDescent="0.25">
      <c r="B563" s="189" t="s">
        <v>80</v>
      </c>
      <c r="C563" s="192" t="s">
        <v>77</v>
      </c>
      <c r="D563" s="27" t="s">
        <v>2</v>
      </c>
      <c r="E563" s="28">
        <v>1</v>
      </c>
      <c r="F563" s="28">
        <v>25</v>
      </c>
      <c r="G563" s="27" t="s">
        <v>66</v>
      </c>
      <c r="H563" s="27"/>
      <c r="I563" s="48"/>
      <c r="L563" s="189" t="s">
        <v>80</v>
      </c>
      <c r="M563" s="192" t="s">
        <v>77</v>
      </c>
      <c r="N563" s="27" t="s">
        <v>2</v>
      </c>
      <c r="O563" s="28">
        <v>1</v>
      </c>
      <c r="P563" s="28">
        <v>25</v>
      </c>
      <c r="Q563" s="27" t="s">
        <v>66</v>
      </c>
      <c r="R563" s="27"/>
      <c r="S563" s="48"/>
    </row>
    <row r="564" spans="2:19" x14ac:dyDescent="0.25">
      <c r="B564" s="190"/>
      <c r="C564" s="193"/>
      <c r="D564" s="27" t="s">
        <v>3</v>
      </c>
      <c r="E564" s="28">
        <v>2</v>
      </c>
      <c r="F564" s="28">
        <v>26</v>
      </c>
      <c r="G564" s="27" t="s">
        <v>66</v>
      </c>
      <c r="H564" s="27"/>
      <c r="I564" s="48"/>
      <c r="L564" s="190"/>
      <c r="M564" s="193"/>
      <c r="N564" s="27" t="s">
        <v>3</v>
      </c>
      <c r="O564" s="28">
        <v>2</v>
      </c>
      <c r="P564" s="28">
        <v>26</v>
      </c>
      <c r="Q564" s="27" t="s">
        <v>66</v>
      </c>
      <c r="R564" s="27"/>
      <c r="S564" s="48"/>
    </row>
    <row r="565" spans="2:19" x14ac:dyDescent="0.25">
      <c r="B565" s="190"/>
      <c r="C565" s="193"/>
      <c r="D565" s="27" t="s">
        <v>80</v>
      </c>
      <c r="E565" s="28">
        <v>3</v>
      </c>
      <c r="F565" s="28">
        <v>27</v>
      </c>
      <c r="G565" s="27" t="s">
        <v>66</v>
      </c>
      <c r="H565" s="27"/>
      <c r="I565" s="48"/>
      <c r="L565" s="190"/>
      <c r="M565" s="193"/>
      <c r="N565" s="27" t="s">
        <v>80</v>
      </c>
      <c r="O565" s="28">
        <v>3</v>
      </c>
      <c r="P565" s="28">
        <v>27</v>
      </c>
      <c r="Q565" s="27" t="s">
        <v>66</v>
      </c>
      <c r="R565" s="27"/>
      <c r="S565" s="48"/>
    </row>
    <row r="566" spans="2:19" x14ac:dyDescent="0.25">
      <c r="B566" s="190"/>
      <c r="C566" s="193"/>
      <c r="D566" s="27" t="s">
        <v>81</v>
      </c>
      <c r="E566" s="28">
        <v>4</v>
      </c>
      <c r="F566" s="28">
        <v>28</v>
      </c>
      <c r="G566" s="27" t="s">
        <v>66</v>
      </c>
      <c r="H566" s="27"/>
      <c r="I566" s="48"/>
      <c r="L566" s="190"/>
      <c r="M566" s="193"/>
      <c r="N566" s="27" t="s">
        <v>81</v>
      </c>
      <c r="O566" s="28">
        <v>4</v>
      </c>
      <c r="P566" s="28">
        <v>28</v>
      </c>
      <c r="Q566" s="27" t="s">
        <v>66</v>
      </c>
      <c r="R566" s="27"/>
      <c r="S566" s="48"/>
    </row>
    <row r="567" spans="2:19" x14ac:dyDescent="0.25">
      <c r="B567" s="190"/>
      <c r="C567" s="193"/>
      <c r="D567" s="27" t="s">
        <v>82</v>
      </c>
      <c r="E567" s="28">
        <v>5</v>
      </c>
      <c r="F567" s="28">
        <v>29</v>
      </c>
      <c r="G567" s="27" t="s">
        <v>66</v>
      </c>
      <c r="H567" s="27"/>
      <c r="I567" s="48"/>
      <c r="L567" s="190"/>
      <c r="M567" s="193"/>
      <c r="N567" s="27" t="s">
        <v>82</v>
      </c>
      <c r="O567" s="28">
        <v>5</v>
      </c>
      <c r="P567" s="28">
        <v>29</v>
      </c>
      <c r="Q567" s="27" t="s">
        <v>66</v>
      </c>
      <c r="R567" s="27"/>
      <c r="S567" s="48"/>
    </row>
    <row r="568" spans="2:19" ht="15.75" thickBot="1" x14ac:dyDescent="0.3">
      <c r="B568" s="190"/>
      <c r="C568" s="194"/>
      <c r="D568" s="27" t="s">
        <v>83</v>
      </c>
      <c r="E568" s="28">
        <v>6</v>
      </c>
      <c r="F568" s="28">
        <v>30</v>
      </c>
      <c r="G568" s="27" t="s">
        <v>66</v>
      </c>
      <c r="H568" s="27"/>
      <c r="I568" s="48"/>
      <c r="L568" s="190"/>
      <c r="M568" s="194"/>
      <c r="N568" s="27" t="s">
        <v>83</v>
      </c>
      <c r="O568" s="28">
        <v>6</v>
      </c>
      <c r="P568" s="28">
        <v>30</v>
      </c>
      <c r="Q568" s="27" t="s">
        <v>66</v>
      </c>
      <c r="R568" s="27"/>
      <c r="S568" s="48"/>
    </row>
    <row r="569" spans="2:19" x14ac:dyDescent="0.25">
      <c r="B569" s="190"/>
      <c r="C569" s="192" t="s">
        <v>84</v>
      </c>
      <c r="D569" s="27" t="s">
        <v>2</v>
      </c>
      <c r="E569" s="28">
        <v>1</v>
      </c>
      <c r="F569" s="28">
        <v>31</v>
      </c>
      <c r="G569" s="27" t="s">
        <v>66</v>
      </c>
      <c r="H569" s="27"/>
      <c r="I569" s="48"/>
      <c r="L569" s="190"/>
      <c r="M569" s="192" t="s">
        <v>84</v>
      </c>
      <c r="N569" s="27" t="s">
        <v>2</v>
      </c>
      <c r="O569" s="28">
        <v>1</v>
      </c>
      <c r="P569" s="28">
        <v>31</v>
      </c>
      <c r="Q569" s="27" t="s">
        <v>66</v>
      </c>
      <c r="R569" s="27"/>
      <c r="S569" s="48"/>
    </row>
    <row r="570" spans="2:19" x14ac:dyDescent="0.25">
      <c r="B570" s="190"/>
      <c r="C570" s="193"/>
      <c r="D570" s="27" t="s">
        <v>3</v>
      </c>
      <c r="E570" s="28">
        <v>2</v>
      </c>
      <c r="F570" s="28">
        <v>32</v>
      </c>
      <c r="G570" s="27" t="s">
        <v>66</v>
      </c>
      <c r="H570" s="27"/>
      <c r="I570" s="48"/>
      <c r="L570" s="190"/>
      <c r="M570" s="193"/>
      <c r="N570" s="27" t="s">
        <v>3</v>
      </c>
      <c r="O570" s="28">
        <v>2</v>
      </c>
      <c r="P570" s="28">
        <v>32</v>
      </c>
      <c r="Q570" s="27" t="s">
        <v>66</v>
      </c>
      <c r="R570" s="27"/>
      <c r="S570" s="48"/>
    </row>
    <row r="571" spans="2:19" x14ac:dyDescent="0.25">
      <c r="B571" s="190"/>
      <c r="C571" s="193"/>
      <c r="D571" s="27" t="s">
        <v>80</v>
      </c>
      <c r="E571" s="28">
        <v>3</v>
      </c>
      <c r="F571" s="28">
        <v>33</v>
      </c>
      <c r="G571" s="27" t="s">
        <v>66</v>
      </c>
      <c r="H571" s="27"/>
      <c r="I571" s="48"/>
      <c r="L571" s="190"/>
      <c r="M571" s="193"/>
      <c r="N571" s="27" t="s">
        <v>80</v>
      </c>
      <c r="O571" s="28">
        <v>3</v>
      </c>
      <c r="P571" s="28">
        <v>33</v>
      </c>
      <c r="Q571" s="27" t="s">
        <v>66</v>
      </c>
      <c r="R571" s="27"/>
      <c r="S571" s="48"/>
    </row>
    <row r="572" spans="2:19" x14ac:dyDescent="0.25">
      <c r="B572" s="190"/>
      <c r="C572" s="193"/>
      <c r="D572" s="27" t="s">
        <v>81</v>
      </c>
      <c r="E572" s="28">
        <v>4</v>
      </c>
      <c r="F572" s="28">
        <v>34</v>
      </c>
      <c r="G572" s="27" t="s">
        <v>66</v>
      </c>
      <c r="H572" s="27"/>
      <c r="I572" s="48"/>
      <c r="L572" s="190"/>
      <c r="M572" s="193"/>
      <c r="N572" s="27" t="s">
        <v>81</v>
      </c>
      <c r="O572" s="28">
        <v>4</v>
      </c>
      <c r="P572" s="28">
        <v>34</v>
      </c>
      <c r="Q572" s="27" t="s">
        <v>66</v>
      </c>
      <c r="R572" s="27"/>
      <c r="S572" s="48"/>
    </row>
    <row r="573" spans="2:19" x14ac:dyDescent="0.25">
      <c r="B573" s="190"/>
      <c r="C573" s="193"/>
      <c r="D573" s="27" t="s">
        <v>82</v>
      </c>
      <c r="E573" s="28">
        <v>5</v>
      </c>
      <c r="F573" s="28">
        <v>35</v>
      </c>
      <c r="G573" s="27" t="s">
        <v>66</v>
      </c>
      <c r="H573" s="27"/>
      <c r="I573" s="48"/>
      <c r="L573" s="190"/>
      <c r="M573" s="193"/>
      <c r="N573" s="27" t="s">
        <v>82</v>
      </c>
      <c r="O573" s="28">
        <v>5</v>
      </c>
      <c r="P573" s="28">
        <v>35</v>
      </c>
      <c r="Q573" s="27" t="s">
        <v>66</v>
      </c>
      <c r="R573" s="27"/>
      <c r="S573" s="48"/>
    </row>
    <row r="574" spans="2:19" ht="15.75" thickBot="1" x14ac:dyDescent="0.3">
      <c r="B574" s="191"/>
      <c r="C574" s="194"/>
      <c r="D574" s="27" t="s">
        <v>83</v>
      </c>
      <c r="E574" s="28">
        <v>6</v>
      </c>
      <c r="F574" s="28">
        <v>36</v>
      </c>
      <c r="G574" s="27" t="s">
        <v>66</v>
      </c>
      <c r="H574" s="27"/>
      <c r="I574" s="48"/>
      <c r="L574" s="191"/>
      <c r="M574" s="194"/>
      <c r="N574" s="27" t="s">
        <v>83</v>
      </c>
      <c r="O574" s="28">
        <v>6</v>
      </c>
      <c r="P574" s="28">
        <v>36</v>
      </c>
      <c r="Q574" s="27" t="s">
        <v>66</v>
      </c>
      <c r="R574" s="27"/>
      <c r="S574" s="48"/>
    </row>
    <row r="575" spans="2:19" x14ac:dyDescent="0.25">
      <c r="B575" s="183" t="s">
        <v>81</v>
      </c>
      <c r="C575" s="186" t="s">
        <v>77</v>
      </c>
      <c r="D575" s="29" t="s">
        <v>2</v>
      </c>
      <c r="E575" s="30">
        <v>1</v>
      </c>
      <c r="F575" s="30">
        <v>37</v>
      </c>
      <c r="G575" s="29" t="s">
        <v>66</v>
      </c>
      <c r="H575" s="29"/>
      <c r="I575" s="49"/>
      <c r="L575" s="183" t="s">
        <v>81</v>
      </c>
      <c r="M575" s="186" t="s">
        <v>77</v>
      </c>
      <c r="N575" s="29" t="s">
        <v>2</v>
      </c>
      <c r="O575" s="30">
        <v>1</v>
      </c>
      <c r="P575" s="30">
        <v>37</v>
      </c>
      <c r="Q575" s="29" t="s">
        <v>66</v>
      </c>
      <c r="R575" s="29"/>
      <c r="S575" s="49"/>
    </row>
    <row r="576" spans="2:19" x14ac:dyDescent="0.25">
      <c r="B576" s="184"/>
      <c r="C576" s="187"/>
      <c r="D576" s="29" t="s">
        <v>3</v>
      </c>
      <c r="E576" s="30">
        <v>2</v>
      </c>
      <c r="F576" s="30">
        <v>38</v>
      </c>
      <c r="G576" s="29" t="s">
        <v>66</v>
      </c>
      <c r="H576" s="29"/>
      <c r="I576" s="49"/>
      <c r="L576" s="184"/>
      <c r="M576" s="187"/>
      <c r="N576" s="29" t="s">
        <v>3</v>
      </c>
      <c r="O576" s="30">
        <v>2</v>
      </c>
      <c r="P576" s="30">
        <v>38</v>
      </c>
      <c r="Q576" s="29" t="s">
        <v>66</v>
      </c>
      <c r="R576" s="29"/>
      <c r="S576" s="49"/>
    </row>
    <row r="577" spans="2:19" x14ac:dyDescent="0.25">
      <c r="B577" s="184"/>
      <c r="C577" s="187"/>
      <c r="D577" s="29" t="s">
        <v>80</v>
      </c>
      <c r="E577" s="30">
        <v>3</v>
      </c>
      <c r="F577" s="30">
        <v>39</v>
      </c>
      <c r="G577" s="29" t="s">
        <v>66</v>
      </c>
      <c r="H577" s="29"/>
      <c r="I577" s="49"/>
      <c r="L577" s="184"/>
      <c r="M577" s="187"/>
      <c r="N577" s="29" t="s">
        <v>80</v>
      </c>
      <c r="O577" s="30">
        <v>3</v>
      </c>
      <c r="P577" s="30">
        <v>39</v>
      </c>
      <c r="Q577" s="29" t="s">
        <v>66</v>
      </c>
      <c r="R577" s="29"/>
      <c r="S577" s="49"/>
    </row>
    <row r="578" spans="2:19" x14ac:dyDescent="0.25">
      <c r="B578" s="184"/>
      <c r="C578" s="187"/>
      <c r="D578" s="29" t="s">
        <v>81</v>
      </c>
      <c r="E578" s="30">
        <v>4</v>
      </c>
      <c r="F578" s="30">
        <v>40</v>
      </c>
      <c r="G578" s="29" t="s">
        <v>66</v>
      </c>
      <c r="H578" s="29"/>
      <c r="I578" s="49"/>
      <c r="L578" s="184"/>
      <c r="M578" s="187"/>
      <c r="N578" s="29" t="s">
        <v>81</v>
      </c>
      <c r="O578" s="30">
        <v>4</v>
      </c>
      <c r="P578" s="30">
        <v>40</v>
      </c>
      <c r="Q578" s="29" t="s">
        <v>66</v>
      </c>
      <c r="R578" s="29"/>
      <c r="S578" s="49"/>
    </row>
    <row r="579" spans="2:19" x14ac:dyDescent="0.25">
      <c r="B579" s="184"/>
      <c r="C579" s="187"/>
      <c r="D579" s="29" t="s">
        <v>82</v>
      </c>
      <c r="E579" s="30">
        <v>5</v>
      </c>
      <c r="F579" s="30">
        <v>41</v>
      </c>
      <c r="G579" s="29" t="s">
        <v>66</v>
      </c>
      <c r="H579" s="29"/>
      <c r="I579" s="49"/>
      <c r="L579" s="184"/>
      <c r="M579" s="187"/>
      <c r="N579" s="29" t="s">
        <v>82</v>
      </c>
      <c r="O579" s="30">
        <v>5</v>
      </c>
      <c r="P579" s="30">
        <v>41</v>
      </c>
      <c r="Q579" s="29" t="s">
        <v>66</v>
      </c>
      <c r="R579" s="29"/>
      <c r="S579" s="49"/>
    </row>
    <row r="580" spans="2:19" ht="15.75" thickBot="1" x14ac:dyDescent="0.3">
      <c r="B580" s="184"/>
      <c r="C580" s="188"/>
      <c r="D580" s="29" t="s">
        <v>83</v>
      </c>
      <c r="E580" s="30">
        <v>6</v>
      </c>
      <c r="F580" s="30">
        <v>42</v>
      </c>
      <c r="G580" s="29" t="s">
        <v>66</v>
      </c>
      <c r="H580" s="29"/>
      <c r="I580" s="49"/>
      <c r="L580" s="184"/>
      <c r="M580" s="188"/>
      <c r="N580" s="29" t="s">
        <v>83</v>
      </c>
      <c r="O580" s="30">
        <v>6</v>
      </c>
      <c r="P580" s="30">
        <v>42</v>
      </c>
      <c r="Q580" s="29" t="s">
        <v>66</v>
      </c>
      <c r="R580" s="29"/>
      <c r="S580" s="49"/>
    </row>
    <row r="581" spans="2:19" x14ac:dyDescent="0.25">
      <c r="B581" s="184"/>
      <c r="C581" s="186" t="s">
        <v>84</v>
      </c>
      <c r="D581" s="29" t="s">
        <v>2</v>
      </c>
      <c r="E581" s="30">
        <v>1</v>
      </c>
      <c r="F581" s="30">
        <v>43</v>
      </c>
      <c r="G581" s="29" t="s">
        <v>66</v>
      </c>
      <c r="H581" s="29"/>
      <c r="I581" s="49"/>
      <c r="L581" s="184"/>
      <c r="M581" s="186" t="s">
        <v>84</v>
      </c>
      <c r="N581" s="29" t="s">
        <v>2</v>
      </c>
      <c r="O581" s="30">
        <v>1</v>
      </c>
      <c r="P581" s="30">
        <v>43</v>
      </c>
      <c r="Q581" s="29" t="s">
        <v>66</v>
      </c>
      <c r="R581" s="29"/>
      <c r="S581" s="49"/>
    </row>
    <row r="582" spans="2:19" x14ac:dyDescent="0.25">
      <c r="B582" s="184"/>
      <c r="C582" s="187"/>
      <c r="D582" s="29" t="s">
        <v>3</v>
      </c>
      <c r="E582" s="30">
        <v>2</v>
      </c>
      <c r="F582" s="30">
        <v>44</v>
      </c>
      <c r="G582" s="29" t="s">
        <v>66</v>
      </c>
      <c r="H582" s="29"/>
      <c r="I582" s="49"/>
      <c r="L582" s="184"/>
      <c r="M582" s="187"/>
      <c r="N582" s="29" t="s">
        <v>3</v>
      </c>
      <c r="O582" s="30">
        <v>2</v>
      </c>
      <c r="P582" s="30">
        <v>44</v>
      </c>
      <c r="Q582" s="29" t="s">
        <v>66</v>
      </c>
      <c r="R582" s="29"/>
      <c r="S582" s="49"/>
    </row>
    <row r="583" spans="2:19" x14ac:dyDescent="0.25">
      <c r="B583" s="184"/>
      <c r="C583" s="187"/>
      <c r="D583" s="29" t="s">
        <v>80</v>
      </c>
      <c r="E583" s="30">
        <v>3</v>
      </c>
      <c r="F583" s="30">
        <v>45</v>
      </c>
      <c r="G583" s="29" t="s">
        <v>66</v>
      </c>
      <c r="H583" s="29"/>
      <c r="I583" s="49"/>
      <c r="L583" s="184"/>
      <c r="M583" s="187"/>
      <c r="N583" s="29" t="s">
        <v>80</v>
      </c>
      <c r="O583" s="30">
        <v>3</v>
      </c>
      <c r="P583" s="30">
        <v>45</v>
      </c>
      <c r="Q583" s="29" t="s">
        <v>66</v>
      </c>
      <c r="R583" s="29"/>
      <c r="S583" s="49"/>
    </row>
    <row r="584" spans="2:19" x14ac:dyDescent="0.25">
      <c r="B584" s="184"/>
      <c r="C584" s="187"/>
      <c r="D584" s="29" t="s">
        <v>81</v>
      </c>
      <c r="E584" s="30">
        <v>4</v>
      </c>
      <c r="F584" s="30">
        <v>46</v>
      </c>
      <c r="G584" s="29" t="s">
        <v>66</v>
      </c>
      <c r="H584" s="29"/>
      <c r="I584" s="49"/>
      <c r="L584" s="184"/>
      <c r="M584" s="187"/>
      <c r="N584" s="29" t="s">
        <v>81</v>
      </c>
      <c r="O584" s="30">
        <v>4</v>
      </c>
      <c r="P584" s="30">
        <v>46</v>
      </c>
      <c r="Q584" s="29" t="s">
        <v>66</v>
      </c>
      <c r="R584" s="29"/>
      <c r="S584" s="49"/>
    </row>
    <row r="585" spans="2:19" x14ac:dyDescent="0.25">
      <c r="B585" s="184"/>
      <c r="C585" s="187"/>
      <c r="D585" s="29" t="s">
        <v>82</v>
      </c>
      <c r="E585" s="30">
        <v>5</v>
      </c>
      <c r="F585" s="30">
        <v>47</v>
      </c>
      <c r="G585" s="29" t="s">
        <v>66</v>
      </c>
      <c r="H585" s="29"/>
      <c r="I585" s="49"/>
      <c r="L585" s="184"/>
      <c r="M585" s="187"/>
      <c r="N585" s="29" t="s">
        <v>82</v>
      </c>
      <c r="O585" s="30">
        <v>5</v>
      </c>
      <c r="P585" s="30">
        <v>47</v>
      </c>
      <c r="Q585" s="29" t="s">
        <v>66</v>
      </c>
      <c r="R585" s="29"/>
      <c r="S585" s="49"/>
    </row>
    <row r="586" spans="2:19" ht="15.75" thickBot="1" x14ac:dyDescent="0.3">
      <c r="B586" s="185"/>
      <c r="C586" s="188"/>
      <c r="D586" s="29" t="s">
        <v>83</v>
      </c>
      <c r="E586" s="30">
        <v>6</v>
      </c>
      <c r="F586" s="30">
        <v>48</v>
      </c>
      <c r="G586" s="29" t="s">
        <v>66</v>
      </c>
      <c r="H586" s="29"/>
      <c r="I586" s="49"/>
      <c r="L586" s="185"/>
      <c r="M586" s="188"/>
      <c r="N586" s="29" t="s">
        <v>83</v>
      </c>
      <c r="O586" s="30">
        <v>6</v>
      </c>
      <c r="P586" s="30">
        <v>48</v>
      </c>
      <c r="Q586" s="29" t="s">
        <v>66</v>
      </c>
      <c r="R586" s="29"/>
      <c r="S586" s="49"/>
    </row>
    <row r="587" spans="2:19" ht="15.75" thickBot="1" x14ac:dyDescent="0.3"/>
    <row r="588" spans="2:19" ht="15.75" thickBot="1" x14ac:dyDescent="0.3">
      <c r="B588" s="171" t="s">
        <v>366</v>
      </c>
      <c r="C588" s="172"/>
      <c r="D588" s="172"/>
      <c r="E588" s="172"/>
      <c r="F588" s="172"/>
      <c r="G588" s="172"/>
      <c r="H588" s="172"/>
      <c r="I588" s="173"/>
      <c r="L588" s="171" t="s">
        <v>367</v>
      </c>
      <c r="M588" s="172"/>
      <c r="N588" s="172"/>
      <c r="O588" s="172"/>
      <c r="P588" s="172"/>
      <c r="Q588" s="172"/>
      <c r="R588" s="172"/>
      <c r="S588" s="173"/>
    </row>
    <row r="590" spans="2:19" ht="26.25" thickBot="1" x14ac:dyDescent="0.3">
      <c r="B590" s="15" t="s">
        <v>70</v>
      </c>
      <c r="C590" s="16" t="s">
        <v>71</v>
      </c>
      <c r="D590" s="15" t="s">
        <v>72</v>
      </c>
      <c r="E590" s="17" t="s">
        <v>73</v>
      </c>
      <c r="F590" s="17" t="s">
        <v>74</v>
      </c>
      <c r="G590" s="15" t="s">
        <v>75</v>
      </c>
      <c r="H590" s="15" t="s">
        <v>55</v>
      </c>
      <c r="I590" s="15" t="s">
        <v>76</v>
      </c>
      <c r="L590" s="15" t="s">
        <v>70</v>
      </c>
      <c r="M590" s="16" t="s">
        <v>71</v>
      </c>
      <c r="N590" s="15" t="s">
        <v>72</v>
      </c>
      <c r="O590" s="17" t="s">
        <v>73</v>
      </c>
      <c r="P590" s="17" t="s">
        <v>74</v>
      </c>
      <c r="Q590" s="15" t="s">
        <v>75</v>
      </c>
      <c r="R590" s="15" t="s">
        <v>55</v>
      </c>
      <c r="S590" s="15" t="s">
        <v>76</v>
      </c>
    </row>
    <row r="591" spans="2:19" x14ac:dyDescent="0.25">
      <c r="B591" s="174" t="s">
        <v>2</v>
      </c>
      <c r="C591" s="168" t="s">
        <v>77</v>
      </c>
      <c r="D591" s="18" t="s">
        <v>2</v>
      </c>
      <c r="E591" s="19">
        <v>1</v>
      </c>
      <c r="F591" s="19">
        <v>1</v>
      </c>
      <c r="G591" s="18" t="s">
        <v>66</v>
      </c>
      <c r="H591" s="32"/>
      <c r="I591" s="50"/>
      <c r="L591" s="174" t="s">
        <v>2</v>
      </c>
      <c r="M591" s="168" t="s">
        <v>77</v>
      </c>
      <c r="N591" s="18" t="s">
        <v>2</v>
      </c>
      <c r="O591" s="19">
        <v>1</v>
      </c>
      <c r="P591" s="19">
        <v>1</v>
      </c>
      <c r="Q591" s="18" t="s">
        <v>66</v>
      </c>
      <c r="R591" s="32"/>
      <c r="S591" s="50"/>
    </row>
    <row r="592" spans="2:19" x14ac:dyDescent="0.25">
      <c r="B592" s="175"/>
      <c r="C592" s="169"/>
      <c r="D592" s="18" t="s">
        <v>3</v>
      </c>
      <c r="E592" s="19">
        <v>2</v>
      </c>
      <c r="F592" s="19">
        <v>2</v>
      </c>
      <c r="G592" s="18" t="s">
        <v>66</v>
      </c>
      <c r="H592" s="32"/>
      <c r="I592" s="50"/>
      <c r="L592" s="175"/>
      <c r="M592" s="169"/>
      <c r="N592" s="18" t="s">
        <v>3</v>
      </c>
      <c r="O592" s="19">
        <v>2</v>
      </c>
      <c r="P592" s="19">
        <v>2</v>
      </c>
      <c r="Q592" s="18" t="s">
        <v>66</v>
      </c>
      <c r="R592" s="32"/>
      <c r="S592" s="50"/>
    </row>
    <row r="593" spans="2:19" x14ac:dyDescent="0.25">
      <c r="B593" s="175"/>
      <c r="C593" s="169"/>
      <c r="D593" s="18" t="s">
        <v>80</v>
      </c>
      <c r="E593" s="20">
        <v>3</v>
      </c>
      <c r="F593" s="20">
        <v>3</v>
      </c>
      <c r="G593" s="18" t="s">
        <v>66</v>
      </c>
      <c r="H593" s="32"/>
      <c r="I593" s="50"/>
      <c r="L593" s="175"/>
      <c r="M593" s="169"/>
      <c r="N593" s="18" t="s">
        <v>80</v>
      </c>
      <c r="O593" s="20">
        <v>3</v>
      </c>
      <c r="P593" s="20">
        <v>3</v>
      </c>
      <c r="Q593" s="18" t="s">
        <v>66</v>
      </c>
      <c r="R593" s="32"/>
      <c r="S593" s="50"/>
    </row>
    <row r="594" spans="2:19" x14ac:dyDescent="0.25">
      <c r="B594" s="175"/>
      <c r="C594" s="169"/>
      <c r="D594" s="18" t="s">
        <v>81</v>
      </c>
      <c r="E594" s="20">
        <v>4</v>
      </c>
      <c r="F594" s="20">
        <v>4</v>
      </c>
      <c r="G594" s="18" t="s">
        <v>66</v>
      </c>
      <c r="H594" s="32"/>
      <c r="I594" s="50"/>
      <c r="L594" s="175"/>
      <c r="M594" s="169"/>
      <c r="N594" s="18" t="s">
        <v>81</v>
      </c>
      <c r="O594" s="20">
        <v>4</v>
      </c>
      <c r="P594" s="20">
        <v>4</v>
      </c>
      <c r="Q594" s="18" t="s">
        <v>66</v>
      </c>
      <c r="R594" s="32"/>
      <c r="S594" s="50"/>
    </row>
    <row r="595" spans="2:19" x14ac:dyDescent="0.25">
      <c r="B595" s="175"/>
      <c r="C595" s="169"/>
      <c r="D595" s="18" t="s">
        <v>82</v>
      </c>
      <c r="E595" s="20">
        <v>5</v>
      </c>
      <c r="F595" s="20">
        <v>5</v>
      </c>
      <c r="G595" s="18" t="s">
        <v>66</v>
      </c>
      <c r="H595" s="32"/>
      <c r="I595" s="50"/>
      <c r="L595" s="175"/>
      <c r="M595" s="169"/>
      <c r="N595" s="18" t="s">
        <v>82</v>
      </c>
      <c r="O595" s="20">
        <v>5</v>
      </c>
      <c r="P595" s="20">
        <v>5</v>
      </c>
      <c r="Q595" s="18" t="s">
        <v>66</v>
      </c>
      <c r="R595" s="32"/>
      <c r="S595" s="50"/>
    </row>
    <row r="596" spans="2:19" ht="15.75" thickBot="1" x14ac:dyDescent="0.3">
      <c r="B596" s="175"/>
      <c r="C596" s="170"/>
      <c r="D596" s="18" t="s">
        <v>83</v>
      </c>
      <c r="E596" s="20">
        <v>6</v>
      </c>
      <c r="F596" s="20">
        <v>6</v>
      </c>
      <c r="G596" s="18" t="s">
        <v>66</v>
      </c>
      <c r="H596" s="32"/>
      <c r="I596" s="50"/>
      <c r="L596" s="175"/>
      <c r="M596" s="170"/>
      <c r="N596" s="18" t="s">
        <v>83</v>
      </c>
      <c r="O596" s="20">
        <v>6</v>
      </c>
      <c r="P596" s="20">
        <v>6</v>
      </c>
      <c r="Q596" s="18" t="s">
        <v>66</v>
      </c>
      <c r="R596" s="32"/>
      <c r="S596" s="50"/>
    </row>
    <row r="597" spans="2:19" x14ac:dyDescent="0.25">
      <c r="B597" s="175"/>
      <c r="C597" s="168" t="s">
        <v>84</v>
      </c>
      <c r="D597" s="18" t="s">
        <v>2</v>
      </c>
      <c r="E597" s="19">
        <v>1</v>
      </c>
      <c r="F597" s="19">
        <v>7</v>
      </c>
      <c r="G597" s="18" t="s">
        <v>78</v>
      </c>
      <c r="H597" s="156" t="s">
        <v>130</v>
      </c>
      <c r="I597" s="165" t="s">
        <v>202</v>
      </c>
      <c r="L597" s="175"/>
      <c r="M597" s="168" t="s">
        <v>84</v>
      </c>
      <c r="N597" s="18" t="s">
        <v>2</v>
      </c>
      <c r="O597" s="19">
        <v>1</v>
      </c>
      <c r="P597" s="19">
        <v>7</v>
      </c>
      <c r="Q597" s="18" t="s">
        <v>78</v>
      </c>
      <c r="R597" s="156" t="s">
        <v>130</v>
      </c>
      <c r="S597" s="165" t="s">
        <v>204</v>
      </c>
    </row>
    <row r="598" spans="2:19" x14ac:dyDescent="0.25">
      <c r="B598" s="175"/>
      <c r="C598" s="169"/>
      <c r="D598" s="18" t="s">
        <v>3</v>
      </c>
      <c r="E598" s="19">
        <v>2</v>
      </c>
      <c r="F598" s="19">
        <v>8</v>
      </c>
      <c r="G598" s="18" t="s">
        <v>78</v>
      </c>
      <c r="H598" s="157"/>
      <c r="I598" s="166"/>
      <c r="L598" s="175"/>
      <c r="M598" s="169"/>
      <c r="N598" s="18" t="s">
        <v>3</v>
      </c>
      <c r="O598" s="19">
        <v>2</v>
      </c>
      <c r="P598" s="19">
        <v>8</v>
      </c>
      <c r="Q598" s="18" t="s">
        <v>78</v>
      </c>
      <c r="R598" s="157"/>
      <c r="S598" s="166"/>
    </row>
    <row r="599" spans="2:19" x14ac:dyDescent="0.25">
      <c r="B599" s="175"/>
      <c r="C599" s="169"/>
      <c r="D599" s="18" t="s">
        <v>80</v>
      </c>
      <c r="E599" s="20">
        <v>3</v>
      </c>
      <c r="F599" s="20">
        <v>9</v>
      </c>
      <c r="G599" s="18" t="s">
        <v>66</v>
      </c>
      <c r="H599" s="157"/>
      <c r="I599" s="166"/>
      <c r="L599" s="175"/>
      <c r="M599" s="169"/>
      <c r="N599" s="18" t="s">
        <v>80</v>
      </c>
      <c r="O599" s="20">
        <v>3</v>
      </c>
      <c r="P599" s="20">
        <v>9</v>
      </c>
      <c r="Q599" s="18" t="s">
        <v>66</v>
      </c>
      <c r="R599" s="157"/>
      <c r="S599" s="166"/>
    </row>
    <row r="600" spans="2:19" x14ac:dyDescent="0.25">
      <c r="B600" s="175"/>
      <c r="C600" s="169"/>
      <c r="D600" s="18" t="s">
        <v>81</v>
      </c>
      <c r="E600" s="20">
        <v>4</v>
      </c>
      <c r="F600" s="20">
        <v>10</v>
      </c>
      <c r="G600" s="18" t="s">
        <v>66</v>
      </c>
      <c r="H600" s="157"/>
      <c r="I600" s="166"/>
      <c r="L600" s="175"/>
      <c r="M600" s="169"/>
      <c r="N600" s="18" t="s">
        <v>81</v>
      </c>
      <c r="O600" s="20">
        <v>4</v>
      </c>
      <c r="P600" s="20">
        <v>10</v>
      </c>
      <c r="Q600" s="18" t="s">
        <v>66</v>
      </c>
      <c r="R600" s="157"/>
      <c r="S600" s="166"/>
    </row>
    <row r="601" spans="2:19" x14ac:dyDescent="0.25">
      <c r="B601" s="175"/>
      <c r="C601" s="169"/>
      <c r="D601" s="18" t="s">
        <v>82</v>
      </c>
      <c r="E601" s="20">
        <v>5</v>
      </c>
      <c r="F601" s="20">
        <v>11</v>
      </c>
      <c r="G601" s="18" t="s">
        <v>66</v>
      </c>
      <c r="H601" s="157"/>
      <c r="I601" s="166"/>
      <c r="L601" s="175"/>
      <c r="M601" s="169"/>
      <c r="N601" s="18" t="s">
        <v>82</v>
      </c>
      <c r="O601" s="20">
        <v>5</v>
      </c>
      <c r="P601" s="20">
        <v>11</v>
      </c>
      <c r="Q601" s="18" t="s">
        <v>66</v>
      </c>
      <c r="R601" s="157"/>
      <c r="S601" s="166"/>
    </row>
    <row r="602" spans="2:19" ht="15.75" thickBot="1" x14ac:dyDescent="0.3">
      <c r="B602" s="176"/>
      <c r="C602" s="170"/>
      <c r="D602" s="18" t="s">
        <v>83</v>
      </c>
      <c r="E602" s="20">
        <v>6</v>
      </c>
      <c r="F602" s="20">
        <v>12</v>
      </c>
      <c r="G602" s="18" t="s">
        <v>66</v>
      </c>
      <c r="H602" s="158"/>
      <c r="I602" s="167"/>
      <c r="L602" s="176"/>
      <c r="M602" s="170"/>
      <c r="N602" s="18" t="s">
        <v>83</v>
      </c>
      <c r="O602" s="20">
        <v>6</v>
      </c>
      <c r="P602" s="20">
        <v>12</v>
      </c>
      <c r="Q602" s="18" t="s">
        <v>66</v>
      </c>
      <c r="R602" s="158"/>
      <c r="S602" s="167"/>
    </row>
    <row r="603" spans="2:19" x14ac:dyDescent="0.25">
      <c r="B603" s="180" t="s">
        <v>3</v>
      </c>
      <c r="C603" s="177" t="s">
        <v>77</v>
      </c>
      <c r="D603" s="21" t="s">
        <v>2</v>
      </c>
      <c r="E603" s="22">
        <v>1</v>
      </c>
      <c r="F603" s="22">
        <v>13</v>
      </c>
      <c r="G603" s="21" t="s">
        <v>66</v>
      </c>
      <c r="H603" s="21"/>
      <c r="I603" s="51"/>
      <c r="L603" s="180" t="s">
        <v>3</v>
      </c>
      <c r="M603" s="177" t="s">
        <v>77</v>
      </c>
      <c r="N603" s="21" t="s">
        <v>2</v>
      </c>
      <c r="O603" s="22">
        <v>1</v>
      </c>
      <c r="P603" s="22">
        <v>13</v>
      </c>
      <c r="Q603" s="21" t="s">
        <v>66</v>
      </c>
      <c r="R603" s="21"/>
      <c r="S603" s="51"/>
    </row>
    <row r="604" spans="2:19" x14ac:dyDescent="0.25">
      <c r="B604" s="181"/>
      <c r="C604" s="178"/>
      <c r="D604" s="23" t="s">
        <v>3</v>
      </c>
      <c r="E604" s="24">
        <v>2</v>
      </c>
      <c r="F604" s="24">
        <v>14</v>
      </c>
      <c r="G604" s="23" t="s">
        <v>66</v>
      </c>
      <c r="H604" s="23"/>
      <c r="I604" s="47"/>
      <c r="L604" s="181"/>
      <c r="M604" s="178"/>
      <c r="N604" s="23" t="s">
        <v>3</v>
      </c>
      <c r="O604" s="24">
        <v>2</v>
      </c>
      <c r="P604" s="24">
        <v>14</v>
      </c>
      <c r="Q604" s="23" t="s">
        <v>66</v>
      </c>
      <c r="R604" s="23"/>
      <c r="S604" s="47"/>
    </row>
    <row r="605" spans="2:19" x14ac:dyDescent="0.25">
      <c r="B605" s="181"/>
      <c r="C605" s="178"/>
      <c r="D605" s="23" t="s">
        <v>80</v>
      </c>
      <c r="E605" s="24">
        <v>3</v>
      </c>
      <c r="F605" s="24">
        <v>15</v>
      </c>
      <c r="G605" s="23" t="s">
        <v>66</v>
      </c>
      <c r="H605" s="23"/>
      <c r="I605" s="47"/>
      <c r="L605" s="181"/>
      <c r="M605" s="178"/>
      <c r="N605" s="23" t="s">
        <v>80</v>
      </c>
      <c r="O605" s="24">
        <v>3</v>
      </c>
      <c r="P605" s="24">
        <v>15</v>
      </c>
      <c r="Q605" s="23" t="s">
        <v>66</v>
      </c>
      <c r="R605" s="23"/>
      <c r="S605" s="47"/>
    </row>
    <row r="606" spans="2:19" x14ac:dyDescent="0.25">
      <c r="B606" s="181"/>
      <c r="C606" s="178"/>
      <c r="D606" s="23" t="s">
        <v>81</v>
      </c>
      <c r="E606" s="24">
        <v>4</v>
      </c>
      <c r="F606" s="24">
        <v>16</v>
      </c>
      <c r="G606" s="23" t="s">
        <v>66</v>
      </c>
      <c r="H606" s="23"/>
      <c r="I606" s="47"/>
      <c r="L606" s="181"/>
      <c r="M606" s="178"/>
      <c r="N606" s="23" t="s">
        <v>81</v>
      </c>
      <c r="O606" s="24">
        <v>4</v>
      </c>
      <c r="P606" s="24">
        <v>16</v>
      </c>
      <c r="Q606" s="23" t="s">
        <v>66</v>
      </c>
      <c r="R606" s="23"/>
      <c r="S606" s="47"/>
    </row>
    <row r="607" spans="2:19" x14ac:dyDescent="0.25">
      <c r="B607" s="181"/>
      <c r="C607" s="178"/>
      <c r="D607" s="23" t="s">
        <v>82</v>
      </c>
      <c r="E607" s="24">
        <v>5</v>
      </c>
      <c r="F607" s="24">
        <v>17</v>
      </c>
      <c r="G607" s="23" t="s">
        <v>66</v>
      </c>
      <c r="H607" s="23"/>
      <c r="I607" s="47"/>
      <c r="L607" s="181"/>
      <c r="M607" s="178"/>
      <c r="N607" s="23" t="s">
        <v>82</v>
      </c>
      <c r="O607" s="24">
        <v>5</v>
      </c>
      <c r="P607" s="24">
        <v>17</v>
      </c>
      <c r="Q607" s="23" t="s">
        <v>66</v>
      </c>
      <c r="R607" s="23"/>
      <c r="S607" s="47"/>
    </row>
    <row r="608" spans="2:19" ht="15.75" thickBot="1" x14ac:dyDescent="0.3">
      <c r="B608" s="181"/>
      <c r="C608" s="179"/>
      <c r="D608" s="23" t="s">
        <v>83</v>
      </c>
      <c r="E608" s="24">
        <v>6</v>
      </c>
      <c r="F608" s="24">
        <v>18</v>
      </c>
      <c r="G608" s="23" t="s">
        <v>66</v>
      </c>
      <c r="H608" s="23"/>
      <c r="I608" s="47"/>
      <c r="L608" s="181"/>
      <c r="M608" s="179"/>
      <c r="N608" s="23" t="s">
        <v>83</v>
      </c>
      <c r="O608" s="24">
        <v>6</v>
      </c>
      <c r="P608" s="24">
        <v>18</v>
      </c>
      <c r="Q608" s="23" t="s">
        <v>66</v>
      </c>
      <c r="R608" s="23"/>
      <c r="S608" s="47"/>
    </row>
    <row r="609" spans="2:19" x14ac:dyDescent="0.25">
      <c r="B609" s="181"/>
      <c r="C609" s="177" t="s">
        <v>84</v>
      </c>
      <c r="D609" s="23" t="s">
        <v>2</v>
      </c>
      <c r="E609" s="24">
        <v>1</v>
      </c>
      <c r="F609" s="24">
        <v>19</v>
      </c>
      <c r="G609" s="23" t="s">
        <v>66</v>
      </c>
      <c r="H609" s="23"/>
      <c r="I609" s="47"/>
      <c r="L609" s="181"/>
      <c r="M609" s="177" t="s">
        <v>84</v>
      </c>
      <c r="N609" s="23" t="s">
        <v>2</v>
      </c>
      <c r="O609" s="24">
        <v>1</v>
      </c>
      <c r="P609" s="24">
        <v>19</v>
      </c>
      <c r="Q609" s="23" t="s">
        <v>66</v>
      </c>
      <c r="R609" s="23"/>
      <c r="S609" s="47"/>
    </row>
    <row r="610" spans="2:19" x14ac:dyDescent="0.25">
      <c r="B610" s="181"/>
      <c r="C610" s="178"/>
      <c r="D610" s="23" t="s">
        <v>3</v>
      </c>
      <c r="E610" s="24">
        <v>2</v>
      </c>
      <c r="F610" s="24">
        <v>20</v>
      </c>
      <c r="G610" s="23" t="s">
        <v>66</v>
      </c>
      <c r="H610" s="23"/>
      <c r="I610" s="47"/>
      <c r="L610" s="181"/>
      <c r="M610" s="178"/>
      <c r="N610" s="23" t="s">
        <v>3</v>
      </c>
      <c r="O610" s="24">
        <v>2</v>
      </c>
      <c r="P610" s="24">
        <v>20</v>
      </c>
      <c r="Q610" s="23" t="s">
        <v>66</v>
      </c>
      <c r="R610" s="23"/>
      <c r="S610" s="47"/>
    </row>
    <row r="611" spans="2:19" x14ac:dyDescent="0.25">
      <c r="B611" s="181"/>
      <c r="C611" s="178"/>
      <c r="D611" s="23" t="s">
        <v>80</v>
      </c>
      <c r="E611" s="26">
        <v>3</v>
      </c>
      <c r="F611" s="24">
        <v>21</v>
      </c>
      <c r="G611" s="23" t="s">
        <v>66</v>
      </c>
      <c r="H611" s="23"/>
      <c r="I611" s="47"/>
      <c r="L611" s="181"/>
      <c r="M611" s="178"/>
      <c r="N611" s="23" t="s">
        <v>80</v>
      </c>
      <c r="O611" s="26">
        <v>3</v>
      </c>
      <c r="P611" s="24">
        <v>21</v>
      </c>
      <c r="Q611" s="23" t="s">
        <v>66</v>
      </c>
      <c r="R611" s="23"/>
      <c r="S611" s="47"/>
    </row>
    <row r="612" spans="2:19" x14ac:dyDescent="0.25">
      <c r="B612" s="181"/>
      <c r="C612" s="178"/>
      <c r="D612" s="23" t="s">
        <v>81</v>
      </c>
      <c r="E612" s="24">
        <v>4</v>
      </c>
      <c r="F612" s="24">
        <v>22</v>
      </c>
      <c r="G612" s="23" t="s">
        <v>66</v>
      </c>
      <c r="H612" s="23"/>
      <c r="I612" s="47"/>
      <c r="L612" s="181"/>
      <c r="M612" s="178"/>
      <c r="N612" s="23" t="s">
        <v>81</v>
      </c>
      <c r="O612" s="24">
        <v>4</v>
      </c>
      <c r="P612" s="24">
        <v>22</v>
      </c>
      <c r="Q612" s="23" t="s">
        <v>66</v>
      </c>
      <c r="R612" s="23"/>
      <c r="S612" s="47"/>
    </row>
    <row r="613" spans="2:19" x14ac:dyDescent="0.25">
      <c r="B613" s="181"/>
      <c r="C613" s="178"/>
      <c r="D613" s="23" t="s">
        <v>82</v>
      </c>
      <c r="E613" s="24">
        <v>5</v>
      </c>
      <c r="F613" s="24">
        <v>23</v>
      </c>
      <c r="G613" s="23" t="s">
        <v>66</v>
      </c>
      <c r="H613" s="23"/>
      <c r="I613" s="47"/>
      <c r="L613" s="181"/>
      <c r="M613" s="178"/>
      <c r="N613" s="23" t="s">
        <v>82</v>
      </c>
      <c r="O613" s="24">
        <v>5</v>
      </c>
      <c r="P613" s="24">
        <v>23</v>
      </c>
      <c r="Q613" s="23" t="s">
        <v>66</v>
      </c>
      <c r="R613" s="23"/>
      <c r="S613" s="47"/>
    </row>
    <row r="614" spans="2:19" ht="15.75" thickBot="1" x14ac:dyDescent="0.3">
      <c r="B614" s="182"/>
      <c r="C614" s="179"/>
      <c r="D614" s="23" t="s">
        <v>83</v>
      </c>
      <c r="E614" s="24">
        <v>6</v>
      </c>
      <c r="F614" s="24">
        <v>24</v>
      </c>
      <c r="G614" s="23" t="s">
        <v>66</v>
      </c>
      <c r="H614" s="23"/>
      <c r="I614" s="47"/>
      <c r="L614" s="182"/>
      <c r="M614" s="179"/>
      <c r="N614" s="23" t="s">
        <v>83</v>
      </c>
      <c r="O614" s="24">
        <v>6</v>
      </c>
      <c r="P614" s="24">
        <v>24</v>
      </c>
      <c r="Q614" s="23" t="s">
        <v>66</v>
      </c>
      <c r="R614" s="23"/>
      <c r="S614" s="47"/>
    </row>
    <row r="615" spans="2:19" x14ac:dyDescent="0.25">
      <c r="B615" s="189" t="s">
        <v>80</v>
      </c>
      <c r="C615" s="192" t="s">
        <v>77</v>
      </c>
      <c r="D615" s="27" t="s">
        <v>2</v>
      </c>
      <c r="E615" s="28">
        <v>1</v>
      </c>
      <c r="F615" s="28">
        <v>25</v>
      </c>
      <c r="G615" s="27" t="s">
        <v>66</v>
      </c>
      <c r="H615" s="27"/>
      <c r="I615" s="48"/>
      <c r="L615" s="189" t="s">
        <v>80</v>
      </c>
      <c r="M615" s="192" t="s">
        <v>77</v>
      </c>
      <c r="N615" s="27" t="s">
        <v>2</v>
      </c>
      <c r="O615" s="28">
        <v>1</v>
      </c>
      <c r="P615" s="28">
        <v>25</v>
      </c>
      <c r="Q615" s="27" t="s">
        <v>66</v>
      </c>
      <c r="R615" s="27"/>
      <c r="S615" s="48"/>
    </row>
    <row r="616" spans="2:19" x14ac:dyDescent="0.25">
      <c r="B616" s="190"/>
      <c r="C616" s="193"/>
      <c r="D616" s="27" t="s">
        <v>3</v>
      </c>
      <c r="E616" s="28">
        <v>2</v>
      </c>
      <c r="F616" s="28">
        <v>26</v>
      </c>
      <c r="G616" s="27" t="s">
        <v>66</v>
      </c>
      <c r="H616" s="27"/>
      <c r="I616" s="48"/>
      <c r="L616" s="190"/>
      <c r="M616" s="193"/>
      <c r="N616" s="27" t="s">
        <v>3</v>
      </c>
      <c r="O616" s="28">
        <v>2</v>
      </c>
      <c r="P616" s="28">
        <v>26</v>
      </c>
      <c r="Q616" s="27" t="s">
        <v>66</v>
      </c>
      <c r="R616" s="27"/>
      <c r="S616" s="48"/>
    </row>
    <row r="617" spans="2:19" x14ac:dyDescent="0.25">
      <c r="B617" s="190"/>
      <c r="C617" s="193"/>
      <c r="D617" s="27" t="s">
        <v>80</v>
      </c>
      <c r="E617" s="28">
        <v>3</v>
      </c>
      <c r="F617" s="28">
        <v>27</v>
      </c>
      <c r="G617" s="27" t="s">
        <v>66</v>
      </c>
      <c r="H617" s="27"/>
      <c r="I617" s="48"/>
      <c r="L617" s="190"/>
      <c r="M617" s="193"/>
      <c r="N617" s="27" t="s">
        <v>80</v>
      </c>
      <c r="O617" s="28">
        <v>3</v>
      </c>
      <c r="P617" s="28">
        <v>27</v>
      </c>
      <c r="Q617" s="27" t="s">
        <v>66</v>
      </c>
      <c r="R617" s="27"/>
      <c r="S617" s="48"/>
    </row>
    <row r="618" spans="2:19" x14ac:dyDescent="0.25">
      <c r="B618" s="190"/>
      <c r="C618" s="193"/>
      <c r="D618" s="27" t="s">
        <v>81</v>
      </c>
      <c r="E618" s="28">
        <v>4</v>
      </c>
      <c r="F618" s="28">
        <v>28</v>
      </c>
      <c r="G618" s="27" t="s">
        <v>66</v>
      </c>
      <c r="H618" s="27"/>
      <c r="I618" s="48"/>
      <c r="L618" s="190"/>
      <c r="M618" s="193"/>
      <c r="N618" s="27" t="s">
        <v>81</v>
      </c>
      <c r="O618" s="28">
        <v>4</v>
      </c>
      <c r="P618" s="28">
        <v>28</v>
      </c>
      <c r="Q618" s="27" t="s">
        <v>66</v>
      </c>
      <c r="R618" s="27"/>
      <c r="S618" s="48"/>
    </row>
    <row r="619" spans="2:19" x14ac:dyDescent="0.25">
      <c r="B619" s="190"/>
      <c r="C619" s="193"/>
      <c r="D619" s="27" t="s">
        <v>82</v>
      </c>
      <c r="E619" s="28">
        <v>5</v>
      </c>
      <c r="F619" s="28">
        <v>29</v>
      </c>
      <c r="G619" s="27" t="s">
        <v>66</v>
      </c>
      <c r="H619" s="27"/>
      <c r="I619" s="48"/>
      <c r="L619" s="190"/>
      <c r="M619" s="193"/>
      <c r="N619" s="27" t="s">
        <v>82</v>
      </c>
      <c r="O619" s="28">
        <v>5</v>
      </c>
      <c r="P619" s="28">
        <v>29</v>
      </c>
      <c r="Q619" s="27" t="s">
        <v>66</v>
      </c>
      <c r="R619" s="27"/>
      <c r="S619" s="48"/>
    </row>
    <row r="620" spans="2:19" ht="15.75" thickBot="1" x14ac:dyDescent="0.3">
      <c r="B620" s="190"/>
      <c r="C620" s="194"/>
      <c r="D620" s="27" t="s">
        <v>83</v>
      </c>
      <c r="E620" s="28">
        <v>6</v>
      </c>
      <c r="F620" s="28">
        <v>30</v>
      </c>
      <c r="G620" s="27" t="s">
        <v>66</v>
      </c>
      <c r="H620" s="27"/>
      <c r="I620" s="48"/>
      <c r="L620" s="190"/>
      <c r="M620" s="194"/>
      <c r="N620" s="27" t="s">
        <v>83</v>
      </c>
      <c r="O620" s="28">
        <v>6</v>
      </c>
      <c r="P620" s="28">
        <v>30</v>
      </c>
      <c r="Q620" s="27" t="s">
        <v>66</v>
      </c>
      <c r="R620" s="27"/>
      <c r="S620" s="48"/>
    </row>
    <row r="621" spans="2:19" x14ac:dyDescent="0.25">
      <c r="B621" s="190"/>
      <c r="C621" s="192" t="s">
        <v>84</v>
      </c>
      <c r="D621" s="27" t="s">
        <v>2</v>
      </c>
      <c r="E621" s="28">
        <v>1</v>
      </c>
      <c r="F621" s="28">
        <v>31</v>
      </c>
      <c r="G621" s="27" t="s">
        <v>66</v>
      </c>
      <c r="H621" s="27"/>
      <c r="I621" s="48"/>
      <c r="L621" s="190"/>
      <c r="M621" s="192" t="s">
        <v>84</v>
      </c>
      <c r="N621" s="27" t="s">
        <v>2</v>
      </c>
      <c r="O621" s="28">
        <v>1</v>
      </c>
      <c r="P621" s="28">
        <v>31</v>
      </c>
      <c r="Q621" s="27" t="s">
        <v>66</v>
      </c>
      <c r="R621" s="27"/>
      <c r="S621" s="48"/>
    </row>
    <row r="622" spans="2:19" x14ac:dyDescent="0.25">
      <c r="B622" s="190"/>
      <c r="C622" s="193"/>
      <c r="D622" s="27" t="s">
        <v>3</v>
      </c>
      <c r="E622" s="28">
        <v>2</v>
      </c>
      <c r="F622" s="28">
        <v>32</v>
      </c>
      <c r="G622" s="27" t="s">
        <v>66</v>
      </c>
      <c r="H622" s="27"/>
      <c r="I622" s="48"/>
      <c r="L622" s="190"/>
      <c r="M622" s="193"/>
      <c r="N622" s="27" t="s">
        <v>3</v>
      </c>
      <c r="O622" s="28">
        <v>2</v>
      </c>
      <c r="P622" s="28">
        <v>32</v>
      </c>
      <c r="Q622" s="27" t="s">
        <v>66</v>
      </c>
      <c r="R622" s="27"/>
      <c r="S622" s="48"/>
    </row>
    <row r="623" spans="2:19" x14ac:dyDescent="0.25">
      <c r="B623" s="190"/>
      <c r="C623" s="193"/>
      <c r="D623" s="27" t="s">
        <v>80</v>
      </c>
      <c r="E623" s="28">
        <v>3</v>
      </c>
      <c r="F623" s="28">
        <v>33</v>
      </c>
      <c r="G623" s="27" t="s">
        <v>66</v>
      </c>
      <c r="H623" s="27"/>
      <c r="I623" s="48"/>
      <c r="L623" s="190"/>
      <c r="M623" s="193"/>
      <c r="N623" s="27" t="s">
        <v>80</v>
      </c>
      <c r="O623" s="28">
        <v>3</v>
      </c>
      <c r="P623" s="28">
        <v>33</v>
      </c>
      <c r="Q623" s="27" t="s">
        <v>66</v>
      </c>
      <c r="R623" s="27"/>
      <c r="S623" s="48"/>
    </row>
    <row r="624" spans="2:19" x14ac:dyDescent="0.25">
      <c r="B624" s="190"/>
      <c r="C624" s="193"/>
      <c r="D624" s="27" t="s">
        <v>81</v>
      </c>
      <c r="E624" s="28">
        <v>4</v>
      </c>
      <c r="F624" s="28">
        <v>34</v>
      </c>
      <c r="G624" s="27" t="s">
        <v>66</v>
      </c>
      <c r="H624" s="27"/>
      <c r="I624" s="48"/>
      <c r="L624" s="190"/>
      <c r="M624" s="193"/>
      <c r="N624" s="27" t="s">
        <v>81</v>
      </c>
      <c r="O624" s="28">
        <v>4</v>
      </c>
      <c r="P624" s="28">
        <v>34</v>
      </c>
      <c r="Q624" s="27" t="s">
        <v>66</v>
      </c>
      <c r="R624" s="27"/>
      <c r="S624" s="48"/>
    </row>
    <row r="625" spans="2:19" x14ac:dyDescent="0.25">
      <c r="B625" s="190"/>
      <c r="C625" s="193"/>
      <c r="D625" s="27" t="s">
        <v>82</v>
      </c>
      <c r="E625" s="28">
        <v>5</v>
      </c>
      <c r="F625" s="28">
        <v>35</v>
      </c>
      <c r="G625" s="27" t="s">
        <v>66</v>
      </c>
      <c r="H625" s="27"/>
      <c r="I625" s="48"/>
      <c r="L625" s="190"/>
      <c r="M625" s="193"/>
      <c r="N625" s="27" t="s">
        <v>82</v>
      </c>
      <c r="O625" s="28">
        <v>5</v>
      </c>
      <c r="P625" s="28">
        <v>35</v>
      </c>
      <c r="Q625" s="27" t="s">
        <v>66</v>
      </c>
      <c r="R625" s="27"/>
      <c r="S625" s="48"/>
    </row>
    <row r="626" spans="2:19" ht="15.75" thickBot="1" x14ac:dyDescent="0.3">
      <c r="B626" s="191"/>
      <c r="C626" s="194"/>
      <c r="D626" s="27" t="s">
        <v>83</v>
      </c>
      <c r="E626" s="28">
        <v>6</v>
      </c>
      <c r="F626" s="28">
        <v>36</v>
      </c>
      <c r="G626" s="27" t="s">
        <v>66</v>
      </c>
      <c r="H626" s="27"/>
      <c r="I626" s="48"/>
      <c r="L626" s="191"/>
      <c r="M626" s="194"/>
      <c r="N626" s="27" t="s">
        <v>83</v>
      </c>
      <c r="O626" s="28">
        <v>6</v>
      </c>
      <c r="P626" s="28">
        <v>36</v>
      </c>
      <c r="Q626" s="27" t="s">
        <v>66</v>
      </c>
      <c r="R626" s="27"/>
      <c r="S626" s="48"/>
    </row>
    <row r="627" spans="2:19" x14ac:dyDescent="0.25">
      <c r="B627" s="183" t="s">
        <v>81</v>
      </c>
      <c r="C627" s="186" t="s">
        <v>77</v>
      </c>
      <c r="D627" s="29" t="s">
        <v>2</v>
      </c>
      <c r="E627" s="30">
        <v>1</v>
      </c>
      <c r="F627" s="30">
        <v>37</v>
      </c>
      <c r="G627" s="29" t="s">
        <v>66</v>
      </c>
      <c r="H627" s="29"/>
      <c r="I627" s="49"/>
      <c r="L627" s="183" t="s">
        <v>81</v>
      </c>
      <c r="M627" s="186" t="s">
        <v>77</v>
      </c>
      <c r="N627" s="29" t="s">
        <v>2</v>
      </c>
      <c r="O627" s="30">
        <v>1</v>
      </c>
      <c r="P627" s="30">
        <v>37</v>
      </c>
      <c r="Q627" s="29" t="s">
        <v>66</v>
      </c>
      <c r="R627" s="29"/>
      <c r="S627" s="49"/>
    </row>
    <row r="628" spans="2:19" x14ac:dyDescent="0.25">
      <c r="B628" s="184"/>
      <c r="C628" s="187"/>
      <c r="D628" s="29" t="s">
        <v>3</v>
      </c>
      <c r="E628" s="30">
        <v>2</v>
      </c>
      <c r="F628" s="30">
        <v>38</v>
      </c>
      <c r="G628" s="29" t="s">
        <v>66</v>
      </c>
      <c r="H628" s="29"/>
      <c r="I628" s="49"/>
      <c r="L628" s="184"/>
      <c r="M628" s="187"/>
      <c r="N628" s="29" t="s">
        <v>3</v>
      </c>
      <c r="O628" s="30">
        <v>2</v>
      </c>
      <c r="P628" s="30">
        <v>38</v>
      </c>
      <c r="Q628" s="29" t="s">
        <v>66</v>
      </c>
      <c r="R628" s="29"/>
      <c r="S628" s="49"/>
    </row>
    <row r="629" spans="2:19" x14ac:dyDescent="0.25">
      <c r="B629" s="184"/>
      <c r="C629" s="187"/>
      <c r="D629" s="29" t="s">
        <v>80</v>
      </c>
      <c r="E629" s="30">
        <v>3</v>
      </c>
      <c r="F629" s="30">
        <v>39</v>
      </c>
      <c r="G629" s="29" t="s">
        <v>66</v>
      </c>
      <c r="H629" s="29"/>
      <c r="I629" s="49"/>
      <c r="L629" s="184"/>
      <c r="M629" s="187"/>
      <c r="N629" s="29" t="s">
        <v>80</v>
      </c>
      <c r="O629" s="30">
        <v>3</v>
      </c>
      <c r="P629" s="30">
        <v>39</v>
      </c>
      <c r="Q629" s="29" t="s">
        <v>66</v>
      </c>
      <c r="R629" s="29"/>
      <c r="S629" s="49"/>
    </row>
    <row r="630" spans="2:19" x14ac:dyDescent="0.25">
      <c r="B630" s="184"/>
      <c r="C630" s="187"/>
      <c r="D630" s="29" t="s">
        <v>81</v>
      </c>
      <c r="E630" s="30">
        <v>4</v>
      </c>
      <c r="F630" s="30">
        <v>40</v>
      </c>
      <c r="G630" s="29" t="s">
        <v>66</v>
      </c>
      <c r="H630" s="29"/>
      <c r="I630" s="49"/>
      <c r="L630" s="184"/>
      <c r="M630" s="187"/>
      <c r="N630" s="29" t="s">
        <v>81</v>
      </c>
      <c r="O630" s="30">
        <v>4</v>
      </c>
      <c r="P630" s="30">
        <v>40</v>
      </c>
      <c r="Q630" s="29" t="s">
        <v>66</v>
      </c>
      <c r="R630" s="29"/>
      <c r="S630" s="49"/>
    </row>
    <row r="631" spans="2:19" x14ac:dyDescent="0.25">
      <c r="B631" s="184"/>
      <c r="C631" s="187"/>
      <c r="D631" s="29" t="s">
        <v>82</v>
      </c>
      <c r="E631" s="30">
        <v>5</v>
      </c>
      <c r="F631" s="30">
        <v>41</v>
      </c>
      <c r="G631" s="29" t="s">
        <v>66</v>
      </c>
      <c r="H631" s="29"/>
      <c r="I631" s="49"/>
      <c r="L631" s="184"/>
      <c r="M631" s="187"/>
      <c r="N631" s="29" t="s">
        <v>82</v>
      </c>
      <c r="O631" s="30">
        <v>5</v>
      </c>
      <c r="P631" s="30">
        <v>41</v>
      </c>
      <c r="Q631" s="29" t="s">
        <v>66</v>
      </c>
      <c r="R631" s="29"/>
      <c r="S631" s="49"/>
    </row>
    <row r="632" spans="2:19" ht="15.75" thickBot="1" x14ac:dyDescent="0.3">
      <c r="B632" s="184"/>
      <c r="C632" s="188"/>
      <c r="D632" s="29" t="s">
        <v>83</v>
      </c>
      <c r="E632" s="30">
        <v>6</v>
      </c>
      <c r="F632" s="30">
        <v>42</v>
      </c>
      <c r="G632" s="29" t="s">
        <v>66</v>
      </c>
      <c r="H632" s="29"/>
      <c r="I632" s="49"/>
      <c r="L632" s="184"/>
      <c r="M632" s="188"/>
      <c r="N632" s="29" t="s">
        <v>83</v>
      </c>
      <c r="O632" s="30">
        <v>6</v>
      </c>
      <c r="P632" s="30">
        <v>42</v>
      </c>
      <c r="Q632" s="29" t="s">
        <v>66</v>
      </c>
      <c r="R632" s="29"/>
      <c r="S632" s="49"/>
    </row>
    <row r="633" spans="2:19" x14ac:dyDescent="0.25">
      <c r="B633" s="184"/>
      <c r="C633" s="186" t="s">
        <v>84</v>
      </c>
      <c r="D633" s="29" t="s">
        <v>2</v>
      </c>
      <c r="E633" s="30">
        <v>1</v>
      </c>
      <c r="F633" s="30">
        <v>43</v>
      </c>
      <c r="G633" s="29" t="s">
        <v>66</v>
      </c>
      <c r="H633" s="29"/>
      <c r="I633" s="49"/>
      <c r="L633" s="184"/>
      <c r="M633" s="186" t="s">
        <v>84</v>
      </c>
      <c r="N633" s="29" t="s">
        <v>2</v>
      </c>
      <c r="O633" s="30">
        <v>1</v>
      </c>
      <c r="P633" s="30">
        <v>43</v>
      </c>
      <c r="Q633" s="29" t="s">
        <v>66</v>
      </c>
      <c r="R633" s="29"/>
      <c r="S633" s="49"/>
    </row>
    <row r="634" spans="2:19" x14ac:dyDescent="0.25">
      <c r="B634" s="184"/>
      <c r="C634" s="187"/>
      <c r="D634" s="29" t="s">
        <v>3</v>
      </c>
      <c r="E634" s="30">
        <v>2</v>
      </c>
      <c r="F634" s="30">
        <v>44</v>
      </c>
      <c r="G634" s="29" t="s">
        <v>66</v>
      </c>
      <c r="H634" s="29"/>
      <c r="I634" s="49"/>
      <c r="L634" s="184"/>
      <c r="M634" s="187"/>
      <c r="N634" s="29" t="s">
        <v>3</v>
      </c>
      <c r="O634" s="30">
        <v>2</v>
      </c>
      <c r="P634" s="30">
        <v>44</v>
      </c>
      <c r="Q634" s="29" t="s">
        <v>66</v>
      </c>
      <c r="R634" s="29"/>
      <c r="S634" s="49"/>
    </row>
    <row r="635" spans="2:19" x14ac:dyDescent="0.25">
      <c r="B635" s="184"/>
      <c r="C635" s="187"/>
      <c r="D635" s="29" t="s">
        <v>80</v>
      </c>
      <c r="E635" s="30">
        <v>3</v>
      </c>
      <c r="F635" s="30">
        <v>45</v>
      </c>
      <c r="G635" s="29" t="s">
        <v>66</v>
      </c>
      <c r="H635" s="29"/>
      <c r="I635" s="49"/>
      <c r="L635" s="184"/>
      <c r="M635" s="187"/>
      <c r="N635" s="29" t="s">
        <v>80</v>
      </c>
      <c r="O635" s="30">
        <v>3</v>
      </c>
      <c r="P635" s="30">
        <v>45</v>
      </c>
      <c r="Q635" s="29" t="s">
        <v>66</v>
      </c>
      <c r="R635" s="29"/>
      <c r="S635" s="49"/>
    </row>
    <row r="636" spans="2:19" x14ac:dyDescent="0.25">
      <c r="B636" s="184"/>
      <c r="C636" s="187"/>
      <c r="D636" s="29" t="s">
        <v>81</v>
      </c>
      <c r="E636" s="30">
        <v>4</v>
      </c>
      <c r="F636" s="30">
        <v>46</v>
      </c>
      <c r="G636" s="29" t="s">
        <v>66</v>
      </c>
      <c r="H636" s="29"/>
      <c r="I636" s="49"/>
      <c r="L636" s="184"/>
      <c r="M636" s="187"/>
      <c r="N636" s="29" t="s">
        <v>81</v>
      </c>
      <c r="O636" s="30">
        <v>4</v>
      </c>
      <c r="P636" s="30">
        <v>46</v>
      </c>
      <c r="Q636" s="29" t="s">
        <v>66</v>
      </c>
      <c r="R636" s="29"/>
      <c r="S636" s="49"/>
    </row>
    <row r="637" spans="2:19" x14ac:dyDescent="0.25">
      <c r="B637" s="184"/>
      <c r="C637" s="187"/>
      <c r="D637" s="29" t="s">
        <v>82</v>
      </c>
      <c r="E637" s="30">
        <v>5</v>
      </c>
      <c r="F637" s="30">
        <v>47</v>
      </c>
      <c r="G637" s="29" t="s">
        <v>66</v>
      </c>
      <c r="H637" s="29"/>
      <c r="I637" s="49"/>
      <c r="L637" s="184"/>
      <c r="M637" s="187"/>
      <c r="N637" s="29" t="s">
        <v>82</v>
      </c>
      <c r="O637" s="30">
        <v>5</v>
      </c>
      <c r="P637" s="30">
        <v>47</v>
      </c>
      <c r="Q637" s="29" t="s">
        <v>66</v>
      </c>
      <c r="R637" s="29"/>
      <c r="S637" s="49"/>
    </row>
    <row r="638" spans="2:19" ht="15.75" thickBot="1" x14ac:dyDescent="0.3">
      <c r="B638" s="185"/>
      <c r="C638" s="188"/>
      <c r="D638" s="29" t="s">
        <v>83</v>
      </c>
      <c r="E638" s="30">
        <v>6</v>
      </c>
      <c r="F638" s="30">
        <v>48</v>
      </c>
      <c r="G638" s="29" t="s">
        <v>66</v>
      </c>
      <c r="H638" s="29"/>
      <c r="I638" s="49"/>
      <c r="L638" s="185"/>
      <c r="M638" s="188"/>
      <c r="N638" s="29" t="s">
        <v>83</v>
      </c>
      <c r="O638" s="30">
        <v>6</v>
      </c>
      <c r="P638" s="30">
        <v>48</v>
      </c>
      <c r="Q638" s="29" t="s">
        <v>66</v>
      </c>
      <c r="R638" s="29"/>
      <c r="S638" s="49"/>
    </row>
    <row r="644" spans="2:19" ht="15.75" thickBot="1" x14ac:dyDescent="0.3"/>
    <row r="645" spans="2:19" ht="15.75" thickBot="1" x14ac:dyDescent="0.3">
      <c r="B645" s="171" t="s">
        <v>368</v>
      </c>
      <c r="C645" s="172"/>
      <c r="D645" s="172"/>
      <c r="E645" s="172"/>
      <c r="F645" s="172"/>
      <c r="G645" s="172"/>
      <c r="H645" s="172"/>
      <c r="I645" s="173"/>
      <c r="L645" s="171" t="s">
        <v>369</v>
      </c>
      <c r="M645" s="172"/>
      <c r="N645" s="172"/>
      <c r="O645" s="172"/>
      <c r="P645" s="172"/>
      <c r="Q645" s="172"/>
      <c r="R645" s="172"/>
      <c r="S645" s="173"/>
    </row>
    <row r="647" spans="2:19" ht="26.25" thickBot="1" x14ac:dyDescent="0.3">
      <c r="B647" s="15" t="s">
        <v>70</v>
      </c>
      <c r="C647" s="16" t="s">
        <v>71</v>
      </c>
      <c r="D647" s="15" t="s">
        <v>72</v>
      </c>
      <c r="E647" s="17" t="s">
        <v>73</v>
      </c>
      <c r="F647" s="17" t="s">
        <v>74</v>
      </c>
      <c r="G647" s="15" t="s">
        <v>75</v>
      </c>
      <c r="H647" s="15" t="s">
        <v>55</v>
      </c>
      <c r="I647" s="15" t="s">
        <v>76</v>
      </c>
      <c r="L647" s="15" t="s">
        <v>70</v>
      </c>
      <c r="M647" s="16" t="s">
        <v>71</v>
      </c>
      <c r="N647" s="15" t="s">
        <v>72</v>
      </c>
      <c r="O647" s="17" t="s">
        <v>73</v>
      </c>
      <c r="P647" s="17" t="s">
        <v>74</v>
      </c>
      <c r="Q647" s="15" t="s">
        <v>75</v>
      </c>
      <c r="R647" s="15" t="s">
        <v>55</v>
      </c>
      <c r="S647" s="15" t="s">
        <v>76</v>
      </c>
    </row>
    <row r="648" spans="2:19" x14ac:dyDescent="0.25">
      <c r="B648" s="174" t="s">
        <v>2</v>
      </c>
      <c r="C648" s="168" t="s">
        <v>77</v>
      </c>
      <c r="D648" s="18" t="s">
        <v>2</v>
      </c>
      <c r="E648" s="19">
        <v>1</v>
      </c>
      <c r="F648" s="19">
        <v>1</v>
      </c>
      <c r="G648" s="18" t="s">
        <v>66</v>
      </c>
      <c r="H648" s="32"/>
      <c r="I648" s="50"/>
      <c r="L648" s="174" t="s">
        <v>2</v>
      </c>
      <c r="M648" s="168" t="s">
        <v>77</v>
      </c>
      <c r="N648" s="18" t="s">
        <v>2</v>
      </c>
      <c r="O648" s="19">
        <v>1</v>
      </c>
      <c r="P648" s="19">
        <v>1</v>
      </c>
      <c r="Q648" s="18" t="s">
        <v>66</v>
      </c>
      <c r="R648" s="32"/>
      <c r="S648" s="50"/>
    </row>
    <row r="649" spans="2:19" x14ac:dyDescent="0.25">
      <c r="B649" s="175"/>
      <c r="C649" s="169"/>
      <c r="D649" s="18" t="s">
        <v>3</v>
      </c>
      <c r="E649" s="19">
        <v>2</v>
      </c>
      <c r="F649" s="19">
        <v>2</v>
      </c>
      <c r="G649" s="18" t="s">
        <v>66</v>
      </c>
      <c r="H649" s="32"/>
      <c r="I649" s="50"/>
      <c r="L649" s="175"/>
      <c r="M649" s="169"/>
      <c r="N649" s="18" t="s">
        <v>3</v>
      </c>
      <c r="O649" s="19">
        <v>2</v>
      </c>
      <c r="P649" s="19">
        <v>2</v>
      </c>
      <c r="Q649" s="18" t="s">
        <v>66</v>
      </c>
      <c r="R649" s="32"/>
      <c r="S649" s="50"/>
    </row>
    <row r="650" spans="2:19" x14ac:dyDescent="0.25">
      <c r="B650" s="175"/>
      <c r="C650" s="169"/>
      <c r="D650" s="18" t="s">
        <v>80</v>
      </c>
      <c r="E650" s="20">
        <v>3</v>
      </c>
      <c r="F650" s="20">
        <v>3</v>
      </c>
      <c r="G650" s="18" t="s">
        <v>66</v>
      </c>
      <c r="H650" s="32"/>
      <c r="I650" s="50"/>
      <c r="L650" s="175"/>
      <c r="M650" s="169"/>
      <c r="N650" s="18" t="s">
        <v>80</v>
      </c>
      <c r="O650" s="20">
        <v>3</v>
      </c>
      <c r="P650" s="20">
        <v>3</v>
      </c>
      <c r="Q650" s="18" t="s">
        <v>66</v>
      </c>
      <c r="R650" s="32"/>
      <c r="S650" s="50"/>
    </row>
    <row r="651" spans="2:19" x14ac:dyDescent="0.25">
      <c r="B651" s="175"/>
      <c r="C651" s="169"/>
      <c r="D651" s="18" t="s">
        <v>81</v>
      </c>
      <c r="E651" s="20">
        <v>4</v>
      </c>
      <c r="F651" s="20">
        <v>4</v>
      </c>
      <c r="G651" s="18" t="s">
        <v>66</v>
      </c>
      <c r="H651" s="32"/>
      <c r="I651" s="50"/>
      <c r="L651" s="175"/>
      <c r="M651" s="169"/>
      <c r="N651" s="18" t="s">
        <v>81</v>
      </c>
      <c r="O651" s="20">
        <v>4</v>
      </c>
      <c r="P651" s="20">
        <v>4</v>
      </c>
      <c r="Q651" s="18" t="s">
        <v>66</v>
      </c>
      <c r="R651" s="32"/>
      <c r="S651" s="50"/>
    </row>
    <row r="652" spans="2:19" x14ac:dyDescent="0.25">
      <c r="B652" s="175"/>
      <c r="C652" s="169"/>
      <c r="D652" s="18" t="s">
        <v>82</v>
      </c>
      <c r="E652" s="20">
        <v>5</v>
      </c>
      <c r="F652" s="20">
        <v>5</v>
      </c>
      <c r="G652" s="18" t="s">
        <v>66</v>
      </c>
      <c r="H652" s="32"/>
      <c r="I652" s="50"/>
      <c r="L652" s="175"/>
      <c r="M652" s="169"/>
      <c r="N652" s="18" t="s">
        <v>82</v>
      </c>
      <c r="O652" s="20">
        <v>5</v>
      </c>
      <c r="P652" s="20">
        <v>5</v>
      </c>
      <c r="Q652" s="18" t="s">
        <v>66</v>
      </c>
      <c r="R652" s="32"/>
      <c r="S652" s="50"/>
    </row>
    <row r="653" spans="2:19" ht="15.75" thickBot="1" x14ac:dyDescent="0.3">
      <c r="B653" s="175"/>
      <c r="C653" s="170"/>
      <c r="D653" s="18" t="s">
        <v>83</v>
      </c>
      <c r="E653" s="20">
        <v>6</v>
      </c>
      <c r="F653" s="20">
        <v>6</v>
      </c>
      <c r="G653" s="18" t="s">
        <v>66</v>
      </c>
      <c r="H653" s="32"/>
      <c r="I653" s="50"/>
      <c r="L653" s="175"/>
      <c r="M653" s="170"/>
      <c r="N653" s="18" t="s">
        <v>83</v>
      </c>
      <c r="O653" s="20">
        <v>6</v>
      </c>
      <c r="P653" s="20">
        <v>6</v>
      </c>
      <c r="Q653" s="18" t="s">
        <v>66</v>
      </c>
      <c r="R653" s="32"/>
      <c r="S653" s="50"/>
    </row>
    <row r="654" spans="2:19" x14ac:dyDescent="0.25">
      <c r="B654" s="175"/>
      <c r="C654" s="168" t="s">
        <v>84</v>
      </c>
      <c r="D654" s="18" t="s">
        <v>2</v>
      </c>
      <c r="E654" s="19">
        <v>1</v>
      </c>
      <c r="F654" s="19">
        <v>7</v>
      </c>
      <c r="G654" s="18" t="s">
        <v>78</v>
      </c>
      <c r="H654" s="156" t="s">
        <v>130</v>
      </c>
      <c r="I654" s="165" t="s">
        <v>203</v>
      </c>
      <c r="L654" s="175"/>
      <c r="M654" s="168" t="s">
        <v>84</v>
      </c>
      <c r="N654" s="18" t="s">
        <v>2</v>
      </c>
      <c r="O654" s="19">
        <v>1</v>
      </c>
      <c r="P654" s="19">
        <v>7</v>
      </c>
      <c r="Q654" s="18" t="s">
        <v>78</v>
      </c>
      <c r="R654" s="156" t="s">
        <v>130</v>
      </c>
      <c r="S654" s="165" t="s">
        <v>205</v>
      </c>
    </row>
    <row r="655" spans="2:19" x14ac:dyDescent="0.25">
      <c r="B655" s="175"/>
      <c r="C655" s="169"/>
      <c r="D655" s="18" t="s">
        <v>3</v>
      </c>
      <c r="E655" s="19">
        <v>2</v>
      </c>
      <c r="F655" s="19">
        <v>8</v>
      </c>
      <c r="G655" s="18" t="s">
        <v>78</v>
      </c>
      <c r="H655" s="157"/>
      <c r="I655" s="166"/>
      <c r="L655" s="175"/>
      <c r="M655" s="169"/>
      <c r="N655" s="18" t="s">
        <v>3</v>
      </c>
      <c r="O655" s="19">
        <v>2</v>
      </c>
      <c r="P655" s="19">
        <v>8</v>
      </c>
      <c r="Q655" s="18" t="s">
        <v>78</v>
      </c>
      <c r="R655" s="157"/>
      <c r="S655" s="166"/>
    </row>
    <row r="656" spans="2:19" x14ac:dyDescent="0.25">
      <c r="B656" s="175"/>
      <c r="C656" s="169"/>
      <c r="D656" s="18" t="s">
        <v>80</v>
      </c>
      <c r="E656" s="20">
        <v>3</v>
      </c>
      <c r="F656" s="20">
        <v>9</v>
      </c>
      <c r="G656" s="18" t="s">
        <v>66</v>
      </c>
      <c r="H656" s="157"/>
      <c r="I656" s="166"/>
      <c r="L656" s="175"/>
      <c r="M656" s="169"/>
      <c r="N656" s="18" t="s">
        <v>80</v>
      </c>
      <c r="O656" s="20">
        <v>3</v>
      </c>
      <c r="P656" s="20">
        <v>9</v>
      </c>
      <c r="Q656" s="18" t="s">
        <v>66</v>
      </c>
      <c r="R656" s="157"/>
      <c r="S656" s="166"/>
    </row>
    <row r="657" spans="2:19" x14ac:dyDescent="0.25">
      <c r="B657" s="175"/>
      <c r="C657" s="169"/>
      <c r="D657" s="18" t="s">
        <v>81</v>
      </c>
      <c r="E657" s="20">
        <v>4</v>
      </c>
      <c r="F657" s="20">
        <v>10</v>
      </c>
      <c r="G657" s="18" t="s">
        <v>66</v>
      </c>
      <c r="H657" s="157"/>
      <c r="I657" s="166"/>
      <c r="L657" s="175"/>
      <c r="M657" s="169"/>
      <c r="N657" s="18" t="s">
        <v>81</v>
      </c>
      <c r="O657" s="20">
        <v>4</v>
      </c>
      <c r="P657" s="20">
        <v>10</v>
      </c>
      <c r="Q657" s="18" t="s">
        <v>66</v>
      </c>
      <c r="R657" s="157"/>
      <c r="S657" s="166"/>
    </row>
    <row r="658" spans="2:19" x14ac:dyDescent="0.25">
      <c r="B658" s="175"/>
      <c r="C658" s="169"/>
      <c r="D658" s="18" t="s">
        <v>82</v>
      </c>
      <c r="E658" s="20">
        <v>5</v>
      </c>
      <c r="F658" s="20">
        <v>11</v>
      </c>
      <c r="G658" s="18" t="s">
        <v>66</v>
      </c>
      <c r="H658" s="157"/>
      <c r="I658" s="166"/>
      <c r="L658" s="175"/>
      <c r="M658" s="169"/>
      <c r="N658" s="18" t="s">
        <v>82</v>
      </c>
      <c r="O658" s="20">
        <v>5</v>
      </c>
      <c r="P658" s="20">
        <v>11</v>
      </c>
      <c r="Q658" s="18" t="s">
        <v>66</v>
      </c>
      <c r="R658" s="157"/>
      <c r="S658" s="166"/>
    </row>
    <row r="659" spans="2:19" ht="15.75" thickBot="1" x14ac:dyDescent="0.3">
      <c r="B659" s="176"/>
      <c r="C659" s="170"/>
      <c r="D659" s="18" t="s">
        <v>83</v>
      </c>
      <c r="E659" s="20">
        <v>6</v>
      </c>
      <c r="F659" s="20">
        <v>12</v>
      </c>
      <c r="G659" s="18" t="s">
        <v>66</v>
      </c>
      <c r="H659" s="158"/>
      <c r="I659" s="167"/>
      <c r="L659" s="176"/>
      <c r="M659" s="170"/>
      <c r="N659" s="18" t="s">
        <v>83</v>
      </c>
      <c r="O659" s="20">
        <v>6</v>
      </c>
      <c r="P659" s="20">
        <v>12</v>
      </c>
      <c r="Q659" s="18" t="s">
        <v>66</v>
      </c>
      <c r="R659" s="158"/>
      <c r="S659" s="167"/>
    </row>
    <row r="660" spans="2:19" x14ac:dyDescent="0.25">
      <c r="B660" s="180" t="s">
        <v>3</v>
      </c>
      <c r="C660" s="177" t="s">
        <v>77</v>
      </c>
      <c r="D660" s="21" t="s">
        <v>2</v>
      </c>
      <c r="E660" s="22">
        <v>1</v>
      </c>
      <c r="F660" s="22">
        <v>13</v>
      </c>
      <c r="G660" s="21" t="s">
        <v>66</v>
      </c>
      <c r="H660" s="21"/>
      <c r="I660" s="51"/>
      <c r="L660" s="180" t="s">
        <v>3</v>
      </c>
      <c r="M660" s="177" t="s">
        <v>77</v>
      </c>
      <c r="N660" s="21" t="s">
        <v>2</v>
      </c>
      <c r="O660" s="22">
        <v>1</v>
      </c>
      <c r="P660" s="22">
        <v>13</v>
      </c>
      <c r="Q660" s="21" t="s">
        <v>66</v>
      </c>
      <c r="R660" s="21"/>
      <c r="S660" s="51"/>
    </row>
    <row r="661" spans="2:19" x14ac:dyDescent="0.25">
      <c r="B661" s="181"/>
      <c r="C661" s="178"/>
      <c r="D661" s="23" t="s">
        <v>3</v>
      </c>
      <c r="E661" s="24">
        <v>2</v>
      </c>
      <c r="F661" s="24">
        <v>14</v>
      </c>
      <c r="G661" s="23" t="s">
        <v>66</v>
      </c>
      <c r="H661" s="23"/>
      <c r="I661" s="47"/>
      <c r="L661" s="181"/>
      <c r="M661" s="178"/>
      <c r="N661" s="23" t="s">
        <v>3</v>
      </c>
      <c r="O661" s="24">
        <v>2</v>
      </c>
      <c r="P661" s="24">
        <v>14</v>
      </c>
      <c r="Q661" s="23" t="s">
        <v>66</v>
      </c>
      <c r="R661" s="23"/>
      <c r="S661" s="47"/>
    </row>
    <row r="662" spans="2:19" x14ac:dyDescent="0.25">
      <c r="B662" s="181"/>
      <c r="C662" s="178"/>
      <c r="D662" s="23" t="s">
        <v>80</v>
      </c>
      <c r="E662" s="24">
        <v>3</v>
      </c>
      <c r="F662" s="24">
        <v>15</v>
      </c>
      <c r="G662" s="23" t="s">
        <v>66</v>
      </c>
      <c r="H662" s="23"/>
      <c r="I662" s="47"/>
      <c r="L662" s="181"/>
      <c r="M662" s="178"/>
      <c r="N662" s="23" t="s">
        <v>80</v>
      </c>
      <c r="O662" s="24">
        <v>3</v>
      </c>
      <c r="P662" s="24">
        <v>15</v>
      </c>
      <c r="Q662" s="23" t="s">
        <v>66</v>
      </c>
      <c r="R662" s="23"/>
      <c r="S662" s="47"/>
    </row>
    <row r="663" spans="2:19" x14ac:dyDescent="0.25">
      <c r="B663" s="181"/>
      <c r="C663" s="178"/>
      <c r="D663" s="23" t="s">
        <v>81</v>
      </c>
      <c r="E663" s="24">
        <v>4</v>
      </c>
      <c r="F663" s="24">
        <v>16</v>
      </c>
      <c r="G663" s="23" t="s">
        <v>66</v>
      </c>
      <c r="H663" s="23"/>
      <c r="I663" s="47"/>
      <c r="L663" s="181"/>
      <c r="M663" s="178"/>
      <c r="N663" s="23" t="s">
        <v>81</v>
      </c>
      <c r="O663" s="24">
        <v>4</v>
      </c>
      <c r="P663" s="24">
        <v>16</v>
      </c>
      <c r="Q663" s="23" t="s">
        <v>66</v>
      </c>
      <c r="R663" s="23"/>
      <c r="S663" s="47"/>
    </row>
    <row r="664" spans="2:19" x14ac:dyDescent="0.25">
      <c r="B664" s="181"/>
      <c r="C664" s="178"/>
      <c r="D664" s="23" t="s">
        <v>82</v>
      </c>
      <c r="E664" s="24">
        <v>5</v>
      </c>
      <c r="F664" s="24">
        <v>17</v>
      </c>
      <c r="G664" s="23" t="s">
        <v>66</v>
      </c>
      <c r="H664" s="23"/>
      <c r="I664" s="47"/>
      <c r="L664" s="181"/>
      <c r="M664" s="178"/>
      <c r="N664" s="23" t="s">
        <v>82</v>
      </c>
      <c r="O664" s="24">
        <v>5</v>
      </c>
      <c r="P664" s="24">
        <v>17</v>
      </c>
      <c r="Q664" s="23" t="s">
        <v>66</v>
      </c>
      <c r="R664" s="23"/>
      <c r="S664" s="47"/>
    </row>
    <row r="665" spans="2:19" ht="15.75" thickBot="1" x14ac:dyDescent="0.3">
      <c r="B665" s="181"/>
      <c r="C665" s="179"/>
      <c r="D665" s="23" t="s">
        <v>83</v>
      </c>
      <c r="E665" s="24">
        <v>6</v>
      </c>
      <c r="F665" s="24">
        <v>18</v>
      </c>
      <c r="G665" s="23" t="s">
        <v>66</v>
      </c>
      <c r="H665" s="23"/>
      <c r="I665" s="47"/>
      <c r="L665" s="181"/>
      <c r="M665" s="179"/>
      <c r="N665" s="23" t="s">
        <v>83</v>
      </c>
      <c r="O665" s="24">
        <v>6</v>
      </c>
      <c r="P665" s="24">
        <v>18</v>
      </c>
      <c r="Q665" s="23" t="s">
        <v>66</v>
      </c>
      <c r="R665" s="23"/>
      <c r="S665" s="47"/>
    </row>
    <row r="666" spans="2:19" x14ac:dyDescent="0.25">
      <c r="B666" s="181"/>
      <c r="C666" s="177" t="s">
        <v>84</v>
      </c>
      <c r="D666" s="23" t="s">
        <v>2</v>
      </c>
      <c r="E666" s="24">
        <v>1</v>
      </c>
      <c r="F666" s="24">
        <v>19</v>
      </c>
      <c r="G666" s="23" t="s">
        <v>66</v>
      </c>
      <c r="H666" s="23"/>
      <c r="I666" s="47"/>
      <c r="L666" s="181"/>
      <c r="M666" s="177" t="s">
        <v>84</v>
      </c>
      <c r="N666" s="23" t="s">
        <v>2</v>
      </c>
      <c r="O666" s="24">
        <v>1</v>
      </c>
      <c r="P666" s="24">
        <v>19</v>
      </c>
      <c r="Q666" s="23" t="s">
        <v>66</v>
      </c>
      <c r="R666" s="23"/>
      <c r="S666" s="47"/>
    </row>
    <row r="667" spans="2:19" x14ac:dyDescent="0.25">
      <c r="B667" s="181"/>
      <c r="C667" s="178"/>
      <c r="D667" s="23" t="s">
        <v>3</v>
      </c>
      <c r="E667" s="24">
        <v>2</v>
      </c>
      <c r="F667" s="24">
        <v>20</v>
      </c>
      <c r="G667" s="23" t="s">
        <v>66</v>
      </c>
      <c r="H667" s="23"/>
      <c r="I667" s="47"/>
      <c r="L667" s="181"/>
      <c r="M667" s="178"/>
      <c r="N667" s="23" t="s">
        <v>3</v>
      </c>
      <c r="O667" s="24">
        <v>2</v>
      </c>
      <c r="P667" s="24">
        <v>20</v>
      </c>
      <c r="Q667" s="23" t="s">
        <v>66</v>
      </c>
      <c r="R667" s="23"/>
      <c r="S667" s="47"/>
    </row>
    <row r="668" spans="2:19" x14ac:dyDescent="0.25">
      <c r="B668" s="181"/>
      <c r="C668" s="178"/>
      <c r="D668" s="23" t="s">
        <v>80</v>
      </c>
      <c r="E668" s="26">
        <v>3</v>
      </c>
      <c r="F668" s="24">
        <v>21</v>
      </c>
      <c r="G668" s="23" t="s">
        <v>66</v>
      </c>
      <c r="H668" s="23"/>
      <c r="I668" s="47"/>
      <c r="L668" s="181"/>
      <c r="M668" s="178"/>
      <c r="N668" s="23" t="s">
        <v>80</v>
      </c>
      <c r="O668" s="26">
        <v>3</v>
      </c>
      <c r="P668" s="24">
        <v>21</v>
      </c>
      <c r="Q668" s="23" t="s">
        <v>66</v>
      </c>
      <c r="R668" s="23"/>
      <c r="S668" s="47"/>
    </row>
    <row r="669" spans="2:19" x14ac:dyDescent="0.25">
      <c r="B669" s="181"/>
      <c r="C669" s="178"/>
      <c r="D669" s="23" t="s">
        <v>81</v>
      </c>
      <c r="E669" s="24">
        <v>4</v>
      </c>
      <c r="F669" s="24">
        <v>22</v>
      </c>
      <c r="G669" s="23" t="s">
        <v>66</v>
      </c>
      <c r="H669" s="23"/>
      <c r="I669" s="47"/>
      <c r="L669" s="181"/>
      <c r="M669" s="178"/>
      <c r="N669" s="23" t="s">
        <v>81</v>
      </c>
      <c r="O669" s="24">
        <v>4</v>
      </c>
      <c r="P669" s="24">
        <v>22</v>
      </c>
      <c r="Q669" s="23" t="s">
        <v>66</v>
      </c>
      <c r="R669" s="23"/>
      <c r="S669" s="47"/>
    </row>
    <row r="670" spans="2:19" x14ac:dyDescent="0.25">
      <c r="B670" s="181"/>
      <c r="C670" s="178"/>
      <c r="D670" s="23" t="s">
        <v>82</v>
      </c>
      <c r="E670" s="24">
        <v>5</v>
      </c>
      <c r="F670" s="24">
        <v>23</v>
      </c>
      <c r="G670" s="23" t="s">
        <v>66</v>
      </c>
      <c r="H670" s="23"/>
      <c r="I670" s="47"/>
      <c r="L670" s="181"/>
      <c r="M670" s="178"/>
      <c r="N670" s="23" t="s">
        <v>82</v>
      </c>
      <c r="O670" s="24">
        <v>5</v>
      </c>
      <c r="P670" s="24">
        <v>23</v>
      </c>
      <c r="Q670" s="23" t="s">
        <v>66</v>
      </c>
      <c r="R670" s="23"/>
      <c r="S670" s="47"/>
    </row>
    <row r="671" spans="2:19" ht="15.75" thickBot="1" x14ac:dyDescent="0.3">
      <c r="B671" s="182"/>
      <c r="C671" s="179"/>
      <c r="D671" s="23" t="s">
        <v>83</v>
      </c>
      <c r="E671" s="24">
        <v>6</v>
      </c>
      <c r="F671" s="24">
        <v>24</v>
      </c>
      <c r="G671" s="23" t="s">
        <v>66</v>
      </c>
      <c r="H671" s="23"/>
      <c r="I671" s="47"/>
      <c r="L671" s="182"/>
      <c r="M671" s="179"/>
      <c r="N671" s="23" t="s">
        <v>83</v>
      </c>
      <c r="O671" s="24">
        <v>6</v>
      </c>
      <c r="P671" s="24">
        <v>24</v>
      </c>
      <c r="Q671" s="23" t="s">
        <v>66</v>
      </c>
      <c r="R671" s="23"/>
      <c r="S671" s="47"/>
    </row>
    <row r="672" spans="2:19" x14ac:dyDescent="0.25">
      <c r="B672" s="189" t="s">
        <v>80</v>
      </c>
      <c r="C672" s="192" t="s">
        <v>77</v>
      </c>
      <c r="D672" s="27" t="s">
        <v>2</v>
      </c>
      <c r="E672" s="28">
        <v>1</v>
      </c>
      <c r="F672" s="28">
        <v>25</v>
      </c>
      <c r="G672" s="27" t="s">
        <v>66</v>
      </c>
      <c r="H672" s="27"/>
      <c r="I672" s="48"/>
      <c r="L672" s="189" t="s">
        <v>80</v>
      </c>
      <c r="M672" s="192" t="s">
        <v>77</v>
      </c>
      <c r="N672" s="27" t="s">
        <v>2</v>
      </c>
      <c r="O672" s="28">
        <v>1</v>
      </c>
      <c r="P672" s="28">
        <v>25</v>
      </c>
      <c r="Q672" s="27" t="s">
        <v>66</v>
      </c>
      <c r="R672" s="27"/>
      <c r="S672" s="48"/>
    </row>
    <row r="673" spans="2:19" x14ac:dyDescent="0.25">
      <c r="B673" s="190"/>
      <c r="C673" s="193"/>
      <c r="D673" s="27" t="s">
        <v>3</v>
      </c>
      <c r="E673" s="28">
        <v>2</v>
      </c>
      <c r="F673" s="28">
        <v>26</v>
      </c>
      <c r="G673" s="27" t="s">
        <v>66</v>
      </c>
      <c r="H673" s="27"/>
      <c r="I673" s="48"/>
      <c r="L673" s="190"/>
      <c r="M673" s="193"/>
      <c r="N673" s="27" t="s">
        <v>3</v>
      </c>
      <c r="O673" s="28">
        <v>2</v>
      </c>
      <c r="P673" s="28">
        <v>26</v>
      </c>
      <c r="Q673" s="27" t="s">
        <v>66</v>
      </c>
      <c r="R673" s="27"/>
      <c r="S673" s="48"/>
    </row>
    <row r="674" spans="2:19" x14ac:dyDescent="0.25">
      <c r="B674" s="190"/>
      <c r="C674" s="193"/>
      <c r="D674" s="27" t="s">
        <v>80</v>
      </c>
      <c r="E674" s="28">
        <v>3</v>
      </c>
      <c r="F674" s="28">
        <v>27</v>
      </c>
      <c r="G674" s="27" t="s">
        <v>66</v>
      </c>
      <c r="H674" s="27"/>
      <c r="I674" s="48"/>
      <c r="L674" s="190"/>
      <c r="M674" s="193"/>
      <c r="N674" s="27" t="s">
        <v>80</v>
      </c>
      <c r="O674" s="28">
        <v>3</v>
      </c>
      <c r="P674" s="28">
        <v>27</v>
      </c>
      <c r="Q674" s="27" t="s">
        <v>66</v>
      </c>
      <c r="R674" s="27"/>
      <c r="S674" s="48"/>
    </row>
    <row r="675" spans="2:19" x14ac:dyDescent="0.25">
      <c r="B675" s="190"/>
      <c r="C675" s="193"/>
      <c r="D675" s="27" t="s">
        <v>81</v>
      </c>
      <c r="E675" s="28">
        <v>4</v>
      </c>
      <c r="F675" s="28">
        <v>28</v>
      </c>
      <c r="G675" s="27" t="s">
        <v>66</v>
      </c>
      <c r="H675" s="27"/>
      <c r="I675" s="48"/>
      <c r="L675" s="190"/>
      <c r="M675" s="193"/>
      <c r="N675" s="27" t="s">
        <v>81</v>
      </c>
      <c r="O675" s="28">
        <v>4</v>
      </c>
      <c r="P675" s="28">
        <v>28</v>
      </c>
      <c r="Q675" s="27" t="s">
        <v>66</v>
      </c>
      <c r="R675" s="27"/>
      <c r="S675" s="48"/>
    </row>
    <row r="676" spans="2:19" x14ac:dyDescent="0.25">
      <c r="B676" s="190"/>
      <c r="C676" s="193"/>
      <c r="D676" s="27" t="s">
        <v>82</v>
      </c>
      <c r="E676" s="28">
        <v>5</v>
      </c>
      <c r="F676" s="28">
        <v>29</v>
      </c>
      <c r="G676" s="27" t="s">
        <v>66</v>
      </c>
      <c r="H676" s="27"/>
      <c r="I676" s="48"/>
      <c r="L676" s="190"/>
      <c r="M676" s="193"/>
      <c r="N676" s="27" t="s">
        <v>82</v>
      </c>
      <c r="O676" s="28">
        <v>5</v>
      </c>
      <c r="P676" s="28">
        <v>29</v>
      </c>
      <c r="Q676" s="27" t="s">
        <v>66</v>
      </c>
      <c r="R676" s="27"/>
      <c r="S676" s="48"/>
    </row>
    <row r="677" spans="2:19" ht="15.75" thickBot="1" x14ac:dyDescent="0.3">
      <c r="B677" s="190"/>
      <c r="C677" s="194"/>
      <c r="D677" s="27" t="s">
        <v>83</v>
      </c>
      <c r="E677" s="28">
        <v>6</v>
      </c>
      <c r="F677" s="28">
        <v>30</v>
      </c>
      <c r="G677" s="27" t="s">
        <v>66</v>
      </c>
      <c r="H677" s="27"/>
      <c r="I677" s="48"/>
      <c r="L677" s="190"/>
      <c r="M677" s="194"/>
      <c r="N677" s="27" t="s">
        <v>83</v>
      </c>
      <c r="O677" s="28">
        <v>6</v>
      </c>
      <c r="P677" s="28">
        <v>30</v>
      </c>
      <c r="Q677" s="27" t="s">
        <v>66</v>
      </c>
      <c r="R677" s="27"/>
      <c r="S677" s="48"/>
    </row>
    <row r="678" spans="2:19" x14ac:dyDescent="0.25">
      <c r="B678" s="190"/>
      <c r="C678" s="192" t="s">
        <v>84</v>
      </c>
      <c r="D678" s="27" t="s">
        <v>2</v>
      </c>
      <c r="E678" s="28">
        <v>1</v>
      </c>
      <c r="F678" s="28">
        <v>31</v>
      </c>
      <c r="G678" s="27" t="s">
        <v>66</v>
      </c>
      <c r="H678" s="27"/>
      <c r="I678" s="48"/>
      <c r="L678" s="190"/>
      <c r="M678" s="192" t="s">
        <v>84</v>
      </c>
      <c r="N678" s="27" t="s">
        <v>2</v>
      </c>
      <c r="O678" s="28">
        <v>1</v>
      </c>
      <c r="P678" s="28">
        <v>31</v>
      </c>
      <c r="Q678" s="27" t="s">
        <v>66</v>
      </c>
      <c r="R678" s="27"/>
      <c r="S678" s="48"/>
    </row>
    <row r="679" spans="2:19" x14ac:dyDescent="0.25">
      <c r="B679" s="190"/>
      <c r="C679" s="193"/>
      <c r="D679" s="27" t="s">
        <v>3</v>
      </c>
      <c r="E679" s="28">
        <v>2</v>
      </c>
      <c r="F679" s="28">
        <v>32</v>
      </c>
      <c r="G679" s="27" t="s">
        <v>66</v>
      </c>
      <c r="H679" s="27"/>
      <c r="I679" s="48"/>
      <c r="L679" s="190"/>
      <c r="M679" s="193"/>
      <c r="N679" s="27" t="s">
        <v>3</v>
      </c>
      <c r="O679" s="28">
        <v>2</v>
      </c>
      <c r="P679" s="28">
        <v>32</v>
      </c>
      <c r="Q679" s="27" t="s">
        <v>66</v>
      </c>
      <c r="R679" s="27"/>
      <c r="S679" s="48"/>
    </row>
    <row r="680" spans="2:19" x14ac:dyDescent="0.25">
      <c r="B680" s="190"/>
      <c r="C680" s="193"/>
      <c r="D680" s="27" t="s">
        <v>80</v>
      </c>
      <c r="E680" s="28">
        <v>3</v>
      </c>
      <c r="F680" s="28">
        <v>33</v>
      </c>
      <c r="G680" s="27" t="s">
        <v>66</v>
      </c>
      <c r="H680" s="27"/>
      <c r="I680" s="48"/>
      <c r="L680" s="190"/>
      <c r="M680" s="193"/>
      <c r="N680" s="27" t="s">
        <v>80</v>
      </c>
      <c r="O680" s="28">
        <v>3</v>
      </c>
      <c r="P680" s="28">
        <v>33</v>
      </c>
      <c r="Q680" s="27" t="s">
        <v>66</v>
      </c>
      <c r="R680" s="27"/>
      <c r="S680" s="48"/>
    </row>
    <row r="681" spans="2:19" x14ac:dyDescent="0.25">
      <c r="B681" s="190"/>
      <c r="C681" s="193"/>
      <c r="D681" s="27" t="s">
        <v>81</v>
      </c>
      <c r="E681" s="28">
        <v>4</v>
      </c>
      <c r="F681" s="28">
        <v>34</v>
      </c>
      <c r="G681" s="27" t="s">
        <v>66</v>
      </c>
      <c r="H681" s="27"/>
      <c r="I681" s="48"/>
      <c r="L681" s="190"/>
      <c r="M681" s="193"/>
      <c r="N681" s="27" t="s">
        <v>81</v>
      </c>
      <c r="O681" s="28">
        <v>4</v>
      </c>
      <c r="P681" s="28">
        <v>34</v>
      </c>
      <c r="Q681" s="27" t="s">
        <v>66</v>
      </c>
      <c r="R681" s="27"/>
      <c r="S681" s="48"/>
    </row>
    <row r="682" spans="2:19" x14ac:dyDescent="0.25">
      <c r="B682" s="190"/>
      <c r="C682" s="193"/>
      <c r="D682" s="27" t="s">
        <v>82</v>
      </c>
      <c r="E682" s="28">
        <v>5</v>
      </c>
      <c r="F682" s="28">
        <v>35</v>
      </c>
      <c r="G682" s="27" t="s">
        <v>66</v>
      </c>
      <c r="H682" s="27"/>
      <c r="I682" s="48"/>
      <c r="L682" s="190"/>
      <c r="M682" s="193"/>
      <c r="N682" s="27" t="s">
        <v>82</v>
      </c>
      <c r="O682" s="28">
        <v>5</v>
      </c>
      <c r="P682" s="28">
        <v>35</v>
      </c>
      <c r="Q682" s="27" t="s">
        <v>66</v>
      </c>
      <c r="R682" s="27"/>
      <c r="S682" s="48"/>
    </row>
    <row r="683" spans="2:19" ht="15.75" thickBot="1" x14ac:dyDescent="0.3">
      <c r="B683" s="191"/>
      <c r="C683" s="194"/>
      <c r="D683" s="27" t="s">
        <v>83</v>
      </c>
      <c r="E683" s="28">
        <v>6</v>
      </c>
      <c r="F683" s="28">
        <v>36</v>
      </c>
      <c r="G683" s="27" t="s">
        <v>66</v>
      </c>
      <c r="H683" s="27"/>
      <c r="I683" s="48"/>
      <c r="L683" s="191"/>
      <c r="M683" s="194"/>
      <c r="N683" s="27" t="s">
        <v>83</v>
      </c>
      <c r="O683" s="28">
        <v>6</v>
      </c>
      <c r="P683" s="28">
        <v>36</v>
      </c>
      <c r="Q683" s="27" t="s">
        <v>66</v>
      </c>
      <c r="R683" s="27"/>
      <c r="S683" s="48"/>
    </row>
    <row r="684" spans="2:19" x14ac:dyDescent="0.25">
      <c r="B684" s="183" t="s">
        <v>81</v>
      </c>
      <c r="C684" s="186" t="s">
        <v>77</v>
      </c>
      <c r="D684" s="29" t="s">
        <v>2</v>
      </c>
      <c r="E684" s="30">
        <v>1</v>
      </c>
      <c r="F684" s="30">
        <v>37</v>
      </c>
      <c r="G684" s="29" t="s">
        <v>66</v>
      </c>
      <c r="H684" s="29"/>
      <c r="I684" s="49"/>
      <c r="L684" s="183" t="s">
        <v>81</v>
      </c>
      <c r="M684" s="186" t="s">
        <v>77</v>
      </c>
      <c r="N684" s="29" t="s">
        <v>2</v>
      </c>
      <c r="O684" s="30">
        <v>1</v>
      </c>
      <c r="P684" s="30">
        <v>37</v>
      </c>
      <c r="Q684" s="29" t="s">
        <v>66</v>
      </c>
      <c r="R684" s="29"/>
      <c r="S684" s="49"/>
    </row>
    <row r="685" spans="2:19" x14ac:dyDescent="0.25">
      <c r="B685" s="184"/>
      <c r="C685" s="187"/>
      <c r="D685" s="29" t="s">
        <v>3</v>
      </c>
      <c r="E685" s="30">
        <v>2</v>
      </c>
      <c r="F685" s="30">
        <v>38</v>
      </c>
      <c r="G685" s="29" t="s">
        <v>66</v>
      </c>
      <c r="H685" s="29"/>
      <c r="I685" s="49"/>
      <c r="L685" s="184"/>
      <c r="M685" s="187"/>
      <c r="N685" s="29" t="s">
        <v>3</v>
      </c>
      <c r="O685" s="30">
        <v>2</v>
      </c>
      <c r="P685" s="30">
        <v>38</v>
      </c>
      <c r="Q685" s="29" t="s">
        <v>66</v>
      </c>
      <c r="R685" s="29"/>
      <c r="S685" s="49"/>
    </row>
    <row r="686" spans="2:19" x14ac:dyDescent="0.25">
      <c r="B686" s="184"/>
      <c r="C686" s="187"/>
      <c r="D686" s="29" t="s">
        <v>80</v>
      </c>
      <c r="E686" s="30">
        <v>3</v>
      </c>
      <c r="F686" s="30">
        <v>39</v>
      </c>
      <c r="G686" s="29" t="s">
        <v>66</v>
      </c>
      <c r="H686" s="29"/>
      <c r="I686" s="49"/>
      <c r="L686" s="184"/>
      <c r="M686" s="187"/>
      <c r="N686" s="29" t="s">
        <v>80</v>
      </c>
      <c r="O686" s="30">
        <v>3</v>
      </c>
      <c r="P686" s="30">
        <v>39</v>
      </c>
      <c r="Q686" s="29" t="s">
        <v>66</v>
      </c>
      <c r="R686" s="29"/>
      <c r="S686" s="49"/>
    </row>
    <row r="687" spans="2:19" x14ac:dyDescent="0.25">
      <c r="B687" s="184"/>
      <c r="C687" s="187"/>
      <c r="D687" s="29" t="s">
        <v>81</v>
      </c>
      <c r="E687" s="30">
        <v>4</v>
      </c>
      <c r="F687" s="30">
        <v>40</v>
      </c>
      <c r="G687" s="29" t="s">
        <v>66</v>
      </c>
      <c r="H687" s="29"/>
      <c r="I687" s="49"/>
      <c r="L687" s="184"/>
      <c r="M687" s="187"/>
      <c r="N687" s="29" t="s">
        <v>81</v>
      </c>
      <c r="O687" s="30">
        <v>4</v>
      </c>
      <c r="P687" s="30">
        <v>40</v>
      </c>
      <c r="Q687" s="29" t="s">
        <v>66</v>
      </c>
      <c r="R687" s="29"/>
      <c r="S687" s="49"/>
    </row>
    <row r="688" spans="2:19" x14ac:dyDescent="0.25">
      <c r="B688" s="184"/>
      <c r="C688" s="187"/>
      <c r="D688" s="29" t="s">
        <v>82</v>
      </c>
      <c r="E688" s="30">
        <v>5</v>
      </c>
      <c r="F688" s="30">
        <v>41</v>
      </c>
      <c r="G688" s="29" t="s">
        <v>66</v>
      </c>
      <c r="H688" s="29"/>
      <c r="I688" s="49"/>
      <c r="L688" s="184"/>
      <c r="M688" s="187"/>
      <c r="N688" s="29" t="s">
        <v>82</v>
      </c>
      <c r="O688" s="30">
        <v>5</v>
      </c>
      <c r="P688" s="30">
        <v>41</v>
      </c>
      <c r="Q688" s="29" t="s">
        <v>66</v>
      </c>
      <c r="R688" s="29"/>
      <c r="S688" s="49"/>
    </row>
    <row r="689" spans="2:19" ht="15.75" thickBot="1" x14ac:dyDescent="0.3">
      <c r="B689" s="184"/>
      <c r="C689" s="188"/>
      <c r="D689" s="29" t="s">
        <v>83</v>
      </c>
      <c r="E689" s="30">
        <v>6</v>
      </c>
      <c r="F689" s="30">
        <v>42</v>
      </c>
      <c r="G689" s="29" t="s">
        <v>66</v>
      </c>
      <c r="H689" s="29"/>
      <c r="I689" s="49"/>
      <c r="L689" s="184"/>
      <c r="M689" s="188"/>
      <c r="N689" s="29" t="s">
        <v>83</v>
      </c>
      <c r="O689" s="30">
        <v>6</v>
      </c>
      <c r="P689" s="30">
        <v>42</v>
      </c>
      <c r="Q689" s="29" t="s">
        <v>66</v>
      </c>
      <c r="R689" s="29"/>
      <c r="S689" s="49"/>
    </row>
    <row r="690" spans="2:19" x14ac:dyDescent="0.25">
      <c r="B690" s="184"/>
      <c r="C690" s="186" t="s">
        <v>84</v>
      </c>
      <c r="D690" s="29" t="s">
        <v>2</v>
      </c>
      <c r="E690" s="30">
        <v>1</v>
      </c>
      <c r="F690" s="30">
        <v>43</v>
      </c>
      <c r="G690" s="29" t="s">
        <v>66</v>
      </c>
      <c r="H690" s="29"/>
      <c r="I690" s="49"/>
      <c r="L690" s="184"/>
      <c r="M690" s="186" t="s">
        <v>84</v>
      </c>
      <c r="N690" s="29" t="s">
        <v>2</v>
      </c>
      <c r="O690" s="30">
        <v>1</v>
      </c>
      <c r="P690" s="30">
        <v>43</v>
      </c>
      <c r="Q690" s="29" t="s">
        <v>66</v>
      </c>
      <c r="R690" s="29"/>
      <c r="S690" s="49"/>
    </row>
    <row r="691" spans="2:19" x14ac:dyDescent="0.25">
      <c r="B691" s="184"/>
      <c r="C691" s="187"/>
      <c r="D691" s="29" t="s">
        <v>3</v>
      </c>
      <c r="E691" s="30">
        <v>2</v>
      </c>
      <c r="F691" s="30">
        <v>44</v>
      </c>
      <c r="G691" s="29" t="s">
        <v>66</v>
      </c>
      <c r="H691" s="29"/>
      <c r="I691" s="49"/>
      <c r="L691" s="184"/>
      <c r="M691" s="187"/>
      <c r="N691" s="29" t="s">
        <v>3</v>
      </c>
      <c r="O691" s="30">
        <v>2</v>
      </c>
      <c r="P691" s="30">
        <v>44</v>
      </c>
      <c r="Q691" s="29" t="s">
        <v>66</v>
      </c>
      <c r="R691" s="29"/>
      <c r="S691" s="49"/>
    </row>
    <row r="692" spans="2:19" x14ac:dyDescent="0.25">
      <c r="B692" s="184"/>
      <c r="C692" s="187"/>
      <c r="D692" s="29" t="s">
        <v>80</v>
      </c>
      <c r="E692" s="30">
        <v>3</v>
      </c>
      <c r="F692" s="30">
        <v>45</v>
      </c>
      <c r="G692" s="29" t="s">
        <v>66</v>
      </c>
      <c r="H692" s="29"/>
      <c r="I692" s="49"/>
      <c r="L692" s="184"/>
      <c r="M692" s="187"/>
      <c r="N692" s="29" t="s">
        <v>80</v>
      </c>
      <c r="O692" s="30">
        <v>3</v>
      </c>
      <c r="P692" s="30">
        <v>45</v>
      </c>
      <c r="Q692" s="29" t="s">
        <v>66</v>
      </c>
      <c r="R692" s="29"/>
      <c r="S692" s="49"/>
    </row>
    <row r="693" spans="2:19" x14ac:dyDescent="0.25">
      <c r="B693" s="184"/>
      <c r="C693" s="187"/>
      <c r="D693" s="29" t="s">
        <v>81</v>
      </c>
      <c r="E693" s="30">
        <v>4</v>
      </c>
      <c r="F693" s="30">
        <v>46</v>
      </c>
      <c r="G693" s="29" t="s">
        <v>66</v>
      </c>
      <c r="H693" s="29"/>
      <c r="I693" s="49"/>
      <c r="L693" s="184"/>
      <c r="M693" s="187"/>
      <c r="N693" s="29" t="s">
        <v>81</v>
      </c>
      <c r="O693" s="30">
        <v>4</v>
      </c>
      <c r="P693" s="30">
        <v>46</v>
      </c>
      <c r="Q693" s="29" t="s">
        <v>66</v>
      </c>
      <c r="R693" s="29"/>
      <c r="S693" s="49"/>
    </row>
    <row r="694" spans="2:19" x14ac:dyDescent="0.25">
      <c r="B694" s="184"/>
      <c r="C694" s="187"/>
      <c r="D694" s="29" t="s">
        <v>82</v>
      </c>
      <c r="E694" s="30">
        <v>5</v>
      </c>
      <c r="F694" s="30">
        <v>47</v>
      </c>
      <c r="G694" s="29" t="s">
        <v>66</v>
      </c>
      <c r="H694" s="29"/>
      <c r="I694" s="49"/>
      <c r="L694" s="184"/>
      <c r="M694" s="187"/>
      <c r="N694" s="29" t="s">
        <v>82</v>
      </c>
      <c r="O694" s="30">
        <v>5</v>
      </c>
      <c r="P694" s="30">
        <v>47</v>
      </c>
      <c r="Q694" s="29" t="s">
        <v>66</v>
      </c>
      <c r="R694" s="29"/>
      <c r="S694" s="49"/>
    </row>
    <row r="695" spans="2:19" ht="15.75" thickBot="1" x14ac:dyDescent="0.3">
      <c r="B695" s="185"/>
      <c r="C695" s="188"/>
      <c r="D695" s="29" t="s">
        <v>83</v>
      </c>
      <c r="E695" s="30">
        <v>6</v>
      </c>
      <c r="F695" s="30">
        <v>48</v>
      </c>
      <c r="G695" s="29" t="s">
        <v>66</v>
      </c>
      <c r="H695" s="29"/>
      <c r="I695" s="49"/>
      <c r="L695" s="185"/>
      <c r="M695" s="188"/>
      <c r="N695" s="29" t="s">
        <v>83</v>
      </c>
      <c r="O695" s="30">
        <v>6</v>
      </c>
      <c r="P695" s="30">
        <v>48</v>
      </c>
      <c r="Q695" s="29" t="s">
        <v>66</v>
      </c>
      <c r="R695" s="29"/>
      <c r="S695" s="49"/>
    </row>
    <row r="697" spans="2:19" ht="15.75" thickBot="1" x14ac:dyDescent="0.3"/>
    <row r="698" spans="2:19" ht="15.75" thickBot="1" x14ac:dyDescent="0.3">
      <c r="B698" s="171" t="s">
        <v>370</v>
      </c>
      <c r="C698" s="172"/>
      <c r="D698" s="172"/>
      <c r="E698" s="172"/>
      <c r="F698" s="172"/>
      <c r="G698" s="172"/>
      <c r="H698" s="172"/>
      <c r="I698" s="173"/>
      <c r="L698" s="171" t="s">
        <v>371</v>
      </c>
      <c r="M698" s="172"/>
      <c r="N698" s="172"/>
      <c r="O698" s="172"/>
      <c r="P698" s="172"/>
      <c r="Q698" s="172"/>
      <c r="R698" s="172"/>
      <c r="S698" s="173"/>
    </row>
    <row r="700" spans="2:19" ht="26.25" thickBot="1" x14ac:dyDescent="0.3">
      <c r="B700" s="15" t="s">
        <v>70</v>
      </c>
      <c r="C700" s="16" t="s">
        <v>71</v>
      </c>
      <c r="D700" s="15" t="s">
        <v>72</v>
      </c>
      <c r="E700" s="17" t="s">
        <v>73</v>
      </c>
      <c r="F700" s="17" t="s">
        <v>74</v>
      </c>
      <c r="G700" s="15" t="s">
        <v>75</v>
      </c>
      <c r="H700" s="15" t="s">
        <v>55</v>
      </c>
      <c r="I700" s="15" t="s">
        <v>76</v>
      </c>
      <c r="L700" s="15" t="s">
        <v>70</v>
      </c>
      <c r="M700" s="16" t="s">
        <v>71</v>
      </c>
      <c r="N700" s="15" t="s">
        <v>72</v>
      </c>
      <c r="O700" s="17" t="s">
        <v>73</v>
      </c>
      <c r="P700" s="17" t="s">
        <v>74</v>
      </c>
      <c r="Q700" s="15" t="s">
        <v>75</v>
      </c>
      <c r="R700" s="15" t="s">
        <v>55</v>
      </c>
      <c r="S700" s="15" t="s">
        <v>76</v>
      </c>
    </row>
    <row r="701" spans="2:19" x14ac:dyDescent="0.25">
      <c r="B701" s="174" t="s">
        <v>2</v>
      </c>
      <c r="C701" s="168" t="s">
        <v>77</v>
      </c>
      <c r="D701" s="18" t="s">
        <v>2</v>
      </c>
      <c r="E701" s="19">
        <v>1</v>
      </c>
      <c r="F701" s="19">
        <v>1</v>
      </c>
      <c r="G701" s="18" t="s">
        <v>66</v>
      </c>
      <c r="H701" s="32"/>
      <c r="I701" s="50"/>
      <c r="L701" s="174" t="s">
        <v>2</v>
      </c>
      <c r="M701" s="168" t="s">
        <v>77</v>
      </c>
      <c r="N701" s="18" t="s">
        <v>2</v>
      </c>
      <c r="O701" s="19">
        <v>1</v>
      </c>
      <c r="P701" s="19">
        <v>1</v>
      </c>
      <c r="Q701" s="18" t="s">
        <v>66</v>
      </c>
      <c r="R701" s="32"/>
      <c r="S701" s="50"/>
    </row>
    <row r="702" spans="2:19" x14ac:dyDescent="0.25">
      <c r="B702" s="175"/>
      <c r="C702" s="169"/>
      <c r="D702" s="18" t="s">
        <v>3</v>
      </c>
      <c r="E702" s="19">
        <v>2</v>
      </c>
      <c r="F702" s="19">
        <v>2</v>
      </c>
      <c r="G702" s="18" t="s">
        <v>66</v>
      </c>
      <c r="H702" s="32"/>
      <c r="I702" s="50"/>
      <c r="L702" s="175"/>
      <c r="M702" s="169"/>
      <c r="N702" s="18" t="s">
        <v>3</v>
      </c>
      <c r="O702" s="19">
        <v>2</v>
      </c>
      <c r="P702" s="19">
        <v>2</v>
      </c>
      <c r="Q702" s="18" t="s">
        <v>66</v>
      </c>
      <c r="R702" s="32"/>
      <c r="S702" s="50"/>
    </row>
    <row r="703" spans="2:19" x14ac:dyDescent="0.25">
      <c r="B703" s="175"/>
      <c r="C703" s="169"/>
      <c r="D703" s="18" t="s">
        <v>80</v>
      </c>
      <c r="E703" s="20">
        <v>3</v>
      </c>
      <c r="F703" s="20">
        <v>3</v>
      </c>
      <c r="G703" s="18" t="s">
        <v>66</v>
      </c>
      <c r="H703" s="32"/>
      <c r="I703" s="50"/>
      <c r="L703" s="175"/>
      <c r="M703" s="169"/>
      <c r="N703" s="18" t="s">
        <v>80</v>
      </c>
      <c r="O703" s="20">
        <v>3</v>
      </c>
      <c r="P703" s="20">
        <v>3</v>
      </c>
      <c r="Q703" s="18" t="s">
        <v>66</v>
      </c>
      <c r="R703" s="32"/>
      <c r="S703" s="50"/>
    </row>
    <row r="704" spans="2:19" x14ac:dyDescent="0.25">
      <c r="B704" s="175"/>
      <c r="C704" s="169"/>
      <c r="D704" s="18" t="s">
        <v>81</v>
      </c>
      <c r="E704" s="20">
        <v>4</v>
      </c>
      <c r="F704" s="20">
        <v>4</v>
      </c>
      <c r="G704" s="18" t="s">
        <v>66</v>
      </c>
      <c r="H704" s="32"/>
      <c r="I704" s="50"/>
      <c r="L704" s="175"/>
      <c r="M704" s="169"/>
      <c r="N704" s="18" t="s">
        <v>81</v>
      </c>
      <c r="O704" s="20">
        <v>4</v>
      </c>
      <c r="P704" s="20">
        <v>4</v>
      </c>
      <c r="Q704" s="18" t="s">
        <v>66</v>
      </c>
      <c r="R704" s="32"/>
      <c r="S704" s="50"/>
    </row>
    <row r="705" spans="2:19" x14ac:dyDescent="0.25">
      <c r="B705" s="175"/>
      <c r="C705" s="169"/>
      <c r="D705" s="18" t="s">
        <v>82</v>
      </c>
      <c r="E705" s="20">
        <v>5</v>
      </c>
      <c r="F705" s="20">
        <v>5</v>
      </c>
      <c r="G705" s="18" t="s">
        <v>66</v>
      </c>
      <c r="H705" s="32"/>
      <c r="I705" s="50"/>
      <c r="L705" s="175"/>
      <c r="M705" s="169"/>
      <c r="N705" s="18" t="s">
        <v>82</v>
      </c>
      <c r="O705" s="20">
        <v>5</v>
      </c>
      <c r="P705" s="20">
        <v>5</v>
      </c>
      <c r="Q705" s="18" t="s">
        <v>66</v>
      </c>
      <c r="R705" s="32"/>
      <c r="S705" s="50"/>
    </row>
    <row r="706" spans="2:19" ht="15.75" thickBot="1" x14ac:dyDescent="0.3">
      <c r="B706" s="175"/>
      <c r="C706" s="170"/>
      <c r="D706" s="18" t="s">
        <v>83</v>
      </c>
      <c r="E706" s="20">
        <v>6</v>
      </c>
      <c r="F706" s="20">
        <v>6</v>
      </c>
      <c r="G706" s="18" t="s">
        <v>66</v>
      </c>
      <c r="H706" s="32"/>
      <c r="I706" s="50"/>
      <c r="L706" s="175"/>
      <c r="M706" s="170"/>
      <c r="N706" s="18" t="s">
        <v>83</v>
      </c>
      <c r="O706" s="20">
        <v>6</v>
      </c>
      <c r="P706" s="20">
        <v>6</v>
      </c>
      <c r="Q706" s="18" t="s">
        <v>66</v>
      </c>
      <c r="R706" s="32"/>
      <c r="S706" s="50"/>
    </row>
    <row r="707" spans="2:19" x14ac:dyDescent="0.25">
      <c r="B707" s="175"/>
      <c r="C707" s="168" t="s">
        <v>84</v>
      </c>
      <c r="D707" s="18" t="s">
        <v>2</v>
      </c>
      <c r="E707" s="19">
        <v>1</v>
      </c>
      <c r="F707" s="19">
        <v>7</v>
      </c>
      <c r="G707" s="18" t="s">
        <v>78</v>
      </c>
      <c r="H707" s="156" t="s">
        <v>130</v>
      </c>
      <c r="I707" s="165" t="s">
        <v>204</v>
      </c>
      <c r="L707" s="175"/>
      <c r="M707" s="168" t="s">
        <v>84</v>
      </c>
      <c r="N707" s="18" t="s">
        <v>2</v>
      </c>
      <c r="O707" s="19">
        <v>1</v>
      </c>
      <c r="P707" s="19">
        <v>7</v>
      </c>
      <c r="Q707" s="18" t="s">
        <v>78</v>
      </c>
      <c r="R707" s="156" t="s">
        <v>130</v>
      </c>
      <c r="S707" s="165" t="s">
        <v>206</v>
      </c>
    </row>
    <row r="708" spans="2:19" x14ac:dyDescent="0.25">
      <c r="B708" s="175"/>
      <c r="C708" s="169"/>
      <c r="D708" s="18" t="s">
        <v>3</v>
      </c>
      <c r="E708" s="19">
        <v>2</v>
      </c>
      <c r="F708" s="19">
        <v>8</v>
      </c>
      <c r="G708" s="18" t="s">
        <v>78</v>
      </c>
      <c r="H708" s="157"/>
      <c r="I708" s="166"/>
      <c r="L708" s="175"/>
      <c r="M708" s="169"/>
      <c r="N708" s="18" t="s">
        <v>3</v>
      </c>
      <c r="O708" s="19">
        <v>2</v>
      </c>
      <c r="P708" s="19">
        <v>8</v>
      </c>
      <c r="Q708" s="18" t="s">
        <v>78</v>
      </c>
      <c r="R708" s="157"/>
      <c r="S708" s="166"/>
    </row>
    <row r="709" spans="2:19" x14ac:dyDescent="0.25">
      <c r="B709" s="175"/>
      <c r="C709" s="169"/>
      <c r="D709" s="18" t="s">
        <v>80</v>
      </c>
      <c r="E709" s="20">
        <v>3</v>
      </c>
      <c r="F709" s="20">
        <v>9</v>
      </c>
      <c r="G709" s="18" t="s">
        <v>66</v>
      </c>
      <c r="H709" s="157"/>
      <c r="I709" s="166"/>
      <c r="L709" s="175"/>
      <c r="M709" s="169"/>
      <c r="N709" s="18" t="s">
        <v>80</v>
      </c>
      <c r="O709" s="20">
        <v>3</v>
      </c>
      <c r="P709" s="20">
        <v>9</v>
      </c>
      <c r="Q709" s="18" t="s">
        <v>66</v>
      </c>
      <c r="R709" s="157"/>
      <c r="S709" s="166"/>
    </row>
    <row r="710" spans="2:19" x14ac:dyDescent="0.25">
      <c r="B710" s="175"/>
      <c r="C710" s="169"/>
      <c r="D710" s="18" t="s">
        <v>81</v>
      </c>
      <c r="E710" s="20">
        <v>4</v>
      </c>
      <c r="F710" s="20">
        <v>10</v>
      </c>
      <c r="G710" s="18" t="s">
        <v>66</v>
      </c>
      <c r="H710" s="157"/>
      <c r="I710" s="166"/>
      <c r="L710" s="175"/>
      <c r="M710" s="169"/>
      <c r="N710" s="18" t="s">
        <v>81</v>
      </c>
      <c r="O710" s="20">
        <v>4</v>
      </c>
      <c r="P710" s="20">
        <v>10</v>
      </c>
      <c r="Q710" s="18" t="s">
        <v>66</v>
      </c>
      <c r="R710" s="157"/>
      <c r="S710" s="166"/>
    </row>
    <row r="711" spans="2:19" x14ac:dyDescent="0.25">
      <c r="B711" s="175"/>
      <c r="C711" s="169"/>
      <c r="D711" s="18" t="s">
        <v>82</v>
      </c>
      <c r="E711" s="20">
        <v>5</v>
      </c>
      <c r="F711" s="20">
        <v>11</v>
      </c>
      <c r="G711" s="18" t="s">
        <v>66</v>
      </c>
      <c r="H711" s="157"/>
      <c r="I711" s="166"/>
      <c r="L711" s="175"/>
      <c r="M711" s="169"/>
      <c r="N711" s="18" t="s">
        <v>82</v>
      </c>
      <c r="O711" s="20">
        <v>5</v>
      </c>
      <c r="P711" s="20">
        <v>11</v>
      </c>
      <c r="Q711" s="18" t="s">
        <v>66</v>
      </c>
      <c r="R711" s="157"/>
      <c r="S711" s="166"/>
    </row>
    <row r="712" spans="2:19" ht="15.75" thickBot="1" x14ac:dyDescent="0.3">
      <c r="B712" s="176"/>
      <c r="C712" s="170"/>
      <c r="D712" s="18" t="s">
        <v>83</v>
      </c>
      <c r="E712" s="20">
        <v>6</v>
      </c>
      <c r="F712" s="20">
        <v>12</v>
      </c>
      <c r="G712" s="18" t="s">
        <v>66</v>
      </c>
      <c r="H712" s="158"/>
      <c r="I712" s="167"/>
      <c r="L712" s="176"/>
      <c r="M712" s="170"/>
      <c r="N712" s="18" t="s">
        <v>83</v>
      </c>
      <c r="O712" s="20">
        <v>6</v>
      </c>
      <c r="P712" s="20">
        <v>12</v>
      </c>
      <c r="Q712" s="18" t="s">
        <v>66</v>
      </c>
      <c r="R712" s="158"/>
      <c r="S712" s="167"/>
    </row>
    <row r="713" spans="2:19" x14ac:dyDescent="0.25">
      <c r="B713" s="180" t="s">
        <v>3</v>
      </c>
      <c r="C713" s="177" t="s">
        <v>77</v>
      </c>
      <c r="D713" s="21" t="s">
        <v>2</v>
      </c>
      <c r="E713" s="22">
        <v>1</v>
      </c>
      <c r="F713" s="22">
        <v>13</v>
      </c>
      <c r="G713" s="21" t="s">
        <v>66</v>
      </c>
      <c r="H713" s="21"/>
      <c r="I713" s="51"/>
      <c r="L713" s="180" t="s">
        <v>3</v>
      </c>
      <c r="M713" s="177" t="s">
        <v>77</v>
      </c>
      <c r="N713" s="21" t="s">
        <v>2</v>
      </c>
      <c r="O713" s="22">
        <v>1</v>
      </c>
      <c r="P713" s="22">
        <v>13</v>
      </c>
      <c r="Q713" s="21" t="s">
        <v>66</v>
      </c>
      <c r="R713" s="21"/>
      <c r="S713" s="51"/>
    </row>
    <row r="714" spans="2:19" x14ac:dyDescent="0.25">
      <c r="B714" s="181"/>
      <c r="C714" s="178"/>
      <c r="D714" s="23" t="s">
        <v>3</v>
      </c>
      <c r="E714" s="24">
        <v>2</v>
      </c>
      <c r="F714" s="24">
        <v>14</v>
      </c>
      <c r="G714" s="23" t="s">
        <v>66</v>
      </c>
      <c r="H714" s="23"/>
      <c r="I714" s="47"/>
      <c r="L714" s="181"/>
      <c r="M714" s="178"/>
      <c r="N714" s="23" t="s">
        <v>3</v>
      </c>
      <c r="O714" s="24">
        <v>2</v>
      </c>
      <c r="P714" s="24">
        <v>14</v>
      </c>
      <c r="Q714" s="23" t="s">
        <v>66</v>
      </c>
      <c r="R714" s="23"/>
      <c r="S714" s="47"/>
    </row>
    <row r="715" spans="2:19" x14ac:dyDescent="0.25">
      <c r="B715" s="181"/>
      <c r="C715" s="178"/>
      <c r="D715" s="23" t="s">
        <v>80</v>
      </c>
      <c r="E715" s="24">
        <v>3</v>
      </c>
      <c r="F715" s="24">
        <v>15</v>
      </c>
      <c r="G715" s="23" t="s">
        <v>66</v>
      </c>
      <c r="H715" s="23"/>
      <c r="I715" s="47"/>
      <c r="L715" s="181"/>
      <c r="M715" s="178"/>
      <c r="N715" s="23" t="s">
        <v>80</v>
      </c>
      <c r="O715" s="24">
        <v>3</v>
      </c>
      <c r="P715" s="24">
        <v>15</v>
      </c>
      <c r="Q715" s="23" t="s">
        <v>66</v>
      </c>
      <c r="R715" s="23"/>
      <c r="S715" s="47"/>
    </row>
    <row r="716" spans="2:19" x14ac:dyDescent="0.25">
      <c r="B716" s="181"/>
      <c r="C716" s="178"/>
      <c r="D716" s="23" t="s">
        <v>81</v>
      </c>
      <c r="E716" s="24">
        <v>4</v>
      </c>
      <c r="F716" s="24">
        <v>16</v>
      </c>
      <c r="G716" s="23" t="s">
        <v>66</v>
      </c>
      <c r="H716" s="23"/>
      <c r="I716" s="47"/>
      <c r="L716" s="181"/>
      <c r="M716" s="178"/>
      <c r="N716" s="23" t="s">
        <v>81</v>
      </c>
      <c r="O716" s="24">
        <v>4</v>
      </c>
      <c r="P716" s="24">
        <v>16</v>
      </c>
      <c r="Q716" s="23" t="s">
        <v>66</v>
      </c>
      <c r="R716" s="23"/>
      <c r="S716" s="47"/>
    </row>
    <row r="717" spans="2:19" x14ac:dyDescent="0.25">
      <c r="B717" s="181"/>
      <c r="C717" s="178"/>
      <c r="D717" s="23" t="s">
        <v>82</v>
      </c>
      <c r="E717" s="24">
        <v>5</v>
      </c>
      <c r="F717" s="24">
        <v>17</v>
      </c>
      <c r="G717" s="23" t="s">
        <v>66</v>
      </c>
      <c r="H717" s="23"/>
      <c r="I717" s="47"/>
      <c r="L717" s="181"/>
      <c r="M717" s="178"/>
      <c r="N717" s="23" t="s">
        <v>82</v>
      </c>
      <c r="O717" s="24">
        <v>5</v>
      </c>
      <c r="P717" s="24">
        <v>17</v>
      </c>
      <c r="Q717" s="23" t="s">
        <v>66</v>
      </c>
      <c r="R717" s="23"/>
      <c r="S717" s="47"/>
    </row>
    <row r="718" spans="2:19" ht="15.75" thickBot="1" x14ac:dyDescent="0.3">
      <c r="B718" s="181"/>
      <c r="C718" s="179"/>
      <c r="D718" s="23" t="s">
        <v>83</v>
      </c>
      <c r="E718" s="24">
        <v>6</v>
      </c>
      <c r="F718" s="24">
        <v>18</v>
      </c>
      <c r="G718" s="23" t="s">
        <v>66</v>
      </c>
      <c r="H718" s="23"/>
      <c r="I718" s="47"/>
      <c r="L718" s="181"/>
      <c r="M718" s="179"/>
      <c r="N718" s="23" t="s">
        <v>83</v>
      </c>
      <c r="O718" s="24">
        <v>6</v>
      </c>
      <c r="P718" s="24">
        <v>18</v>
      </c>
      <c r="Q718" s="23" t="s">
        <v>66</v>
      </c>
      <c r="R718" s="23"/>
      <c r="S718" s="47"/>
    </row>
    <row r="719" spans="2:19" x14ac:dyDescent="0.25">
      <c r="B719" s="181"/>
      <c r="C719" s="177" t="s">
        <v>84</v>
      </c>
      <c r="D719" s="23" t="s">
        <v>2</v>
      </c>
      <c r="E719" s="24">
        <v>1</v>
      </c>
      <c r="F719" s="24">
        <v>19</v>
      </c>
      <c r="G719" s="23" t="s">
        <v>66</v>
      </c>
      <c r="H719" s="23"/>
      <c r="I719" s="47"/>
      <c r="L719" s="181"/>
      <c r="M719" s="177" t="s">
        <v>84</v>
      </c>
      <c r="N719" s="23" t="s">
        <v>2</v>
      </c>
      <c r="O719" s="24">
        <v>1</v>
      </c>
      <c r="P719" s="24">
        <v>19</v>
      </c>
      <c r="Q719" s="23" t="s">
        <v>66</v>
      </c>
      <c r="R719" s="23"/>
      <c r="S719" s="47"/>
    </row>
    <row r="720" spans="2:19" x14ac:dyDescent="0.25">
      <c r="B720" s="181"/>
      <c r="C720" s="178"/>
      <c r="D720" s="23" t="s">
        <v>3</v>
      </c>
      <c r="E720" s="24">
        <v>2</v>
      </c>
      <c r="F720" s="24">
        <v>20</v>
      </c>
      <c r="G720" s="23" t="s">
        <v>66</v>
      </c>
      <c r="H720" s="23"/>
      <c r="I720" s="47"/>
      <c r="L720" s="181"/>
      <c r="M720" s="178"/>
      <c r="N720" s="23" t="s">
        <v>3</v>
      </c>
      <c r="O720" s="24">
        <v>2</v>
      </c>
      <c r="P720" s="24">
        <v>20</v>
      </c>
      <c r="Q720" s="23" t="s">
        <v>66</v>
      </c>
      <c r="R720" s="23"/>
      <c r="S720" s="47"/>
    </row>
    <row r="721" spans="2:19" x14ac:dyDescent="0.25">
      <c r="B721" s="181"/>
      <c r="C721" s="178"/>
      <c r="D721" s="23" t="s">
        <v>80</v>
      </c>
      <c r="E721" s="26">
        <v>3</v>
      </c>
      <c r="F721" s="24">
        <v>21</v>
      </c>
      <c r="G721" s="23" t="s">
        <v>66</v>
      </c>
      <c r="H721" s="23"/>
      <c r="I721" s="47"/>
      <c r="L721" s="181"/>
      <c r="M721" s="178"/>
      <c r="N721" s="23" t="s">
        <v>80</v>
      </c>
      <c r="O721" s="26">
        <v>3</v>
      </c>
      <c r="P721" s="24">
        <v>21</v>
      </c>
      <c r="Q721" s="23" t="s">
        <v>66</v>
      </c>
      <c r="R721" s="23"/>
      <c r="S721" s="47"/>
    </row>
    <row r="722" spans="2:19" x14ac:dyDescent="0.25">
      <c r="B722" s="181"/>
      <c r="C722" s="178"/>
      <c r="D722" s="23" t="s">
        <v>81</v>
      </c>
      <c r="E722" s="24">
        <v>4</v>
      </c>
      <c r="F722" s="24">
        <v>22</v>
      </c>
      <c r="G722" s="23" t="s">
        <v>66</v>
      </c>
      <c r="H722" s="23"/>
      <c r="I722" s="47"/>
      <c r="L722" s="181"/>
      <c r="M722" s="178"/>
      <c r="N722" s="23" t="s">
        <v>81</v>
      </c>
      <c r="O722" s="24">
        <v>4</v>
      </c>
      <c r="P722" s="24">
        <v>22</v>
      </c>
      <c r="Q722" s="23" t="s">
        <v>66</v>
      </c>
      <c r="R722" s="23"/>
      <c r="S722" s="47"/>
    </row>
    <row r="723" spans="2:19" x14ac:dyDescent="0.25">
      <c r="B723" s="181"/>
      <c r="C723" s="178"/>
      <c r="D723" s="23" t="s">
        <v>82</v>
      </c>
      <c r="E723" s="24">
        <v>5</v>
      </c>
      <c r="F723" s="24">
        <v>23</v>
      </c>
      <c r="G723" s="23" t="s">
        <v>66</v>
      </c>
      <c r="H723" s="23"/>
      <c r="I723" s="47"/>
      <c r="L723" s="181"/>
      <c r="M723" s="178"/>
      <c r="N723" s="23" t="s">
        <v>82</v>
      </c>
      <c r="O723" s="24">
        <v>5</v>
      </c>
      <c r="P723" s="24">
        <v>23</v>
      </c>
      <c r="Q723" s="23" t="s">
        <v>66</v>
      </c>
      <c r="R723" s="23"/>
      <c r="S723" s="47"/>
    </row>
    <row r="724" spans="2:19" ht="15.75" thickBot="1" x14ac:dyDescent="0.3">
      <c r="B724" s="182"/>
      <c r="C724" s="179"/>
      <c r="D724" s="23" t="s">
        <v>83</v>
      </c>
      <c r="E724" s="24">
        <v>6</v>
      </c>
      <c r="F724" s="24">
        <v>24</v>
      </c>
      <c r="G724" s="23" t="s">
        <v>66</v>
      </c>
      <c r="H724" s="23"/>
      <c r="I724" s="47"/>
      <c r="L724" s="182"/>
      <c r="M724" s="179"/>
      <c r="N724" s="23" t="s">
        <v>83</v>
      </c>
      <c r="O724" s="24">
        <v>6</v>
      </c>
      <c r="P724" s="24">
        <v>24</v>
      </c>
      <c r="Q724" s="23" t="s">
        <v>66</v>
      </c>
      <c r="R724" s="23"/>
      <c r="S724" s="47"/>
    </row>
    <row r="725" spans="2:19" x14ac:dyDescent="0.25">
      <c r="B725" s="189" t="s">
        <v>80</v>
      </c>
      <c r="C725" s="192" t="s">
        <v>77</v>
      </c>
      <c r="D725" s="27" t="s">
        <v>2</v>
      </c>
      <c r="E725" s="28">
        <v>1</v>
      </c>
      <c r="F725" s="28">
        <v>25</v>
      </c>
      <c r="G725" s="27" t="s">
        <v>66</v>
      </c>
      <c r="H725" s="27"/>
      <c r="I725" s="48"/>
      <c r="L725" s="189" t="s">
        <v>80</v>
      </c>
      <c r="M725" s="192" t="s">
        <v>77</v>
      </c>
      <c r="N725" s="27" t="s">
        <v>2</v>
      </c>
      <c r="O725" s="28">
        <v>1</v>
      </c>
      <c r="P725" s="28">
        <v>25</v>
      </c>
      <c r="Q725" s="27" t="s">
        <v>66</v>
      </c>
      <c r="R725" s="27"/>
      <c r="S725" s="48"/>
    </row>
    <row r="726" spans="2:19" x14ac:dyDescent="0.25">
      <c r="B726" s="190"/>
      <c r="C726" s="193"/>
      <c r="D726" s="27" t="s">
        <v>3</v>
      </c>
      <c r="E726" s="28">
        <v>2</v>
      </c>
      <c r="F726" s="28">
        <v>26</v>
      </c>
      <c r="G726" s="27" t="s">
        <v>66</v>
      </c>
      <c r="H726" s="27"/>
      <c r="I726" s="48"/>
      <c r="L726" s="190"/>
      <c r="M726" s="193"/>
      <c r="N726" s="27" t="s">
        <v>3</v>
      </c>
      <c r="O726" s="28">
        <v>2</v>
      </c>
      <c r="P726" s="28">
        <v>26</v>
      </c>
      <c r="Q726" s="27" t="s">
        <v>66</v>
      </c>
      <c r="R726" s="27"/>
      <c r="S726" s="48"/>
    </row>
    <row r="727" spans="2:19" x14ac:dyDescent="0.25">
      <c r="B727" s="190"/>
      <c r="C727" s="193"/>
      <c r="D727" s="27" t="s">
        <v>80</v>
      </c>
      <c r="E727" s="28">
        <v>3</v>
      </c>
      <c r="F727" s="28">
        <v>27</v>
      </c>
      <c r="G727" s="27" t="s">
        <v>66</v>
      </c>
      <c r="H727" s="27"/>
      <c r="I727" s="48"/>
      <c r="L727" s="190"/>
      <c r="M727" s="193"/>
      <c r="N727" s="27" t="s">
        <v>80</v>
      </c>
      <c r="O727" s="28">
        <v>3</v>
      </c>
      <c r="P727" s="28">
        <v>27</v>
      </c>
      <c r="Q727" s="27" t="s">
        <v>66</v>
      </c>
      <c r="R727" s="27"/>
      <c r="S727" s="48"/>
    </row>
    <row r="728" spans="2:19" x14ac:dyDescent="0.25">
      <c r="B728" s="190"/>
      <c r="C728" s="193"/>
      <c r="D728" s="27" t="s">
        <v>81</v>
      </c>
      <c r="E728" s="28">
        <v>4</v>
      </c>
      <c r="F728" s="28">
        <v>28</v>
      </c>
      <c r="G728" s="27" t="s">
        <v>66</v>
      </c>
      <c r="H728" s="27"/>
      <c r="I728" s="48"/>
      <c r="L728" s="190"/>
      <c r="M728" s="193"/>
      <c r="N728" s="27" t="s">
        <v>81</v>
      </c>
      <c r="O728" s="28">
        <v>4</v>
      </c>
      <c r="P728" s="28">
        <v>28</v>
      </c>
      <c r="Q728" s="27" t="s">
        <v>66</v>
      </c>
      <c r="R728" s="27"/>
      <c r="S728" s="48"/>
    </row>
    <row r="729" spans="2:19" x14ac:dyDescent="0.25">
      <c r="B729" s="190"/>
      <c r="C729" s="193"/>
      <c r="D729" s="27" t="s">
        <v>82</v>
      </c>
      <c r="E729" s="28">
        <v>5</v>
      </c>
      <c r="F729" s="28">
        <v>29</v>
      </c>
      <c r="G729" s="27" t="s">
        <v>66</v>
      </c>
      <c r="H729" s="27"/>
      <c r="I729" s="48"/>
      <c r="L729" s="190"/>
      <c r="M729" s="193"/>
      <c r="N729" s="27" t="s">
        <v>82</v>
      </c>
      <c r="O729" s="28">
        <v>5</v>
      </c>
      <c r="P729" s="28">
        <v>29</v>
      </c>
      <c r="Q729" s="27" t="s">
        <v>66</v>
      </c>
      <c r="R729" s="27"/>
      <c r="S729" s="48"/>
    </row>
    <row r="730" spans="2:19" ht="15.75" thickBot="1" x14ac:dyDescent="0.3">
      <c r="B730" s="190"/>
      <c r="C730" s="194"/>
      <c r="D730" s="27" t="s">
        <v>83</v>
      </c>
      <c r="E730" s="28">
        <v>6</v>
      </c>
      <c r="F730" s="28">
        <v>30</v>
      </c>
      <c r="G730" s="27" t="s">
        <v>66</v>
      </c>
      <c r="H730" s="27"/>
      <c r="I730" s="48"/>
      <c r="L730" s="190"/>
      <c r="M730" s="194"/>
      <c r="N730" s="27" t="s">
        <v>83</v>
      </c>
      <c r="O730" s="28">
        <v>6</v>
      </c>
      <c r="P730" s="28">
        <v>30</v>
      </c>
      <c r="Q730" s="27" t="s">
        <v>66</v>
      </c>
      <c r="R730" s="27"/>
      <c r="S730" s="48"/>
    </row>
    <row r="731" spans="2:19" x14ac:dyDescent="0.25">
      <c r="B731" s="190"/>
      <c r="C731" s="192" t="s">
        <v>84</v>
      </c>
      <c r="D731" s="27" t="s">
        <v>2</v>
      </c>
      <c r="E731" s="28">
        <v>1</v>
      </c>
      <c r="F731" s="28">
        <v>31</v>
      </c>
      <c r="G731" s="27" t="s">
        <v>66</v>
      </c>
      <c r="H731" s="27"/>
      <c r="I731" s="48"/>
      <c r="L731" s="190"/>
      <c r="M731" s="192" t="s">
        <v>84</v>
      </c>
      <c r="N731" s="27" t="s">
        <v>2</v>
      </c>
      <c r="O731" s="28">
        <v>1</v>
      </c>
      <c r="P731" s="28">
        <v>31</v>
      </c>
      <c r="Q731" s="27" t="s">
        <v>66</v>
      </c>
      <c r="R731" s="27"/>
      <c r="S731" s="48"/>
    </row>
    <row r="732" spans="2:19" x14ac:dyDescent="0.25">
      <c r="B732" s="190"/>
      <c r="C732" s="193"/>
      <c r="D732" s="27" t="s">
        <v>3</v>
      </c>
      <c r="E732" s="28">
        <v>2</v>
      </c>
      <c r="F732" s="28">
        <v>32</v>
      </c>
      <c r="G732" s="27" t="s">
        <v>66</v>
      </c>
      <c r="H732" s="27"/>
      <c r="I732" s="48"/>
      <c r="L732" s="190"/>
      <c r="M732" s="193"/>
      <c r="N732" s="27" t="s">
        <v>3</v>
      </c>
      <c r="O732" s="28">
        <v>2</v>
      </c>
      <c r="P732" s="28">
        <v>32</v>
      </c>
      <c r="Q732" s="27" t="s">
        <v>66</v>
      </c>
      <c r="R732" s="27"/>
      <c r="S732" s="48"/>
    </row>
    <row r="733" spans="2:19" x14ac:dyDescent="0.25">
      <c r="B733" s="190"/>
      <c r="C733" s="193"/>
      <c r="D733" s="27" t="s">
        <v>80</v>
      </c>
      <c r="E733" s="28">
        <v>3</v>
      </c>
      <c r="F733" s="28">
        <v>33</v>
      </c>
      <c r="G733" s="27" t="s">
        <v>66</v>
      </c>
      <c r="H733" s="27"/>
      <c r="I733" s="48"/>
      <c r="L733" s="190"/>
      <c r="M733" s="193"/>
      <c r="N733" s="27" t="s">
        <v>80</v>
      </c>
      <c r="O733" s="28">
        <v>3</v>
      </c>
      <c r="P733" s="28">
        <v>33</v>
      </c>
      <c r="Q733" s="27" t="s">
        <v>66</v>
      </c>
      <c r="R733" s="27"/>
      <c r="S733" s="48"/>
    </row>
    <row r="734" spans="2:19" x14ac:dyDescent="0.25">
      <c r="B734" s="190"/>
      <c r="C734" s="193"/>
      <c r="D734" s="27" t="s">
        <v>81</v>
      </c>
      <c r="E734" s="28">
        <v>4</v>
      </c>
      <c r="F734" s="28">
        <v>34</v>
      </c>
      <c r="G734" s="27" t="s">
        <v>66</v>
      </c>
      <c r="H734" s="27"/>
      <c r="I734" s="48"/>
      <c r="L734" s="190"/>
      <c r="M734" s="193"/>
      <c r="N734" s="27" t="s">
        <v>81</v>
      </c>
      <c r="O734" s="28">
        <v>4</v>
      </c>
      <c r="P734" s="28">
        <v>34</v>
      </c>
      <c r="Q734" s="27" t="s">
        <v>66</v>
      </c>
      <c r="R734" s="27"/>
      <c r="S734" s="48"/>
    </row>
    <row r="735" spans="2:19" x14ac:dyDescent="0.25">
      <c r="B735" s="190"/>
      <c r="C735" s="193"/>
      <c r="D735" s="27" t="s">
        <v>82</v>
      </c>
      <c r="E735" s="28">
        <v>5</v>
      </c>
      <c r="F735" s="28">
        <v>35</v>
      </c>
      <c r="G735" s="27" t="s">
        <v>66</v>
      </c>
      <c r="H735" s="27"/>
      <c r="I735" s="48"/>
      <c r="L735" s="190"/>
      <c r="M735" s="193"/>
      <c r="N735" s="27" t="s">
        <v>82</v>
      </c>
      <c r="O735" s="28">
        <v>5</v>
      </c>
      <c r="P735" s="28">
        <v>35</v>
      </c>
      <c r="Q735" s="27" t="s">
        <v>66</v>
      </c>
      <c r="R735" s="27"/>
      <c r="S735" s="48"/>
    </row>
    <row r="736" spans="2:19" ht="15.75" thickBot="1" x14ac:dyDescent="0.3">
      <c r="B736" s="191"/>
      <c r="C736" s="194"/>
      <c r="D736" s="27" t="s">
        <v>83</v>
      </c>
      <c r="E736" s="28">
        <v>6</v>
      </c>
      <c r="F736" s="28">
        <v>36</v>
      </c>
      <c r="G736" s="27" t="s">
        <v>66</v>
      </c>
      <c r="H736" s="27"/>
      <c r="I736" s="48"/>
      <c r="L736" s="191"/>
      <c r="M736" s="194"/>
      <c r="N736" s="27" t="s">
        <v>83</v>
      </c>
      <c r="O736" s="28">
        <v>6</v>
      </c>
      <c r="P736" s="28">
        <v>36</v>
      </c>
      <c r="Q736" s="27" t="s">
        <v>66</v>
      </c>
      <c r="R736" s="27"/>
      <c r="S736" s="48"/>
    </row>
    <row r="737" spans="2:19" x14ac:dyDescent="0.25">
      <c r="B737" s="183" t="s">
        <v>81</v>
      </c>
      <c r="C737" s="186" t="s">
        <v>77</v>
      </c>
      <c r="D737" s="29" t="s">
        <v>2</v>
      </c>
      <c r="E737" s="30">
        <v>1</v>
      </c>
      <c r="F737" s="30">
        <v>37</v>
      </c>
      <c r="G737" s="29" t="s">
        <v>66</v>
      </c>
      <c r="H737" s="29"/>
      <c r="I737" s="49"/>
      <c r="L737" s="183" t="s">
        <v>81</v>
      </c>
      <c r="M737" s="186" t="s">
        <v>77</v>
      </c>
      <c r="N737" s="29" t="s">
        <v>2</v>
      </c>
      <c r="O737" s="30">
        <v>1</v>
      </c>
      <c r="P737" s="30">
        <v>37</v>
      </c>
      <c r="Q737" s="29" t="s">
        <v>66</v>
      </c>
      <c r="R737" s="29"/>
      <c r="S737" s="49"/>
    </row>
    <row r="738" spans="2:19" x14ac:dyDescent="0.25">
      <c r="B738" s="184"/>
      <c r="C738" s="187"/>
      <c r="D738" s="29" t="s">
        <v>3</v>
      </c>
      <c r="E738" s="30">
        <v>2</v>
      </c>
      <c r="F738" s="30">
        <v>38</v>
      </c>
      <c r="G738" s="29" t="s">
        <v>66</v>
      </c>
      <c r="H738" s="29"/>
      <c r="I738" s="49"/>
      <c r="L738" s="184"/>
      <c r="M738" s="187"/>
      <c r="N738" s="29" t="s">
        <v>3</v>
      </c>
      <c r="O738" s="30">
        <v>2</v>
      </c>
      <c r="P738" s="30">
        <v>38</v>
      </c>
      <c r="Q738" s="29" t="s">
        <v>66</v>
      </c>
      <c r="R738" s="29"/>
      <c r="S738" s="49"/>
    </row>
    <row r="739" spans="2:19" x14ac:dyDescent="0.25">
      <c r="B739" s="184"/>
      <c r="C739" s="187"/>
      <c r="D739" s="29" t="s">
        <v>80</v>
      </c>
      <c r="E739" s="30">
        <v>3</v>
      </c>
      <c r="F739" s="30">
        <v>39</v>
      </c>
      <c r="G739" s="29" t="s">
        <v>66</v>
      </c>
      <c r="H739" s="29"/>
      <c r="I739" s="49"/>
      <c r="L739" s="184"/>
      <c r="M739" s="187"/>
      <c r="N739" s="29" t="s">
        <v>80</v>
      </c>
      <c r="O739" s="30">
        <v>3</v>
      </c>
      <c r="P739" s="30">
        <v>39</v>
      </c>
      <c r="Q739" s="29" t="s">
        <v>66</v>
      </c>
      <c r="R739" s="29"/>
      <c r="S739" s="49"/>
    </row>
    <row r="740" spans="2:19" x14ac:dyDescent="0.25">
      <c r="B740" s="184"/>
      <c r="C740" s="187"/>
      <c r="D740" s="29" t="s">
        <v>81</v>
      </c>
      <c r="E740" s="30">
        <v>4</v>
      </c>
      <c r="F740" s="30">
        <v>40</v>
      </c>
      <c r="G740" s="29" t="s">
        <v>66</v>
      </c>
      <c r="H740" s="29"/>
      <c r="I740" s="49"/>
      <c r="L740" s="184"/>
      <c r="M740" s="187"/>
      <c r="N740" s="29" t="s">
        <v>81</v>
      </c>
      <c r="O740" s="30">
        <v>4</v>
      </c>
      <c r="P740" s="30">
        <v>40</v>
      </c>
      <c r="Q740" s="29" t="s">
        <v>66</v>
      </c>
      <c r="R740" s="29"/>
      <c r="S740" s="49"/>
    </row>
    <row r="741" spans="2:19" x14ac:dyDescent="0.25">
      <c r="B741" s="184"/>
      <c r="C741" s="187"/>
      <c r="D741" s="29" t="s">
        <v>82</v>
      </c>
      <c r="E741" s="30">
        <v>5</v>
      </c>
      <c r="F741" s="30">
        <v>41</v>
      </c>
      <c r="G741" s="29" t="s">
        <v>66</v>
      </c>
      <c r="H741" s="29"/>
      <c r="I741" s="49"/>
      <c r="L741" s="184"/>
      <c r="M741" s="187"/>
      <c r="N741" s="29" t="s">
        <v>82</v>
      </c>
      <c r="O741" s="30">
        <v>5</v>
      </c>
      <c r="P741" s="30">
        <v>41</v>
      </c>
      <c r="Q741" s="29" t="s">
        <v>66</v>
      </c>
      <c r="R741" s="29"/>
      <c r="S741" s="49"/>
    </row>
    <row r="742" spans="2:19" ht="15.75" thickBot="1" x14ac:dyDescent="0.3">
      <c r="B742" s="184"/>
      <c r="C742" s="188"/>
      <c r="D742" s="29" t="s">
        <v>83</v>
      </c>
      <c r="E742" s="30">
        <v>6</v>
      </c>
      <c r="F742" s="30">
        <v>42</v>
      </c>
      <c r="G742" s="29" t="s">
        <v>66</v>
      </c>
      <c r="H742" s="29"/>
      <c r="I742" s="49"/>
      <c r="L742" s="184"/>
      <c r="M742" s="188"/>
      <c r="N742" s="29" t="s">
        <v>83</v>
      </c>
      <c r="O742" s="30">
        <v>6</v>
      </c>
      <c r="P742" s="30">
        <v>42</v>
      </c>
      <c r="Q742" s="29" t="s">
        <v>66</v>
      </c>
      <c r="R742" s="29"/>
      <c r="S742" s="49"/>
    </row>
    <row r="743" spans="2:19" x14ac:dyDescent="0.25">
      <c r="B743" s="184"/>
      <c r="C743" s="186" t="s">
        <v>84</v>
      </c>
      <c r="D743" s="29" t="s">
        <v>2</v>
      </c>
      <c r="E743" s="30">
        <v>1</v>
      </c>
      <c r="F743" s="30">
        <v>43</v>
      </c>
      <c r="G743" s="29" t="s">
        <v>66</v>
      </c>
      <c r="H743" s="29"/>
      <c r="I743" s="49"/>
      <c r="L743" s="184"/>
      <c r="M743" s="186" t="s">
        <v>84</v>
      </c>
      <c r="N743" s="29" t="s">
        <v>2</v>
      </c>
      <c r="O743" s="30">
        <v>1</v>
      </c>
      <c r="P743" s="30">
        <v>43</v>
      </c>
      <c r="Q743" s="29" t="s">
        <v>66</v>
      </c>
      <c r="R743" s="29"/>
      <c r="S743" s="49"/>
    </row>
    <row r="744" spans="2:19" x14ac:dyDescent="0.25">
      <c r="B744" s="184"/>
      <c r="C744" s="187"/>
      <c r="D744" s="29" t="s">
        <v>3</v>
      </c>
      <c r="E744" s="30">
        <v>2</v>
      </c>
      <c r="F744" s="30">
        <v>44</v>
      </c>
      <c r="G744" s="29" t="s">
        <v>66</v>
      </c>
      <c r="H744" s="29"/>
      <c r="I744" s="49"/>
      <c r="L744" s="184"/>
      <c r="M744" s="187"/>
      <c r="N744" s="29" t="s">
        <v>3</v>
      </c>
      <c r="O744" s="30">
        <v>2</v>
      </c>
      <c r="P744" s="30">
        <v>44</v>
      </c>
      <c r="Q744" s="29" t="s">
        <v>66</v>
      </c>
      <c r="R744" s="29"/>
      <c r="S744" s="49"/>
    </row>
    <row r="745" spans="2:19" x14ac:dyDescent="0.25">
      <c r="B745" s="184"/>
      <c r="C745" s="187"/>
      <c r="D745" s="29" t="s">
        <v>80</v>
      </c>
      <c r="E745" s="30">
        <v>3</v>
      </c>
      <c r="F745" s="30">
        <v>45</v>
      </c>
      <c r="G745" s="29" t="s">
        <v>66</v>
      </c>
      <c r="H745" s="29"/>
      <c r="I745" s="49"/>
      <c r="L745" s="184"/>
      <c r="M745" s="187"/>
      <c r="N745" s="29" t="s">
        <v>80</v>
      </c>
      <c r="O745" s="30">
        <v>3</v>
      </c>
      <c r="P745" s="30">
        <v>45</v>
      </c>
      <c r="Q745" s="29" t="s">
        <v>66</v>
      </c>
      <c r="R745" s="29"/>
      <c r="S745" s="49"/>
    </row>
    <row r="746" spans="2:19" x14ac:dyDescent="0.25">
      <c r="B746" s="184"/>
      <c r="C746" s="187"/>
      <c r="D746" s="29" t="s">
        <v>81</v>
      </c>
      <c r="E746" s="30">
        <v>4</v>
      </c>
      <c r="F746" s="30">
        <v>46</v>
      </c>
      <c r="G746" s="29" t="s">
        <v>66</v>
      </c>
      <c r="H746" s="29"/>
      <c r="I746" s="49"/>
      <c r="L746" s="184"/>
      <c r="M746" s="187"/>
      <c r="N746" s="29" t="s">
        <v>81</v>
      </c>
      <c r="O746" s="30">
        <v>4</v>
      </c>
      <c r="P746" s="30">
        <v>46</v>
      </c>
      <c r="Q746" s="29" t="s">
        <v>66</v>
      </c>
      <c r="R746" s="29"/>
      <c r="S746" s="49"/>
    </row>
    <row r="747" spans="2:19" x14ac:dyDescent="0.25">
      <c r="B747" s="184"/>
      <c r="C747" s="187"/>
      <c r="D747" s="29" t="s">
        <v>82</v>
      </c>
      <c r="E747" s="30">
        <v>5</v>
      </c>
      <c r="F747" s="30">
        <v>47</v>
      </c>
      <c r="G747" s="29" t="s">
        <v>66</v>
      </c>
      <c r="H747" s="29"/>
      <c r="I747" s="49"/>
      <c r="L747" s="184"/>
      <c r="M747" s="187"/>
      <c r="N747" s="29" t="s">
        <v>82</v>
      </c>
      <c r="O747" s="30">
        <v>5</v>
      </c>
      <c r="P747" s="30">
        <v>47</v>
      </c>
      <c r="Q747" s="29" t="s">
        <v>66</v>
      </c>
      <c r="R747" s="29"/>
      <c r="S747" s="49"/>
    </row>
    <row r="748" spans="2:19" ht="15.75" thickBot="1" x14ac:dyDescent="0.3">
      <c r="B748" s="185"/>
      <c r="C748" s="188"/>
      <c r="D748" s="29" t="s">
        <v>83</v>
      </c>
      <c r="E748" s="30">
        <v>6</v>
      </c>
      <c r="F748" s="30">
        <v>48</v>
      </c>
      <c r="G748" s="29" t="s">
        <v>66</v>
      </c>
      <c r="H748" s="29"/>
      <c r="I748" s="49"/>
      <c r="L748" s="185"/>
      <c r="M748" s="188"/>
      <c r="N748" s="29" t="s">
        <v>83</v>
      </c>
      <c r="O748" s="30">
        <v>6</v>
      </c>
      <c r="P748" s="30">
        <v>48</v>
      </c>
      <c r="Q748" s="29" t="s">
        <v>66</v>
      </c>
      <c r="R748" s="29"/>
      <c r="S748" s="49"/>
    </row>
    <row r="750" spans="2:19" ht="15.75" thickBot="1" x14ac:dyDescent="0.3"/>
    <row r="751" spans="2:19" ht="15.75" thickBot="1" x14ac:dyDescent="0.3">
      <c r="B751" s="171" t="s">
        <v>372</v>
      </c>
      <c r="C751" s="172"/>
      <c r="D751" s="172"/>
      <c r="E751" s="172"/>
      <c r="F751" s="172"/>
      <c r="G751" s="172"/>
      <c r="H751" s="172"/>
      <c r="I751" s="173"/>
      <c r="L751" s="171" t="s">
        <v>373</v>
      </c>
      <c r="M751" s="172"/>
      <c r="N751" s="172"/>
      <c r="O751" s="172"/>
      <c r="P751" s="172"/>
      <c r="Q751" s="172"/>
      <c r="R751" s="172"/>
      <c r="S751" s="173"/>
    </row>
    <row r="753" spans="2:19" ht="26.25" thickBot="1" x14ac:dyDescent="0.3">
      <c r="B753" s="15" t="s">
        <v>70</v>
      </c>
      <c r="C753" s="16" t="s">
        <v>71</v>
      </c>
      <c r="D753" s="15" t="s">
        <v>72</v>
      </c>
      <c r="E753" s="17" t="s">
        <v>73</v>
      </c>
      <c r="F753" s="17" t="s">
        <v>74</v>
      </c>
      <c r="G753" s="15" t="s">
        <v>75</v>
      </c>
      <c r="H753" s="15" t="s">
        <v>55</v>
      </c>
      <c r="I753" s="15" t="s">
        <v>76</v>
      </c>
      <c r="L753" s="15" t="s">
        <v>70</v>
      </c>
      <c r="M753" s="16" t="s">
        <v>71</v>
      </c>
      <c r="N753" s="15" t="s">
        <v>72</v>
      </c>
      <c r="O753" s="17" t="s">
        <v>73</v>
      </c>
      <c r="P753" s="17" t="s">
        <v>74</v>
      </c>
      <c r="Q753" s="15" t="s">
        <v>75</v>
      </c>
      <c r="R753" s="15" t="s">
        <v>55</v>
      </c>
      <c r="S753" s="15" t="s">
        <v>76</v>
      </c>
    </row>
    <row r="754" spans="2:19" ht="15" customHeight="1" x14ac:dyDescent="0.25">
      <c r="B754" s="174" t="s">
        <v>2</v>
      </c>
      <c r="C754" s="168" t="s">
        <v>77</v>
      </c>
      <c r="D754" s="18" t="s">
        <v>2</v>
      </c>
      <c r="E754" s="19">
        <v>1</v>
      </c>
      <c r="F754" s="19">
        <v>1</v>
      </c>
      <c r="G754" s="18" t="s">
        <v>66</v>
      </c>
      <c r="H754" s="32"/>
      <c r="I754" s="50"/>
      <c r="L754" s="174" t="s">
        <v>2</v>
      </c>
      <c r="M754" s="168" t="s">
        <v>77</v>
      </c>
      <c r="N754" s="18" t="s">
        <v>2</v>
      </c>
      <c r="O754" s="19">
        <v>1</v>
      </c>
      <c r="P754" s="19">
        <v>1</v>
      </c>
      <c r="Q754" s="18" t="s">
        <v>66</v>
      </c>
      <c r="R754" s="32"/>
      <c r="S754" s="33"/>
    </row>
    <row r="755" spans="2:19" x14ac:dyDescent="0.25">
      <c r="B755" s="175"/>
      <c r="C755" s="169"/>
      <c r="D755" s="18" t="s">
        <v>3</v>
      </c>
      <c r="E755" s="19">
        <v>2</v>
      </c>
      <c r="F755" s="19">
        <v>2</v>
      </c>
      <c r="G755" s="18" t="s">
        <v>66</v>
      </c>
      <c r="H755" s="32"/>
      <c r="I755" s="50"/>
      <c r="L755" s="175"/>
      <c r="M755" s="169"/>
      <c r="N755" s="18" t="s">
        <v>3</v>
      </c>
      <c r="O755" s="19">
        <v>2</v>
      </c>
      <c r="P755" s="19">
        <v>2</v>
      </c>
      <c r="Q755" s="18" t="s">
        <v>66</v>
      </c>
      <c r="R755" s="32"/>
      <c r="S755" s="33"/>
    </row>
    <row r="756" spans="2:19" x14ac:dyDescent="0.25">
      <c r="B756" s="175"/>
      <c r="C756" s="169"/>
      <c r="D756" s="18" t="s">
        <v>80</v>
      </c>
      <c r="E756" s="20">
        <v>3</v>
      </c>
      <c r="F756" s="20">
        <v>3</v>
      </c>
      <c r="G756" s="18" t="s">
        <v>66</v>
      </c>
      <c r="H756" s="32"/>
      <c r="I756" s="50"/>
      <c r="L756" s="175"/>
      <c r="M756" s="169"/>
      <c r="N756" s="18" t="s">
        <v>80</v>
      </c>
      <c r="O756" s="20">
        <v>3</v>
      </c>
      <c r="P756" s="20">
        <v>3</v>
      </c>
      <c r="Q756" s="18" t="s">
        <v>66</v>
      </c>
      <c r="R756" s="32"/>
      <c r="S756" s="33"/>
    </row>
    <row r="757" spans="2:19" x14ac:dyDescent="0.25">
      <c r="B757" s="175"/>
      <c r="C757" s="169"/>
      <c r="D757" s="18" t="s">
        <v>81</v>
      </c>
      <c r="E757" s="20">
        <v>4</v>
      </c>
      <c r="F757" s="20">
        <v>4</v>
      </c>
      <c r="G757" s="18" t="s">
        <v>66</v>
      </c>
      <c r="H757" s="32"/>
      <c r="I757" s="50"/>
      <c r="L757" s="175"/>
      <c r="M757" s="169"/>
      <c r="N757" s="18" t="s">
        <v>81</v>
      </c>
      <c r="O757" s="20">
        <v>4</v>
      </c>
      <c r="P757" s="20">
        <v>4</v>
      </c>
      <c r="Q757" s="18" t="s">
        <v>66</v>
      </c>
      <c r="R757" s="32"/>
      <c r="S757" s="33"/>
    </row>
    <row r="758" spans="2:19" x14ac:dyDescent="0.25">
      <c r="B758" s="175"/>
      <c r="C758" s="169"/>
      <c r="D758" s="18" t="s">
        <v>82</v>
      </c>
      <c r="E758" s="20">
        <v>5</v>
      </c>
      <c r="F758" s="20">
        <v>5</v>
      </c>
      <c r="G758" s="18" t="s">
        <v>66</v>
      </c>
      <c r="H758" s="32"/>
      <c r="I758" s="50"/>
      <c r="L758" s="175"/>
      <c r="M758" s="169"/>
      <c r="N758" s="18" t="s">
        <v>82</v>
      </c>
      <c r="O758" s="20">
        <v>5</v>
      </c>
      <c r="P758" s="20">
        <v>5</v>
      </c>
      <c r="Q758" s="18" t="s">
        <v>66</v>
      </c>
      <c r="R758" s="32"/>
      <c r="S758" s="33"/>
    </row>
    <row r="759" spans="2:19" ht="15.75" thickBot="1" x14ac:dyDescent="0.3">
      <c r="B759" s="175"/>
      <c r="C759" s="170"/>
      <c r="D759" s="18" t="s">
        <v>83</v>
      </c>
      <c r="E759" s="20">
        <v>6</v>
      </c>
      <c r="F759" s="20">
        <v>6</v>
      </c>
      <c r="G759" s="18" t="s">
        <v>66</v>
      </c>
      <c r="H759" s="32"/>
      <c r="I759" s="50"/>
      <c r="L759" s="175"/>
      <c r="M759" s="170"/>
      <c r="N759" s="18" t="s">
        <v>83</v>
      </c>
      <c r="O759" s="20">
        <v>6</v>
      </c>
      <c r="P759" s="20">
        <v>6</v>
      </c>
      <c r="Q759" s="18" t="s">
        <v>66</v>
      </c>
      <c r="R759" s="32"/>
      <c r="S759" s="33"/>
    </row>
    <row r="760" spans="2:19" x14ac:dyDescent="0.25">
      <c r="B760" s="175"/>
      <c r="C760" s="168" t="s">
        <v>84</v>
      </c>
      <c r="D760" s="18" t="s">
        <v>2</v>
      </c>
      <c r="E760" s="19">
        <v>1</v>
      </c>
      <c r="F760" s="19">
        <v>7</v>
      </c>
      <c r="G760" s="18" t="s">
        <v>78</v>
      </c>
      <c r="H760" s="156" t="s">
        <v>130</v>
      </c>
      <c r="I760" s="165" t="s">
        <v>205</v>
      </c>
      <c r="L760" s="175"/>
      <c r="M760" s="168" t="s">
        <v>84</v>
      </c>
      <c r="N760" s="18" t="s">
        <v>2</v>
      </c>
      <c r="O760" s="19">
        <v>1</v>
      </c>
      <c r="P760" s="19">
        <v>7</v>
      </c>
      <c r="Q760" s="18" t="s">
        <v>78</v>
      </c>
      <c r="R760" s="156" t="s">
        <v>130</v>
      </c>
      <c r="S760" s="195" t="s">
        <v>207</v>
      </c>
    </row>
    <row r="761" spans="2:19" x14ac:dyDescent="0.25">
      <c r="B761" s="175"/>
      <c r="C761" s="169"/>
      <c r="D761" s="18" t="s">
        <v>3</v>
      </c>
      <c r="E761" s="19">
        <v>2</v>
      </c>
      <c r="F761" s="19">
        <v>8</v>
      </c>
      <c r="G761" s="18" t="s">
        <v>78</v>
      </c>
      <c r="H761" s="157"/>
      <c r="I761" s="166"/>
      <c r="L761" s="175"/>
      <c r="M761" s="169"/>
      <c r="N761" s="18" t="s">
        <v>3</v>
      </c>
      <c r="O761" s="19">
        <v>2</v>
      </c>
      <c r="P761" s="19">
        <v>8</v>
      </c>
      <c r="Q761" s="18" t="s">
        <v>78</v>
      </c>
      <c r="R761" s="157"/>
      <c r="S761" s="196"/>
    </row>
    <row r="762" spans="2:19" x14ac:dyDescent="0.25">
      <c r="B762" s="175"/>
      <c r="C762" s="169"/>
      <c r="D762" s="18" t="s">
        <v>80</v>
      </c>
      <c r="E762" s="20">
        <v>3</v>
      </c>
      <c r="F762" s="20">
        <v>9</v>
      </c>
      <c r="G762" s="18" t="s">
        <v>66</v>
      </c>
      <c r="H762" s="157"/>
      <c r="I762" s="166"/>
      <c r="L762" s="175"/>
      <c r="M762" s="169"/>
      <c r="N762" s="18" t="s">
        <v>80</v>
      </c>
      <c r="O762" s="20">
        <v>3</v>
      </c>
      <c r="P762" s="20">
        <v>9</v>
      </c>
      <c r="Q762" s="18" t="s">
        <v>66</v>
      </c>
      <c r="R762" s="157"/>
      <c r="S762" s="196"/>
    </row>
    <row r="763" spans="2:19" x14ac:dyDescent="0.25">
      <c r="B763" s="175"/>
      <c r="C763" s="169"/>
      <c r="D763" s="18" t="s">
        <v>81</v>
      </c>
      <c r="E763" s="20">
        <v>4</v>
      </c>
      <c r="F763" s="20">
        <v>10</v>
      </c>
      <c r="G763" s="18" t="s">
        <v>66</v>
      </c>
      <c r="H763" s="157"/>
      <c r="I763" s="166"/>
      <c r="L763" s="175"/>
      <c r="M763" s="169"/>
      <c r="N763" s="18" t="s">
        <v>81</v>
      </c>
      <c r="O763" s="20">
        <v>4</v>
      </c>
      <c r="P763" s="20">
        <v>10</v>
      </c>
      <c r="Q763" s="18" t="s">
        <v>66</v>
      </c>
      <c r="R763" s="157"/>
      <c r="S763" s="196"/>
    </row>
    <row r="764" spans="2:19" x14ac:dyDescent="0.25">
      <c r="B764" s="175"/>
      <c r="C764" s="169"/>
      <c r="D764" s="18" t="s">
        <v>82</v>
      </c>
      <c r="E764" s="20">
        <v>5</v>
      </c>
      <c r="F764" s="20">
        <v>11</v>
      </c>
      <c r="G764" s="18" t="s">
        <v>66</v>
      </c>
      <c r="H764" s="157"/>
      <c r="I764" s="166"/>
      <c r="L764" s="175"/>
      <c r="M764" s="169"/>
      <c r="N764" s="18" t="s">
        <v>82</v>
      </c>
      <c r="O764" s="20">
        <v>5</v>
      </c>
      <c r="P764" s="20">
        <v>11</v>
      </c>
      <c r="Q764" s="18" t="s">
        <v>66</v>
      </c>
      <c r="R764" s="157"/>
      <c r="S764" s="196"/>
    </row>
    <row r="765" spans="2:19" ht="15.75" thickBot="1" x14ac:dyDescent="0.3">
      <c r="B765" s="176"/>
      <c r="C765" s="170"/>
      <c r="D765" s="18" t="s">
        <v>83</v>
      </c>
      <c r="E765" s="20">
        <v>6</v>
      </c>
      <c r="F765" s="20">
        <v>12</v>
      </c>
      <c r="G765" s="18" t="s">
        <v>66</v>
      </c>
      <c r="H765" s="158"/>
      <c r="I765" s="167"/>
      <c r="L765" s="176"/>
      <c r="M765" s="170"/>
      <c r="N765" s="18" t="s">
        <v>83</v>
      </c>
      <c r="O765" s="20">
        <v>6</v>
      </c>
      <c r="P765" s="20">
        <v>12</v>
      </c>
      <c r="Q765" s="18" t="s">
        <v>66</v>
      </c>
      <c r="R765" s="158"/>
      <c r="S765" s="197"/>
    </row>
    <row r="766" spans="2:19" ht="15" customHeight="1" x14ac:dyDescent="0.25">
      <c r="B766" s="180" t="s">
        <v>3</v>
      </c>
      <c r="C766" s="177" t="s">
        <v>77</v>
      </c>
      <c r="D766" s="21" t="s">
        <v>2</v>
      </c>
      <c r="E766" s="22">
        <v>1</v>
      </c>
      <c r="F766" s="22">
        <v>13</v>
      </c>
      <c r="G766" s="21" t="s">
        <v>66</v>
      </c>
      <c r="H766" s="21"/>
      <c r="I766" s="51"/>
      <c r="L766" s="180" t="s">
        <v>3</v>
      </c>
      <c r="M766" s="177" t="s">
        <v>77</v>
      </c>
      <c r="N766" s="21" t="s">
        <v>2</v>
      </c>
      <c r="O766" s="22">
        <v>1</v>
      </c>
      <c r="P766" s="22">
        <v>13</v>
      </c>
      <c r="Q766" s="21" t="s">
        <v>66</v>
      </c>
      <c r="R766" s="21"/>
      <c r="S766" s="34"/>
    </row>
    <row r="767" spans="2:19" x14ac:dyDescent="0.25">
      <c r="B767" s="181"/>
      <c r="C767" s="178"/>
      <c r="D767" s="23" t="s">
        <v>3</v>
      </c>
      <c r="E767" s="24">
        <v>2</v>
      </c>
      <c r="F767" s="24">
        <v>14</v>
      </c>
      <c r="G767" s="23" t="s">
        <v>66</v>
      </c>
      <c r="H767" s="23"/>
      <c r="I767" s="47"/>
      <c r="L767" s="181"/>
      <c r="M767" s="178"/>
      <c r="N767" s="23" t="s">
        <v>3</v>
      </c>
      <c r="O767" s="24">
        <v>2</v>
      </c>
      <c r="P767" s="24">
        <v>14</v>
      </c>
      <c r="Q767" s="23" t="s">
        <v>66</v>
      </c>
      <c r="R767" s="23"/>
      <c r="S767" s="25"/>
    </row>
    <row r="768" spans="2:19" x14ac:dyDescent="0.25">
      <c r="B768" s="181"/>
      <c r="C768" s="178"/>
      <c r="D768" s="23" t="s">
        <v>80</v>
      </c>
      <c r="E768" s="24">
        <v>3</v>
      </c>
      <c r="F768" s="24">
        <v>15</v>
      </c>
      <c r="G768" s="23" t="s">
        <v>66</v>
      </c>
      <c r="H768" s="23"/>
      <c r="I768" s="47"/>
      <c r="L768" s="181"/>
      <c r="M768" s="178"/>
      <c r="N768" s="23" t="s">
        <v>80</v>
      </c>
      <c r="O768" s="24">
        <v>3</v>
      </c>
      <c r="P768" s="24">
        <v>15</v>
      </c>
      <c r="Q768" s="23" t="s">
        <v>66</v>
      </c>
      <c r="R768" s="23"/>
      <c r="S768" s="25"/>
    </row>
    <row r="769" spans="2:19" x14ac:dyDescent="0.25">
      <c r="B769" s="181"/>
      <c r="C769" s="178"/>
      <c r="D769" s="23" t="s">
        <v>81</v>
      </c>
      <c r="E769" s="24">
        <v>4</v>
      </c>
      <c r="F769" s="24">
        <v>16</v>
      </c>
      <c r="G769" s="23" t="s">
        <v>66</v>
      </c>
      <c r="H769" s="23"/>
      <c r="I769" s="47"/>
      <c r="L769" s="181"/>
      <c r="M769" s="178"/>
      <c r="N769" s="23" t="s">
        <v>81</v>
      </c>
      <c r="O769" s="24">
        <v>4</v>
      </c>
      <c r="P769" s="24">
        <v>16</v>
      </c>
      <c r="Q769" s="23" t="s">
        <v>66</v>
      </c>
      <c r="R769" s="23"/>
      <c r="S769" s="25"/>
    </row>
    <row r="770" spans="2:19" x14ac:dyDescent="0.25">
      <c r="B770" s="181"/>
      <c r="C770" s="178"/>
      <c r="D770" s="23" t="s">
        <v>82</v>
      </c>
      <c r="E770" s="24">
        <v>5</v>
      </c>
      <c r="F770" s="24">
        <v>17</v>
      </c>
      <c r="G770" s="23" t="s">
        <v>66</v>
      </c>
      <c r="H770" s="23"/>
      <c r="I770" s="47"/>
      <c r="L770" s="181"/>
      <c r="M770" s="178"/>
      <c r="N770" s="23" t="s">
        <v>82</v>
      </c>
      <c r="O770" s="24">
        <v>5</v>
      </c>
      <c r="P770" s="24">
        <v>17</v>
      </c>
      <c r="Q770" s="23" t="s">
        <v>66</v>
      </c>
      <c r="R770" s="23"/>
      <c r="S770" s="25"/>
    </row>
    <row r="771" spans="2:19" ht="15.75" thickBot="1" x14ac:dyDescent="0.3">
      <c r="B771" s="181"/>
      <c r="C771" s="179"/>
      <c r="D771" s="23" t="s">
        <v>83</v>
      </c>
      <c r="E771" s="24">
        <v>6</v>
      </c>
      <c r="F771" s="24">
        <v>18</v>
      </c>
      <c r="G771" s="23" t="s">
        <v>66</v>
      </c>
      <c r="H771" s="23"/>
      <c r="I771" s="47"/>
      <c r="L771" s="181"/>
      <c r="M771" s="179"/>
      <c r="N771" s="23" t="s">
        <v>83</v>
      </c>
      <c r="O771" s="24">
        <v>6</v>
      </c>
      <c r="P771" s="24">
        <v>18</v>
      </c>
      <c r="Q771" s="23" t="s">
        <v>66</v>
      </c>
      <c r="R771" s="23"/>
      <c r="S771" s="25"/>
    </row>
    <row r="772" spans="2:19" x14ac:dyDescent="0.25">
      <c r="B772" s="181"/>
      <c r="C772" s="177" t="s">
        <v>84</v>
      </c>
      <c r="D772" s="23" t="s">
        <v>2</v>
      </c>
      <c r="E772" s="24">
        <v>1</v>
      </c>
      <c r="F772" s="24">
        <v>19</v>
      </c>
      <c r="G772" s="23" t="s">
        <v>66</v>
      </c>
      <c r="H772" s="23"/>
      <c r="I772" s="47"/>
      <c r="L772" s="181"/>
      <c r="M772" s="177" t="s">
        <v>84</v>
      </c>
      <c r="N772" s="23" t="s">
        <v>2</v>
      </c>
      <c r="O772" s="24">
        <v>1</v>
      </c>
      <c r="P772" s="24">
        <v>19</v>
      </c>
      <c r="Q772" s="23" t="s">
        <v>66</v>
      </c>
      <c r="R772" s="23"/>
      <c r="S772" s="47"/>
    </row>
    <row r="773" spans="2:19" x14ac:dyDescent="0.25">
      <c r="B773" s="181"/>
      <c r="C773" s="178"/>
      <c r="D773" s="23" t="s">
        <v>3</v>
      </c>
      <c r="E773" s="24">
        <v>2</v>
      </c>
      <c r="F773" s="24">
        <v>20</v>
      </c>
      <c r="G773" s="23" t="s">
        <v>66</v>
      </c>
      <c r="H773" s="23"/>
      <c r="I773" s="47"/>
      <c r="L773" s="181"/>
      <c r="M773" s="178"/>
      <c r="N773" s="23" t="s">
        <v>3</v>
      </c>
      <c r="O773" s="24">
        <v>2</v>
      </c>
      <c r="P773" s="24">
        <v>20</v>
      </c>
      <c r="Q773" s="23" t="s">
        <v>66</v>
      </c>
      <c r="R773" s="23"/>
      <c r="S773" s="47"/>
    </row>
    <row r="774" spans="2:19" x14ac:dyDescent="0.25">
      <c r="B774" s="181"/>
      <c r="C774" s="178"/>
      <c r="D774" s="23" t="s">
        <v>80</v>
      </c>
      <c r="E774" s="26">
        <v>3</v>
      </c>
      <c r="F774" s="24">
        <v>21</v>
      </c>
      <c r="G774" s="23" t="s">
        <v>66</v>
      </c>
      <c r="H774" s="23"/>
      <c r="I774" s="47"/>
      <c r="L774" s="181"/>
      <c r="M774" s="178"/>
      <c r="N774" s="23" t="s">
        <v>80</v>
      </c>
      <c r="O774" s="26">
        <v>3</v>
      </c>
      <c r="P774" s="24">
        <v>21</v>
      </c>
      <c r="Q774" s="23" t="s">
        <v>66</v>
      </c>
      <c r="R774" s="23"/>
      <c r="S774" s="47"/>
    </row>
    <row r="775" spans="2:19" x14ac:dyDescent="0.25">
      <c r="B775" s="181"/>
      <c r="C775" s="178"/>
      <c r="D775" s="23" t="s">
        <v>81</v>
      </c>
      <c r="E775" s="24">
        <v>4</v>
      </c>
      <c r="F775" s="24">
        <v>22</v>
      </c>
      <c r="G775" s="23" t="s">
        <v>66</v>
      </c>
      <c r="H775" s="23"/>
      <c r="I775" s="47"/>
      <c r="L775" s="181"/>
      <c r="M775" s="178"/>
      <c r="N775" s="23" t="s">
        <v>81</v>
      </c>
      <c r="O775" s="24">
        <v>4</v>
      </c>
      <c r="P775" s="24">
        <v>22</v>
      </c>
      <c r="Q775" s="23" t="s">
        <v>66</v>
      </c>
      <c r="R775" s="23"/>
      <c r="S775" s="47"/>
    </row>
    <row r="776" spans="2:19" x14ac:dyDescent="0.25">
      <c r="B776" s="181"/>
      <c r="C776" s="178"/>
      <c r="D776" s="23" t="s">
        <v>82</v>
      </c>
      <c r="E776" s="24">
        <v>5</v>
      </c>
      <c r="F776" s="24">
        <v>23</v>
      </c>
      <c r="G776" s="23" t="s">
        <v>66</v>
      </c>
      <c r="H776" s="23"/>
      <c r="I776" s="47"/>
      <c r="L776" s="181"/>
      <c r="M776" s="178"/>
      <c r="N776" s="23" t="s">
        <v>82</v>
      </c>
      <c r="O776" s="24">
        <v>5</v>
      </c>
      <c r="P776" s="24">
        <v>23</v>
      </c>
      <c r="Q776" s="23" t="s">
        <v>66</v>
      </c>
      <c r="R776" s="23"/>
      <c r="S776" s="47"/>
    </row>
    <row r="777" spans="2:19" ht="15.75" thickBot="1" x14ac:dyDescent="0.3">
      <c r="B777" s="182"/>
      <c r="C777" s="179"/>
      <c r="D777" s="23" t="s">
        <v>83</v>
      </c>
      <c r="E777" s="24">
        <v>6</v>
      </c>
      <c r="F777" s="24">
        <v>24</v>
      </c>
      <c r="G777" s="23" t="s">
        <v>66</v>
      </c>
      <c r="H777" s="23"/>
      <c r="I777" s="47"/>
      <c r="L777" s="182"/>
      <c r="M777" s="179"/>
      <c r="N777" s="23" t="s">
        <v>83</v>
      </c>
      <c r="O777" s="24">
        <v>6</v>
      </c>
      <c r="P777" s="24">
        <v>24</v>
      </c>
      <c r="Q777" s="23" t="s">
        <v>66</v>
      </c>
      <c r="R777" s="23"/>
      <c r="S777" s="47"/>
    </row>
    <row r="778" spans="2:19" x14ac:dyDescent="0.25">
      <c r="B778" s="189" t="s">
        <v>80</v>
      </c>
      <c r="C778" s="192" t="s">
        <v>77</v>
      </c>
      <c r="D778" s="27" t="s">
        <v>2</v>
      </c>
      <c r="E778" s="28">
        <v>1</v>
      </c>
      <c r="F778" s="28">
        <v>25</v>
      </c>
      <c r="G778" s="27" t="s">
        <v>66</v>
      </c>
      <c r="H778" s="27"/>
      <c r="I778" s="48"/>
      <c r="L778" s="189" t="s">
        <v>80</v>
      </c>
      <c r="M778" s="192" t="s">
        <v>77</v>
      </c>
      <c r="N778" s="27" t="s">
        <v>2</v>
      </c>
      <c r="O778" s="28">
        <v>1</v>
      </c>
      <c r="P778" s="28">
        <v>25</v>
      </c>
      <c r="Q778" s="27" t="s">
        <v>66</v>
      </c>
      <c r="R778" s="27"/>
      <c r="S778" s="48"/>
    </row>
    <row r="779" spans="2:19" x14ac:dyDescent="0.25">
      <c r="B779" s="190"/>
      <c r="C779" s="193"/>
      <c r="D779" s="27" t="s">
        <v>3</v>
      </c>
      <c r="E779" s="28">
        <v>2</v>
      </c>
      <c r="F779" s="28">
        <v>26</v>
      </c>
      <c r="G779" s="27" t="s">
        <v>66</v>
      </c>
      <c r="H779" s="27"/>
      <c r="I779" s="48"/>
      <c r="L779" s="190"/>
      <c r="M779" s="193"/>
      <c r="N779" s="27" t="s">
        <v>3</v>
      </c>
      <c r="O779" s="28">
        <v>2</v>
      </c>
      <c r="P779" s="28">
        <v>26</v>
      </c>
      <c r="Q779" s="27" t="s">
        <v>66</v>
      </c>
      <c r="R779" s="27"/>
      <c r="S779" s="48"/>
    </row>
    <row r="780" spans="2:19" x14ac:dyDescent="0.25">
      <c r="B780" s="190"/>
      <c r="C780" s="193"/>
      <c r="D780" s="27" t="s">
        <v>80</v>
      </c>
      <c r="E780" s="28">
        <v>3</v>
      </c>
      <c r="F780" s="28">
        <v>27</v>
      </c>
      <c r="G780" s="27" t="s">
        <v>66</v>
      </c>
      <c r="H780" s="27"/>
      <c r="I780" s="48"/>
      <c r="L780" s="190"/>
      <c r="M780" s="193"/>
      <c r="N780" s="27" t="s">
        <v>80</v>
      </c>
      <c r="O780" s="28">
        <v>3</v>
      </c>
      <c r="P780" s="28">
        <v>27</v>
      </c>
      <c r="Q780" s="27" t="s">
        <v>66</v>
      </c>
      <c r="R780" s="27"/>
      <c r="S780" s="48"/>
    </row>
    <row r="781" spans="2:19" x14ac:dyDescent="0.25">
      <c r="B781" s="190"/>
      <c r="C781" s="193"/>
      <c r="D781" s="27" t="s">
        <v>81</v>
      </c>
      <c r="E781" s="28">
        <v>4</v>
      </c>
      <c r="F781" s="28">
        <v>28</v>
      </c>
      <c r="G781" s="27" t="s">
        <v>66</v>
      </c>
      <c r="H781" s="27"/>
      <c r="I781" s="48"/>
      <c r="L781" s="190"/>
      <c r="M781" s="193"/>
      <c r="N781" s="27" t="s">
        <v>81</v>
      </c>
      <c r="O781" s="28">
        <v>4</v>
      </c>
      <c r="P781" s="28">
        <v>28</v>
      </c>
      <c r="Q781" s="27" t="s">
        <v>66</v>
      </c>
      <c r="R781" s="27"/>
      <c r="S781" s="48"/>
    </row>
    <row r="782" spans="2:19" x14ac:dyDescent="0.25">
      <c r="B782" s="190"/>
      <c r="C782" s="193"/>
      <c r="D782" s="27" t="s">
        <v>82</v>
      </c>
      <c r="E782" s="28">
        <v>5</v>
      </c>
      <c r="F782" s="28">
        <v>29</v>
      </c>
      <c r="G782" s="27" t="s">
        <v>66</v>
      </c>
      <c r="H782" s="27"/>
      <c r="I782" s="48"/>
      <c r="L782" s="190"/>
      <c r="M782" s="193"/>
      <c r="N782" s="27" t="s">
        <v>82</v>
      </c>
      <c r="O782" s="28">
        <v>5</v>
      </c>
      <c r="P782" s="28">
        <v>29</v>
      </c>
      <c r="Q782" s="27" t="s">
        <v>66</v>
      </c>
      <c r="R782" s="27"/>
      <c r="S782" s="48"/>
    </row>
    <row r="783" spans="2:19" ht="15.75" thickBot="1" x14ac:dyDescent="0.3">
      <c r="B783" s="190"/>
      <c r="C783" s="194"/>
      <c r="D783" s="27" t="s">
        <v>83</v>
      </c>
      <c r="E783" s="28">
        <v>6</v>
      </c>
      <c r="F783" s="28">
        <v>30</v>
      </c>
      <c r="G783" s="27" t="s">
        <v>66</v>
      </c>
      <c r="H783" s="27"/>
      <c r="I783" s="48"/>
      <c r="L783" s="190"/>
      <c r="M783" s="194"/>
      <c r="N783" s="27" t="s">
        <v>83</v>
      </c>
      <c r="O783" s="28">
        <v>6</v>
      </c>
      <c r="P783" s="28">
        <v>30</v>
      </c>
      <c r="Q783" s="27" t="s">
        <v>66</v>
      </c>
      <c r="R783" s="27"/>
      <c r="S783" s="48"/>
    </row>
    <row r="784" spans="2:19" x14ac:dyDescent="0.25">
      <c r="B784" s="190"/>
      <c r="C784" s="192" t="s">
        <v>84</v>
      </c>
      <c r="D784" s="27" t="s">
        <v>2</v>
      </c>
      <c r="E784" s="28">
        <v>1</v>
      </c>
      <c r="F784" s="28">
        <v>31</v>
      </c>
      <c r="G784" s="27" t="s">
        <v>66</v>
      </c>
      <c r="H784" s="27"/>
      <c r="I784" s="48"/>
      <c r="L784" s="190"/>
      <c r="M784" s="192" t="s">
        <v>84</v>
      </c>
      <c r="N784" s="27" t="s">
        <v>2</v>
      </c>
      <c r="O784" s="28">
        <v>1</v>
      </c>
      <c r="P784" s="28">
        <v>31</v>
      </c>
      <c r="Q784" s="27" t="s">
        <v>66</v>
      </c>
      <c r="R784" s="27"/>
      <c r="S784" s="48"/>
    </row>
    <row r="785" spans="2:19" x14ac:dyDescent="0.25">
      <c r="B785" s="190"/>
      <c r="C785" s="193"/>
      <c r="D785" s="27" t="s">
        <v>3</v>
      </c>
      <c r="E785" s="28">
        <v>2</v>
      </c>
      <c r="F785" s="28">
        <v>32</v>
      </c>
      <c r="G785" s="27" t="s">
        <v>66</v>
      </c>
      <c r="H785" s="27"/>
      <c r="I785" s="48"/>
      <c r="L785" s="190"/>
      <c r="M785" s="193"/>
      <c r="N785" s="27" t="s">
        <v>3</v>
      </c>
      <c r="O785" s="28">
        <v>2</v>
      </c>
      <c r="P785" s="28">
        <v>32</v>
      </c>
      <c r="Q785" s="27" t="s">
        <v>66</v>
      </c>
      <c r="R785" s="27"/>
      <c r="S785" s="48"/>
    </row>
    <row r="786" spans="2:19" x14ac:dyDescent="0.25">
      <c r="B786" s="190"/>
      <c r="C786" s="193"/>
      <c r="D786" s="27" t="s">
        <v>80</v>
      </c>
      <c r="E786" s="28">
        <v>3</v>
      </c>
      <c r="F786" s="28">
        <v>33</v>
      </c>
      <c r="G786" s="27" t="s">
        <v>66</v>
      </c>
      <c r="H786" s="27"/>
      <c r="I786" s="48"/>
      <c r="L786" s="190"/>
      <c r="M786" s="193"/>
      <c r="N786" s="27" t="s">
        <v>80</v>
      </c>
      <c r="O786" s="28">
        <v>3</v>
      </c>
      <c r="P786" s="28">
        <v>33</v>
      </c>
      <c r="Q786" s="27" t="s">
        <v>66</v>
      </c>
      <c r="R786" s="27"/>
      <c r="S786" s="48"/>
    </row>
    <row r="787" spans="2:19" x14ac:dyDescent="0.25">
      <c r="B787" s="190"/>
      <c r="C787" s="193"/>
      <c r="D787" s="27" t="s">
        <v>81</v>
      </c>
      <c r="E787" s="28">
        <v>4</v>
      </c>
      <c r="F787" s="28">
        <v>34</v>
      </c>
      <c r="G787" s="27" t="s">
        <v>66</v>
      </c>
      <c r="H787" s="27"/>
      <c r="I787" s="48"/>
      <c r="L787" s="190"/>
      <c r="M787" s="193"/>
      <c r="N787" s="27" t="s">
        <v>81</v>
      </c>
      <c r="O787" s="28">
        <v>4</v>
      </c>
      <c r="P787" s="28">
        <v>34</v>
      </c>
      <c r="Q787" s="27" t="s">
        <v>66</v>
      </c>
      <c r="R787" s="27"/>
      <c r="S787" s="48"/>
    </row>
    <row r="788" spans="2:19" x14ac:dyDescent="0.25">
      <c r="B788" s="190"/>
      <c r="C788" s="193"/>
      <c r="D788" s="27" t="s">
        <v>82</v>
      </c>
      <c r="E788" s="28">
        <v>5</v>
      </c>
      <c r="F788" s="28">
        <v>35</v>
      </c>
      <c r="G788" s="27" t="s">
        <v>66</v>
      </c>
      <c r="H788" s="27"/>
      <c r="I788" s="48"/>
      <c r="L788" s="190"/>
      <c r="M788" s="193"/>
      <c r="N788" s="27" t="s">
        <v>82</v>
      </c>
      <c r="O788" s="28">
        <v>5</v>
      </c>
      <c r="P788" s="28">
        <v>35</v>
      </c>
      <c r="Q788" s="27" t="s">
        <v>66</v>
      </c>
      <c r="R788" s="27"/>
      <c r="S788" s="48"/>
    </row>
    <row r="789" spans="2:19" ht="15.75" thickBot="1" x14ac:dyDescent="0.3">
      <c r="B789" s="191"/>
      <c r="C789" s="194"/>
      <c r="D789" s="27" t="s">
        <v>83</v>
      </c>
      <c r="E789" s="28">
        <v>6</v>
      </c>
      <c r="F789" s="28">
        <v>36</v>
      </c>
      <c r="G789" s="27" t="s">
        <v>66</v>
      </c>
      <c r="H789" s="27"/>
      <c r="I789" s="48"/>
      <c r="L789" s="191"/>
      <c r="M789" s="194"/>
      <c r="N789" s="27" t="s">
        <v>83</v>
      </c>
      <c r="O789" s="28">
        <v>6</v>
      </c>
      <c r="P789" s="28">
        <v>36</v>
      </c>
      <c r="Q789" s="27" t="s">
        <v>66</v>
      </c>
      <c r="R789" s="27"/>
      <c r="S789" s="48"/>
    </row>
    <row r="790" spans="2:19" x14ac:dyDescent="0.25">
      <c r="B790" s="183" t="s">
        <v>81</v>
      </c>
      <c r="C790" s="186" t="s">
        <v>77</v>
      </c>
      <c r="D790" s="29" t="s">
        <v>2</v>
      </c>
      <c r="E790" s="30">
        <v>1</v>
      </c>
      <c r="F790" s="30">
        <v>37</v>
      </c>
      <c r="G790" s="29" t="s">
        <v>66</v>
      </c>
      <c r="H790" s="29"/>
      <c r="I790" s="49"/>
      <c r="L790" s="183" t="s">
        <v>81</v>
      </c>
      <c r="M790" s="186" t="s">
        <v>77</v>
      </c>
      <c r="N790" s="29" t="s">
        <v>2</v>
      </c>
      <c r="O790" s="30">
        <v>1</v>
      </c>
      <c r="P790" s="30">
        <v>37</v>
      </c>
      <c r="Q790" s="29" t="s">
        <v>66</v>
      </c>
      <c r="R790" s="29"/>
      <c r="S790" s="49"/>
    </row>
    <row r="791" spans="2:19" x14ac:dyDescent="0.25">
      <c r="B791" s="184"/>
      <c r="C791" s="187"/>
      <c r="D791" s="29" t="s">
        <v>3</v>
      </c>
      <c r="E791" s="30">
        <v>2</v>
      </c>
      <c r="F791" s="30">
        <v>38</v>
      </c>
      <c r="G791" s="29" t="s">
        <v>66</v>
      </c>
      <c r="H791" s="29"/>
      <c r="I791" s="49"/>
      <c r="L791" s="184"/>
      <c r="M791" s="187"/>
      <c r="N791" s="29" t="s">
        <v>3</v>
      </c>
      <c r="O791" s="30">
        <v>2</v>
      </c>
      <c r="P791" s="30">
        <v>38</v>
      </c>
      <c r="Q791" s="29" t="s">
        <v>66</v>
      </c>
      <c r="R791" s="29"/>
      <c r="S791" s="49"/>
    </row>
    <row r="792" spans="2:19" x14ac:dyDescent="0.25">
      <c r="B792" s="184"/>
      <c r="C792" s="187"/>
      <c r="D792" s="29" t="s">
        <v>80</v>
      </c>
      <c r="E792" s="30">
        <v>3</v>
      </c>
      <c r="F792" s="30">
        <v>39</v>
      </c>
      <c r="G792" s="29" t="s">
        <v>66</v>
      </c>
      <c r="H792" s="29"/>
      <c r="I792" s="49"/>
      <c r="L792" s="184"/>
      <c r="M792" s="187"/>
      <c r="N792" s="29" t="s">
        <v>80</v>
      </c>
      <c r="O792" s="30">
        <v>3</v>
      </c>
      <c r="P792" s="30">
        <v>39</v>
      </c>
      <c r="Q792" s="29" t="s">
        <v>66</v>
      </c>
      <c r="R792" s="29"/>
      <c r="S792" s="49"/>
    </row>
    <row r="793" spans="2:19" x14ac:dyDescent="0.25">
      <c r="B793" s="184"/>
      <c r="C793" s="187"/>
      <c r="D793" s="29" t="s">
        <v>81</v>
      </c>
      <c r="E793" s="30">
        <v>4</v>
      </c>
      <c r="F793" s="30">
        <v>40</v>
      </c>
      <c r="G793" s="29" t="s">
        <v>66</v>
      </c>
      <c r="H793" s="29"/>
      <c r="I793" s="49"/>
      <c r="L793" s="184"/>
      <c r="M793" s="187"/>
      <c r="N793" s="29" t="s">
        <v>81</v>
      </c>
      <c r="O793" s="30">
        <v>4</v>
      </c>
      <c r="P793" s="30">
        <v>40</v>
      </c>
      <c r="Q793" s="29" t="s">
        <v>66</v>
      </c>
      <c r="R793" s="29"/>
      <c r="S793" s="49"/>
    </row>
    <row r="794" spans="2:19" x14ac:dyDescent="0.25">
      <c r="B794" s="184"/>
      <c r="C794" s="187"/>
      <c r="D794" s="29" t="s">
        <v>82</v>
      </c>
      <c r="E794" s="30">
        <v>5</v>
      </c>
      <c r="F794" s="30">
        <v>41</v>
      </c>
      <c r="G794" s="29" t="s">
        <v>66</v>
      </c>
      <c r="H794" s="29"/>
      <c r="I794" s="49"/>
      <c r="L794" s="184"/>
      <c r="M794" s="187"/>
      <c r="N794" s="29" t="s">
        <v>82</v>
      </c>
      <c r="O794" s="30">
        <v>5</v>
      </c>
      <c r="P794" s="30">
        <v>41</v>
      </c>
      <c r="Q794" s="29" t="s">
        <v>66</v>
      </c>
      <c r="R794" s="29"/>
      <c r="S794" s="49"/>
    </row>
    <row r="795" spans="2:19" ht="15.75" thickBot="1" x14ac:dyDescent="0.3">
      <c r="B795" s="184"/>
      <c r="C795" s="188"/>
      <c r="D795" s="29" t="s">
        <v>83</v>
      </c>
      <c r="E795" s="30">
        <v>6</v>
      </c>
      <c r="F795" s="30">
        <v>42</v>
      </c>
      <c r="G795" s="29" t="s">
        <v>66</v>
      </c>
      <c r="H795" s="29"/>
      <c r="I795" s="49"/>
      <c r="L795" s="184"/>
      <c r="M795" s="188"/>
      <c r="N795" s="29" t="s">
        <v>83</v>
      </c>
      <c r="O795" s="30">
        <v>6</v>
      </c>
      <c r="P795" s="30">
        <v>42</v>
      </c>
      <c r="Q795" s="29" t="s">
        <v>66</v>
      </c>
      <c r="R795" s="29"/>
      <c r="S795" s="49"/>
    </row>
    <row r="796" spans="2:19" x14ac:dyDescent="0.25">
      <c r="B796" s="184"/>
      <c r="C796" s="186" t="s">
        <v>84</v>
      </c>
      <c r="D796" s="29" t="s">
        <v>2</v>
      </c>
      <c r="E796" s="30">
        <v>1</v>
      </c>
      <c r="F796" s="30">
        <v>43</v>
      </c>
      <c r="G796" s="29" t="s">
        <v>66</v>
      </c>
      <c r="H796" s="29"/>
      <c r="I796" s="49"/>
      <c r="L796" s="184"/>
      <c r="M796" s="186" t="s">
        <v>84</v>
      </c>
      <c r="N796" s="29" t="s">
        <v>2</v>
      </c>
      <c r="O796" s="30">
        <v>1</v>
      </c>
      <c r="P796" s="30">
        <v>43</v>
      </c>
      <c r="Q796" s="29" t="s">
        <v>66</v>
      </c>
      <c r="R796" s="29"/>
      <c r="S796" s="49"/>
    </row>
    <row r="797" spans="2:19" x14ac:dyDescent="0.25">
      <c r="B797" s="184"/>
      <c r="C797" s="187"/>
      <c r="D797" s="29" t="s">
        <v>3</v>
      </c>
      <c r="E797" s="30">
        <v>2</v>
      </c>
      <c r="F797" s="30">
        <v>44</v>
      </c>
      <c r="G797" s="29" t="s">
        <v>66</v>
      </c>
      <c r="H797" s="29"/>
      <c r="I797" s="49"/>
      <c r="L797" s="184"/>
      <c r="M797" s="187"/>
      <c r="N797" s="29" t="s">
        <v>3</v>
      </c>
      <c r="O797" s="30">
        <v>2</v>
      </c>
      <c r="P797" s="30">
        <v>44</v>
      </c>
      <c r="Q797" s="29" t="s">
        <v>66</v>
      </c>
      <c r="R797" s="29"/>
      <c r="S797" s="49"/>
    </row>
    <row r="798" spans="2:19" x14ac:dyDescent="0.25">
      <c r="B798" s="184"/>
      <c r="C798" s="187"/>
      <c r="D798" s="29" t="s">
        <v>80</v>
      </c>
      <c r="E798" s="30">
        <v>3</v>
      </c>
      <c r="F798" s="30">
        <v>45</v>
      </c>
      <c r="G798" s="29" t="s">
        <v>66</v>
      </c>
      <c r="H798" s="29"/>
      <c r="I798" s="49"/>
      <c r="L798" s="184"/>
      <c r="M798" s="187"/>
      <c r="N798" s="29" t="s">
        <v>80</v>
      </c>
      <c r="O798" s="30">
        <v>3</v>
      </c>
      <c r="P798" s="30">
        <v>45</v>
      </c>
      <c r="Q798" s="29" t="s">
        <v>66</v>
      </c>
      <c r="R798" s="29"/>
      <c r="S798" s="49"/>
    </row>
    <row r="799" spans="2:19" x14ac:dyDescent="0.25">
      <c r="B799" s="184"/>
      <c r="C799" s="187"/>
      <c r="D799" s="29" t="s">
        <v>81</v>
      </c>
      <c r="E799" s="30">
        <v>4</v>
      </c>
      <c r="F799" s="30">
        <v>46</v>
      </c>
      <c r="G799" s="29" t="s">
        <v>66</v>
      </c>
      <c r="H799" s="29"/>
      <c r="I799" s="49"/>
      <c r="L799" s="184"/>
      <c r="M799" s="187"/>
      <c r="N799" s="29" t="s">
        <v>81</v>
      </c>
      <c r="O799" s="30">
        <v>4</v>
      </c>
      <c r="P799" s="30">
        <v>46</v>
      </c>
      <c r="Q799" s="29" t="s">
        <v>66</v>
      </c>
      <c r="R799" s="29"/>
      <c r="S799" s="49"/>
    </row>
    <row r="800" spans="2:19" x14ac:dyDescent="0.25">
      <c r="B800" s="184"/>
      <c r="C800" s="187"/>
      <c r="D800" s="29" t="s">
        <v>82</v>
      </c>
      <c r="E800" s="30">
        <v>5</v>
      </c>
      <c r="F800" s="30">
        <v>47</v>
      </c>
      <c r="G800" s="29" t="s">
        <v>66</v>
      </c>
      <c r="H800" s="29"/>
      <c r="I800" s="49"/>
      <c r="L800" s="184"/>
      <c r="M800" s="187"/>
      <c r="N800" s="29" t="s">
        <v>82</v>
      </c>
      <c r="O800" s="30">
        <v>5</v>
      </c>
      <c r="P800" s="30">
        <v>47</v>
      </c>
      <c r="Q800" s="29" t="s">
        <v>66</v>
      </c>
      <c r="R800" s="29"/>
      <c r="S800" s="49"/>
    </row>
    <row r="801" spans="2:19" ht="15.75" thickBot="1" x14ac:dyDescent="0.3">
      <c r="B801" s="185"/>
      <c r="C801" s="188"/>
      <c r="D801" s="29" t="s">
        <v>83</v>
      </c>
      <c r="E801" s="30">
        <v>6</v>
      </c>
      <c r="F801" s="30">
        <v>48</v>
      </c>
      <c r="G801" s="29" t="s">
        <v>66</v>
      </c>
      <c r="H801" s="29"/>
      <c r="I801" s="49"/>
      <c r="L801" s="185"/>
      <c r="M801" s="188"/>
      <c r="N801" s="29" t="s">
        <v>83</v>
      </c>
      <c r="O801" s="30">
        <v>6</v>
      </c>
      <c r="P801" s="30">
        <v>48</v>
      </c>
      <c r="Q801" s="29" t="s">
        <v>66</v>
      </c>
      <c r="R801" s="29"/>
      <c r="S801" s="49"/>
    </row>
    <row r="812" spans="2:19" ht="15.75" thickBot="1" x14ac:dyDescent="0.3"/>
    <row r="813" spans="2:19" ht="15.75" thickBot="1" x14ac:dyDescent="0.3">
      <c r="B813" s="171" t="s">
        <v>374</v>
      </c>
      <c r="C813" s="172"/>
      <c r="D813" s="172"/>
      <c r="E813" s="172"/>
      <c r="F813" s="172"/>
      <c r="G813" s="172"/>
      <c r="H813" s="172"/>
      <c r="I813" s="173"/>
      <c r="L813" s="171" t="s">
        <v>375</v>
      </c>
      <c r="M813" s="172"/>
      <c r="N813" s="172"/>
      <c r="O813" s="172"/>
      <c r="P813" s="172"/>
      <c r="Q813" s="172"/>
      <c r="R813" s="172"/>
      <c r="S813" s="173"/>
    </row>
    <row r="815" spans="2:19" ht="26.25" thickBot="1" x14ac:dyDescent="0.3">
      <c r="B815" s="15" t="s">
        <v>70</v>
      </c>
      <c r="C815" s="16" t="s">
        <v>71</v>
      </c>
      <c r="D815" s="15" t="s">
        <v>72</v>
      </c>
      <c r="E815" s="17" t="s">
        <v>73</v>
      </c>
      <c r="F815" s="17" t="s">
        <v>74</v>
      </c>
      <c r="G815" s="15" t="s">
        <v>75</v>
      </c>
      <c r="H815" s="15" t="s">
        <v>55</v>
      </c>
      <c r="I815" s="15" t="s">
        <v>76</v>
      </c>
      <c r="L815" s="15" t="s">
        <v>70</v>
      </c>
      <c r="M815" s="16" t="s">
        <v>71</v>
      </c>
      <c r="N815" s="15" t="s">
        <v>72</v>
      </c>
      <c r="O815" s="17" t="s">
        <v>73</v>
      </c>
      <c r="P815" s="17" t="s">
        <v>74</v>
      </c>
      <c r="Q815" s="15" t="s">
        <v>75</v>
      </c>
      <c r="R815" s="15" t="s">
        <v>55</v>
      </c>
      <c r="S815" s="15" t="s">
        <v>76</v>
      </c>
    </row>
    <row r="816" spans="2:19" x14ac:dyDescent="0.25">
      <c r="B816" s="174" t="s">
        <v>2</v>
      </c>
      <c r="C816" s="168" t="s">
        <v>77</v>
      </c>
      <c r="D816" s="18" t="s">
        <v>2</v>
      </c>
      <c r="E816" s="19">
        <v>1</v>
      </c>
      <c r="F816" s="19">
        <v>1</v>
      </c>
      <c r="G816" s="18" t="s">
        <v>66</v>
      </c>
      <c r="H816" s="32"/>
      <c r="I816" s="50"/>
      <c r="L816" s="174" t="s">
        <v>2</v>
      </c>
      <c r="M816" s="168" t="s">
        <v>77</v>
      </c>
      <c r="N816" s="18" t="s">
        <v>2</v>
      </c>
      <c r="O816" s="19">
        <v>1</v>
      </c>
      <c r="P816" s="19">
        <v>1</v>
      </c>
      <c r="Q816" s="18" t="s">
        <v>66</v>
      </c>
      <c r="R816" s="32"/>
      <c r="S816" s="33"/>
    </row>
    <row r="817" spans="2:19" x14ac:dyDescent="0.25">
      <c r="B817" s="175"/>
      <c r="C817" s="169"/>
      <c r="D817" s="18" t="s">
        <v>3</v>
      </c>
      <c r="E817" s="19">
        <v>2</v>
      </c>
      <c r="F817" s="19">
        <v>2</v>
      </c>
      <c r="G817" s="18" t="s">
        <v>66</v>
      </c>
      <c r="H817" s="32"/>
      <c r="I817" s="50"/>
      <c r="L817" s="175"/>
      <c r="M817" s="169"/>
      <c r="N817" s="18" t="s">
        <v>3</v>
      </c>
      <c r="O817" s="19">
        <v>2</v>
      </c>
      <c r="P817" s="19">
        <v>2</v>
      </c>
      <c r="Q817" s="18" t="s">
        <v>66</v>
      </c>
      <c r="R817" s="32"/>
      <c r="S817" s="33"/>
    </row>
    <row r="818" spans="2:19" x14ac:dyDescent="0.25">
      <c r="B818" s="175"/>
      <c r="C818" s="169"/>
      <c r="D818" s="18" t="s">
        <v>80</v>
      </c>
      <c r="E818" s="20">
        <v>3</v>
      </c>
      <c r="F818" s="20">
        <v>3</v>
      </c>
      <c r="G818" s="18" t="s">
        <v>66</v>
      </c>
      <c r="H818" s="32"/>
      <c r="I818" s="50"/>
      <c r="L818" s="175"/>
      <c r="M818" s="169"/>
      <c r="N818" s="18" t="s">
        <v>80</v>
      </c>
      <c r="O818" s="20">
        <v>3</v>
      </c>
      <c r="P818" s="20">
        <v>3</v>
      </c>
      <c r="Q818" s="18" t="s">
        <v>66</v>
      </c>
      <c r="R818" s="32"/>
      <c r="S818" s="33"/>
    </row>
    <row r="819" spans="2:19" x14ac:dyDescent="0.25">
      <c r="B819" s="175"/>
      <c r="C819" s="169"/>
      <c r="D819" s="18" t="s">
        <v>81</v>
      </c>
      <c r="E819" s="20">
        <v>4</v>
      </c>
      <c r="F819" s="20">
        <v>4</v>
      </c>
      <c r="G819" s="18" t="s">
        <v>66</v>
      </c>
      <c r="H819" s="32"/>
      <c r="I819" s="50"/>
      <c r="L819" s="175"/>
      <c r="M819" s="169"/>
      <c r="N819" s="18" t="s">
        <v>81</v>
      </c>
      <c r="O819" s="20">
        <v>4</v>
      </c>
      <c r="P819" s="20">
        <v>4</v>
      </c>
      <c r="Q819" s="18" t="s">
        <v>66</v>
      </c>
      <c r="R819" s="32"/>
      <c r="S819" s="33"/>
    </row>
    <row r="820" spans="2:19" x14ac:dyDescent="0.25">
      <c r="B820" s="175"/>
      <c r="C820" s="169"/>
      <c r="D820" s="18" t="s">
        <v>82</v>
      </c>
      <c r="E820" s="20">
        <v>5</v>
      </c>
      <c r="F820" s="20">
        <v>5</v>
      </c>
      <c r="G820" s="18" t="s">
        <v>66</v>
      </c>
      <c r="H820" s="32"/>
      <c r="I820" s="50"/>
      <c r="L820" s="175"/>
      <c r="M820" s="169"/>
      <c r="N820" s="18" t="s">
        <v>82</v>
      </c>
      <c r="O820" s="20">
        <v>5</v>
      </c>
      <c r="P820" s="20">
        <v>5</v>
      </c>
      <c r="Q820" s="18" t="s">
        <v>66</v>
      </c>
      <c r="R820" s="32"/>
      <c r="S820" s="33"/>
    </row>
    <row r="821" spans="2:19" ht="15.75" thickBot="1" x14ac:dyDescent="0.3">
      <c r="B821" s="175"/>
      <c r="C821" s="170"/>
      <c r="D821" s="18" t="s">
        <v>83</v>
      </c>
      <c r="E821" s="20">
        <v>6</v>
      </c>
      <c r="F821" s="20">
        <v>6</v>
      </c>
      <c r="G821" s="18" t="s">
        <v>66</v>
      </c>
      <c r="H821" s="32"/>
      <c r="I821" s="50"/>
      <c r="L821" s="175"/>
      <c r="M821" s="170"/>
      <c r="N821" s="18" t="s">
        <v>83</v>
      </c>
      <c r="O821" s="20">
        <v>6</v>
      </c>
      <c r="P821" s="20">
        <v>6</v>
      </c>
      <c r="Q821" s="18" t="s">
        <v>66</v>
      </c>
      <c r="R821" s="32"/>
      <c r="S821" s="33"/>
    </row>
    <row r="822" spans="2:19" x14ac:dyDescent="0.25">
      <c r="B822" s="175"/>
      <c r="C822" s="168" t="s">
        <v>84</v>
      </c>
      <c r="D822" s="18" t="s">
        <v>2</v>
      </c>
      <c r="E822" s="19">
        <v>1</v>
      </c>
      <c r="F822" s="19">
        <v>7</v>
      </c>
      <c r="G822" s="18" t="s">
        <v>78</v>
      </c>
      <c r="H822" s="156" t="s">
        <v>130</v>
      </c>
      <c r="I822" s="165" t="s">
        <v>206</v>
      </c>
      <c r="L822" s="175"/>
      <c r="M822" s="168" t="s">
        <v>84</v>
      </c>
      <c r="N822" s="18" t="s">
        <v>2</v>
      </c>
      <c r="O822" s="19">
        <v>1</v>
      </c>
      <c r="P822" s="19">
        <v>7</v>
      </c>
      <c r="Q822" s="18" t="s">
        <v>78</v>
      </c>
      <c r="R822" s="156" t="s">
        <v>130</v>
      </c>
      <c r="S822" s="195" t="s">
        <v>208</v>
      </c>
    </row>
    <row r="823" spans="2:19" x14ac:dyDescent="0.25">
      <c r="B823" s="175"/>
      <c r="C823" s="169"/>
      <c r="D823" s="18" t="s">
        <v>3</v>
      </c>
      <c r="E823" s="19">
        <v>2</v>
      </c>
      <c r="F823" s="19">
        <v>8</v>
      </c>
      <c r="G823" s="18" t="s">
        <v>78</v>
      </c>
      <c r="H823" s="157"/>
      <c r="I823" s="166"/>
      <c r="L823" s="175"/>
      <c r="M823" s="169"/>
      <c r="N823" s="18" t="s">
        <v>3</v>
      </c>
      <c r="O823" s="19">
        <v>2</v>
      </c>
      <c r="P823" s="19">
        <v>8</v>
      </c>
      <c r="Q823" s="18" t="s">
        <v>78</v>
      </c>
      <c r="R823" s="157"/>
      <c r="S823" s="196"/>
    </row>
    <row r="824" spans="2:19" x14ac:dyDescent="0.25">
      <c r="B824" s="175"/>
      <c r="C824" s="169"/>
      <c r="D824" s="18" t="s">
        <v>80</v>
      </c>
      <c r="E824" s="20">
        <v>3</v>
      </c>
      <c r="F824" s="20">
        <v>9</v>
      </c>
      <c r="G824" s="18" t="s">
        <v>66</v>
      </c>
      <c r="H824" s="157"/>
      <c r="I824" s="166"/>
      <c r="L824" s="175"/>
      <c r="M824" s="169"/>
      <c r="N824" s="18" t="s">
        <v>80</v>
      </c>
      <c r="O824" s="20">
        <v>3</v>
      </c>
      <c r="P824" s="20">
        <v>9</v>
      </c>
      <c r="Q824" s="18" t="s">
        <v>66</v>
      </c>
      <c r="R824" s="157"/>
      <c r="S824" s="196"/>
    </row>
    <row r="825" spans="2:19" x14ac:dyDescent="0.25">
      <c r="B825" s="175"/>
      <c r="C825" s="169"/>
      <c r="D825" s="18" t="s">
        <v>81</v>
      </c>
      <c r="E825" s="20">
        <v>4</v>
      </c>
      <c r="F825" s="20">
        <v>10</v>
      </c>
      <c r="G825" s="18" t="s">
        <v>66</v>
      </c>
      <c r="H825" s="157"/>
      <c r="I825" s="166"/>
      <c r="L825" s="175"/>
      <c r="M825" s="169"/>
      <c r="N825" s="18" t="s">
        <v>81</v>
      </c>
      <c r="O825" s="20">
        <v>4</v>
      </c>
      <c r="P825" s="20">
        <v>10</v>
      </c>
      <c r="Q825" s="18" t="s">
        <v>66</v>
      </c>
      <c r="R825" s="157"/>
      <c r="S825" s="196"/>
    </row>
    <row r="826" spans="2:19" x14ac:dyDescent="0.25">
      <c r="B826" s="175"/>
      <c r="C826" s="169"/>
      <c r="D826" s="18" t="s">
        <v>82</v>
      </c>
      <c r="E826" s="20">
        <v>5</v>
      </c>
      <c r="F826" s="20">
        <v>11</v>
      </c>
      <c r="G826" s="18" t="s">
        <v>66</v>
      </c>
      <c r="H826" s="157"/>
      <c r="I826" s="166"/>
      <c r="L826" s="175"/>
      <c r="M826" s="169"/>
      <c r="N826" s="18" t="s">
        <v>82</v>
      </c>
      <c r="O826" s="20">
        <v>5</v>
      </c>
      <c r="P826" s="20">
        <v>11</v>
      </c>
      <c r="Q826" s="18" t="s">
        <v>66</v>
      </c>
      <c r="R826" s="157"/>
      <c r="S826" s="196"/>
    </row>
    <row r="827" spans="2:19" ht="15.75" thickBot="1" x14ac:dyDescent="0.3">
      <c r="B827" s="176"/>
      <c r="C827" s="170"/>
      <c r="D827" s="18" t="s">
        <v>83</v>
      </c>
      <c r="E827" s="20">
        <v>6</v>
      </c>
      <c r="F827" s="20">
        <v>12</v>
      </c>
      <c r="G827" s="18" t="s">
        <v>66</v>
      </c>
      <c r="H827" s="158"/>
      <c r="I827" s="167"/>
      <c r="L827" s="176"/>
      <c r="M827" s="170"/>
      <c r="N827" s="18" t="s">
        <v>83</v>
      </c>
      <c r="O827" s="20">
        <v>6</v>
      </c>
      <c r="P827" s="20">
        <v>12</v>
      </c>
      <c r="Q827" s="18" t="s">
        <v>66</v>
      </c>
      <c r="R827" s="158"/>
      <c r="S827" s="197"/>
    </row>
    <row r="828" spans="2:19" x14ac:dyDescent="0.25">
      <c r="B828" s="180" t="s">
        <v>3</v>
      </c>
      <c r="C828" s="177" t="s">
        <v>77</v>
      </c>
      <c r="D828" s="21" t="s">
        <v>2</v>
      </c>
      <c r="E828" s="22">
        <v>1</v>
      </c>
      <c r="F828" s="22">
        <v>13</v>
      </c>
      <c r="G828" s="21" t="s">
        <v>66</v>
      </c>
      <c r="H828" s="21"/>
      <c r="I828" s="51"/>
      <c r="L828" s="180" t="s">
        <v>3</v>
      </c>
      <c r="M828" s="177" t="s">
        <v>77</v>
      </c>
      <c r="N828" s="21" t="s">
        <v>2</v>
      </c>
      <c r="O828" s="22">
        <v>1</v>
      </c>
      <c r="P828" s="22">
        <v>13</v>
      </c>
      <c r="Q828" s="21" t="s">
        <v>66</v>
      </c>
      <c r="R828" s="21"/>
      <c r="S828" s="34"/>
    </row>
    <row r="829" spans="2:19" x14ac:dyDescent="0.25">
      <c r="B829" s="181"/>
      <c r="C829" s="178"/>
      <c r="D829" s="23" t="s">
        <v>3</v>
      </c>
      <c r="E829" s="24">
        <v>2</v>
      </c>
      <c r="F829" s="24">
        <v>14</v>
      </c>
      <c r="G829" s="23" t="s">
        <v>66</v>
      </c>
      <c r="H829" s="23"/>
      <c r="I829" s="47"/>
      <c r="L829" s="181"/>
      <c r="M829" s="178"/>
      <c r="N829" s="23" t="s">
        <v>3</v>
      </c>
      <c r="O829" s="24">
        <v>2</v>
      </c>
      <c r="P829" s="24">
        <v>14</v>
      </c>
      <c r="Q829" s="23" t="s">
        <v>66</v>
      </c>
      <c r="R829" s="23"/>
      <c r="S829" s="25"/>
    </row>
    <row r="830" spans="2:19" x14ac:dyDescent="0.25">
      <c r="B830" s="181"/>
      <c r="C830" s="178"/>
      <c r="D830" s="23" t="s">
        <v>80</v>
      </c>
      <c r="E830" s="24">
        <v>3</v>
      </c>
      <c r="F830" s="24">
        <v>15</v>
      </c>
      <c r="G830" s="23" t="s">
        <v>66</v>
      </c>
      <c r="H830" s="23"/>
      <c r="I830" s="47"/>
      <c r="L830" s="181"/>
      <c r="M830" s="178"/>
      <c r="N830" s="23" t="s">
        <v>80</v>
      </c>
      <c r="O830" s="24">
        <v>3</v>
      </c>
      <c r="P830" s="24">
        <v>15</v>
      </c>
      <c r="Q830" s="23" t="s">
        <v>66</v>
      </c>
      <c r="R830" s="23"/>
      <c r="S830" s="25"/>
    </row>
    <row r="831" spans="2:19" x14ac:dyDescent="0.25">
      <c r="B831" s="181"/>
      <c r="C831" s="178"/>
      <c r="D831" s="23" t="s">
        <v>81</v>
      </c>
      <c r="E831" s="24">
        <v>4</v>
      </c>
      <c r="F831" s="24">
        <v>16</v>
      </c>
      <c r="G831" s="23" t="s">
        <v>66</v>
      </c>
      <c r="H831" s="23"/>
      <c r="I831" s="47"/>
      <c r="L831" s="181"/>
      <c r="M831" s="178"/>
      <c r="N831" s="23" t="s">
        <v>81</v>
      </c>
      <c r="O831" s="24">
        <v>4</v>
      </c>
      <c r="P831" s="24">
        <v>16</v>
      </c>
      <c r="Q831" s="23" t="s">
        <v>66</v>
      </c>
      <c r="R831" s="23"/>
      <c r="S831" s="25"/>
    </row>
    <row r="832" spans="2:19" x14ac:dyDescent="0.25">
      <c r="B832" s="181"/>
      <c r="C832" s="178"/>
      <c r="D832" s="23" t="s">
        <v>82</v>
      </c>
      <c r="E832" s="24">
        <v>5</v>
      </c>
      <c r="F832" s="24">
        <v>17</v>
      </c>
      <c r="G832" s="23" t="s">
        <v>66</v>
      </c>
      <c r="H832" s="23"/>
      <c r="I832" s="47"/>
      <c r="L832" s="181"/>
      <c r="M832" s="178"/>
      <c r="N832" s="23" t="s">
        <v>82</v>
      </c>
      <c r="O832" s="24">
        <v>5</v>
      </c>
      <c r="P832" s="24">
        <v>17</v>
      </c>
      <c r="Q832" s="23" t="s">
        <v>66</v>
      </c>
      <c r="R832" s="23"/>
      <c r="S832" s="25"/>
    </row>
    <row r="833" spans="2:19" ht="15.75" thickBot="1" x14ac:dyDescent="0.3">
      <c r="B833" s="181"/>
      <c r="C833" s="179"/>
      <c r="D833" s="23" t="s">
        <v>83</v>
      </c>
      <c r="E833" s="24">
        <v>6</v>
      </c>
      <c r="F833" s="24">
        <v>18</v>
      </c>
      <c r="G833" s="23" t="s">
        <v>66</v>
      </c>
      <c r="H833" s="23"/>
      <c r="I833" s="47"/>
      <c r="L833" s="181"/>
      <c r="M833" s="179"/>
      <c r="N833" s="23" t="s">
        <v>83</v>
      </c>
      <c r="O833" s="24">
        <v>6</v>
      </c>
      <c r="P833" s="24">
        <v>18</v>
      </c>
      <c r="Q833" s="23" t="s">
        <v>66</v>
      </c>
      <c r="R833" s="23"/>
      <c r="S833" s="25"/>
    </row>
    <row r="834" spans="2:19" x14ac:dyDescent="0.25">
      <c r="B834" s="181"/>
      <c r="C834" s="177" t="s">
        <v>84</v>
      </c>
      <c r="D834" s="23" t="s">
        <v>2</v>
      </c>
      <c r="E834" s="24">
        <v>1</v>
      </c>
      <c r="F834" s="24">
        <v>19</v>
      </c>
      <c r="G834" s="23" t="s">
        <v>66</v>
      </c>
      <c r="H834" s="23"/>
      <c r="I834" s="47"/>
      <c r="L834" s="181"/>
      <c r="M834" s="177" t="s">
        <v>84</v>
      </c>
      <c r="N834" s="23" t="s">
        <v>2</v>
      </c>
      <c r="O834" s="24">
        <v>1</v>
      </c>
      <c r="P834" s="24">
        <v>19</v>
      </c>
      <c r="Q834" s="23" t="s">
        <v>66</v>
      </c>
      <c r="R834" s="23"/>
      <c r="S834" s="47"/>
    </row>
    <row r="835" spans="2:19" x14ac:dyDescent="0.25">
      <c r="B835" s="181"/>
      <c r="C835" s="178"/>
      <c r="D835" s="23" t="s">
        <v>3</v>
      </c>
      <c r="E835" s="24">
        <v>2</v>
      </c>
      <c r="F835" s="24">
        <v>20</v>
      </c>
      <c r="G835" s="23" t="s">
        <v>66</v>
      </c>
      <c r="H835" s="23"/>
      <c r="I835" s="47"/>
      <c r="L835" s="181"/>
      <c r="M835" s="178"/>
      <c r="N835" s="23" t="s">
        <v>3</v>
      </c>
      <c r="O835" s="24">
        <v>2</v>
      </c>
      <c r="P835" s="24">
        <v>20</v>
      </c>
      <c r="Q835" s="23" t="s">
        <v>66</v>
      </c>
      <c r="R835" s="23"/>
      <c r="S835" s="47"/>
    </row>
    <row r="836" spans="2:19" x14ac:dyDescent="0.25">
      <c r="B836" s="181"/>
      <c r="C836" s="178"/>
      <c r="D836" s="23" t="s">
        <v>80</v>
      </c>
      <c r="E836" s="26">
        <v>3</v>
      </c>
      <c r="F836" s="24">
        <v>21</v>
      </c>
      <c r="G836" s="23" t="s">
        <v>66</v>
      </c>
      <c r="H836" s="23"/>
      <c r="I836" s="47"/>
      <c r="L836" s="181"/>
      <c r="M836" s="178"/>
      <c r="N836" s="23" t="s">
        <v>80</v>
      </c>
      <c r="O836" s="26">
        <v>3</v>
      </c>
      <c r="P836" s="24">
        <v>21</v>
      </c>
      <c r="Q836" s="23" t="s">
        <v>66</v>
      </c>
      <c r="R836" s="23"/>
      <c r="S836" s="47"/>
    </row>
    <row r="837" spans="2:19" x14ac:dyDescent="0.25">
      <c r="B837" s="181"/>
      <c r="C837" s="178"/>
      <c r="D837" s="23" t="s">
        <v>81</v>
      </c>
      <c r="E837" s="24">
        <v>4</v>
      </c>
      <c r="F837" s="24">
        <v>22</v>
      </c>
      <c r="G837" s="23" t="s">
        <v>66</v>
      </c>
      <c r="H837" s="23"/>
      <c r="I837" s="47"/>
      <c r="L837" s="181"/>
      <c r="M837" s="178"/>
      <c r="N837" s="23" t="s">
        <v>81</v>
      </c>
      <c r="O837" s="24">
        <v>4</v>
      </c>
      <c r="P837" s="24">
        <v>22</v>
      </c>
      <c r="Q837" s="23" t="s">
        <v>66</v>
      </c>
      <c r="R837" s="23"/>
      <c r="S837" s="47"/>
    </row>
    <row r="838" spans="2:19" x14ac:dyDescent="0.25">
      <c r="B838" s="181"/>
      <c r="C838" s="178"/>
      <c r="D838" s="23" t="s">
        <v>82</v>
      </c>
      <c r="E838" s="24">
        <v>5</v>
      </c>
      <c r="F838" s="24">
        <v>23</v>
      </c>
      <c r="G838" s="23" t="s">
        <v>66</v>
      </c>
      <c r="H838" s="23"/>
      <c r="I838" s="47"/>
      <c r="L838" s="181"/>
      <c r="M838" s="178"/>
      <c r="N838" s="23" t="s">
        <v>82</v>
      </c>
      <c r="O838" s="24">
        <v>5</v>
      </c>
      <c r="P838" s="24">
        <v>23</v>
      </c>
      <c r="Q838" s="23" t="s">
        <v>66</v>
      </c>
      <c r="R838" s="23"/>
      <c r="S838" s="47"/>
    </row>
    <row r="839" spans="2:19" ht="15.75" thickBot="1" x14ac:dyDescent="0.3">
      <c r="B839" s="182"/>
      <c r="C839" s="179"/>
      <c r="D839" s="23" t="s">
        <v>83</v>
      </c>
      <c r="E839" s="24">
        <v>6</v>
      </c>
      <c r="F839" s="24">
        <v>24</v>
      </c>
      <c r="G839" s="23" t="s">
        <v>66</v>
      </c>
      <c r="H839" s="23"/>
      <c r="I839" s="47"/>
      <c r="L839" s="182"/>
      <c r="M839" s="179"/>
      <c r="N839" s="23" t="s">
        <v>83</v>
      </c>
      <c r="O839" s="24">
        <v>6</v>
      </c>
      <c r="P839" s="24">
        <v>24</v>
      </c>
      <c r="Q839" s="23" t="s">
        <v>66</v>
      </c>
      <c r="R839" s="23"/>
      <c r="S839" s="47"/>
    </row>
    <row r="840" spans="2:19" x14ac:dyDescent="0.25">
      <c r="B840" s="189" t="s">
        <v>80</v>
      </c>
      <c r="C840" s="192" t="s">
        <v>77</v>
      </c>
      <c r="D840" s="27" t="s">
        <v>2</v>
      </c>
      <c r="E840" s="28">
        <v>1</v>
      </c>
      <c r="F840" s="28">
        <v>25</v>
      </c>
      <c r="G840" s="27" t="s">
        <v>66</v>
      </c>
      <c r="H840" s="27"/>
      <c r="I840" s="48"/>
      <c r="L840" s="189" t="s">
        <v>80</v>
      </c>
      <c r="M840" s="192" t="s">
        <v>77</v>
      </c>
      <c r="N840" s="27" t="s">
        <v>2</v>
      </c>
      <c r="O840" s="28">
        <v>1</v>
      </c>
      <c r="P840" s="28">
        <v>25</v>
      </c>
      <c r="Q840" s="27" t="s">
        <v>66</v>
      </c>
      <c r="R840" s="27"/>
      <c r="S840" s="48"/>
    </row>
    <row r="841" spans="2:19" x14ac:dyDescent="0.25">
      <c r="B841" s="190"/>
      <c r="C841" s="193"/>
      <c r="D841" s="27" t="s">
        <v>3</v>
      </c>
      <c r="E841" s="28">
        <v>2</v>
      </c>
      <c r="F841" s="28">
        <v>26</v>
      </c>
      <c r="G841" s="27" t="s">
        <v>66</v>
      </c>
      <c r="H841" s="27"/>
      <c r="I841" s="48"/>
      <c r="L841" s="190"/>
      <c r="M841" s="193"/>
      <c r="N841" s="27" t="s">
        <v>3</v>
      </c>
      <c r="O841" s="28">
        <v>2</v>
      </c>
      <c r="P841" s="28">
        <v>26</v>
      </c>
      <c r="Q841" s="27" t="s">
        <v>66</v>
      </c>
      <c r="R841" s="27"/>
      <c r="S841" s="48"/>
    </row>
    <row r="842" spans="2:19" x14ac:dyDescent="0.25">
      <c r="B842" s="190"/>
      <c r="C842" s="193"/>
      <c r="D842" s="27" t="s">
        <v>80</v>
      </c>
      <c r="E842" s="28">
        <v>3</v>
      </c>
      <c r="F842" s="28">
        <v>27</v>
      </c>
      <c r="G842" s="27" t="s">
        <v>66</v>
      </c>
      <c r="H842" s="27"/>
      <c r="I842" s="48"/>
      <c r="L842" s="190"/>
      <c r="M842" s="193"/>
      <c r="N842" s="27" t="s">
        <v>80</v>
      </c>
      <c r="O842" s="28">
        <v>3</v>
      </c>
      <c r="P842" s="28">
        <v>27</v>
      </c>
      <c r="Q842" s="27" t="s">
        <v>66</v>
      </c>
      <c r="R842" s="27"/>
      <c r="S842" s="48"/>
    </row>
    <row r="843" spans="2:19" x14ac:dyDescent="0.25">
      <c r="B843" s="190"/>
      <c r="C843" s="193"/>
      <c r="D843" s="27" t="s">
        <v>81</v>
      </c>
      <c r="E843" s="28">
        <v>4</v>
      </c>
      <c r="F843" s="28">
        <v>28</v>
      </c>
      <c r="G843" s="27" t="s">
        <v>66</v>
      </c>
      <c r="H843" s="27"/>
      <c r="I843" s="48"/>
      <c r="L843" s="190"/>
      <c r="M843" s="193"/>
      <c r="N843" s="27" t="s">
        <v>81</v>
      </c>
      <c r="O843" s="28">
        <v>4</v>
      </c>
      <c r="P843" s="28">
        <v>28</v>
      </c>
      <c r="Q843" s="27" t="s">
        <v>66</v>
      </c>
      <c r="R843" s="27"/>
      <c r="S843" s="48"/>
    </row>
    <row r="844" spans="2:19" x14ac:dyDescent="0.25">
      <c r="B844" s="190"/>
      <c r="C844" s="193"/>
      <c r="D844" s="27" t="s">
        <v>82</v>
      </c>
      <c r="E844" s="28">
        <v>5</v>
      </c>
      <c r="F844" s="28">
        <v>29</v>
      </c>
      <c r="G844" s="27" t="s">
        <v>66</v>
      </c>
      <c r="H844" s="27"/>
      <c r="I844" s="48"/>
      <c r="L844" s="190"/>
      <c r="M844" s="193"/>
      <c r="N844" s="27" t="s">
        <v>82</v>
      </c>
      <c r="O844" s="28">
        <v>5</v>
      </c>
      <c r="P844" s="28">
        <v>29</v>
      </c>
      <c r="Q844" s="27" t="s">
        <v>66</v>
      </c>
      <c r="R844" s="27"/>
      <c r="S844" s="48"/>
    </row>
    <row r="845" spans="2:19" ht="15.75" thickBot="1" x14ac:dyDescent="0.3">
      <c r="B845" s="190"/>
      <c r="C845" s="194"/>
      <c r="D845" s="27" t="s">
        <v>83</v>
      </c>
      <c r="E845" s="28">
        <v>6</v>
      </c>
      <c r="F845" s="28">
        <v>30</v>
      </c>
      <c r="G845" s="27" t="s">
        <v>66</v>
      </c>
      <c r="H845" s="27"/>
      <c r="I845" s="48"/>
      <c r="L845" s="190"/>
      <c r="M845" s="194"/>
      <c r="N845" s="27" t="s">
        <v>83</v>
      </c>
      <c r="O845" s="28">
        <v>6</v>
      </c>
      <c r="P845" s="28">
        <v>30</v>
      </c>
      <c r="Q845" s="27" t="s">
        <v>66</v>
      </c>
      <c r="R845" s="27"/>
      <c r="S845" s="48"/>
    </row>
    <row r="846" spans="2:19" x14ac:dyDescent="0.25">
      <c r="B846" s="190"/>
      <c r="C846" s="192" t="s">
        <v>84</v>
      </c>
      <c r="D846" s="27" t="s">
        <v>2</v>
      </c>
      <c r="E846" s="28">
        <v>1</v>
      </c>
      <c r="F846" s="28">
        <v>31</v>
      </c>
      <c r="G846" s="27" t="s">
        <v>66</v>
      </c>
      <c r="H846" s="27"/>
      <c r="I846" s="48"/>
      <c r="L846" s="190"/>
      <c r="M846" s="192" t="s">
        <v>84</v>
      </c>
      <c r="N846" s="27" t="s">
        <v>2</v>
      </c>
      <c r="O846" s="28">
        <v>1</v>
      </c>
      <c r="P846" s="28">
        <v>31</v>
      </c>
      <c r="Q846" s="27" t="s">
        <v>66</v>
      </c>
      <c r="R846" s="27"/>
      <c r="S846" s="48"/>
    </row>
    <row r="847" spans="2:19" x14ac:dyDescent="0.25">
      <c r="B847" s="190"/>
      <c r="C847" s="193"/>
      <c r="D847" s="27" t="s">
        <v>3</v>
      </c>
      <c r="E847" s="28">
        <v>2</v>
      </c>
      <c r="F847" s="28">
        <v>32</v>
      </c>
      <c r="G847" s="27" t="s">
        <v>66</v>
      </c>
      <c r="H847" s="27"/>
      <c r="I847" s="48"/>
      <c r="L847" s="190"/>
      <c r="M847" s="193"/>
      <c r="N847" s="27" t="s">
        <v>3</v>
      </c>
      <c r="O847" s="28">
        <v>2</v>
      </c>
      <c r="P847" s="28">
        <v>32</v>
      </c>
      <c r="Q847" s="27" t="s">
        <v>66</v>
      </c>
      <c r="R847" s="27"/>
      <c r="S847" s="48"/>
    </row>
    <row r="848" spans="2:19" x14ac:dyDescent="0.25">
      <c r="B848" s="190"/>
      <c r="C848" s="193"/>
      <c r="D848" s="27" t="s">
        <v>80</v>
      </c>
      <c r="E848" s="28">
        <v>3</v>
      </c>
      <c r="F848" s="28">
        <v>33</v>
      </c>
      <c r="G848" s="27" t="s">
        <v>66</v>
      </c>
      <c r="H848" s="27"/>
      <c r="I848" s="48"/>
      <c r="L848" s="190"/>
      <c r="M848" s="193"/>
      <c r="N848" s="27" t="s">
        <v>80</v>
      </c>
      <c r="O848" s="28">
        <v>3</v>
      </c>
      <c r="P848" s="28">
        <v>33</v>
      </c>
      <c r="Q848" s="27" t="s">
        <v>66</v>
      </c>
      <c r="R848" s="27"/>
      <c r="S848" s="48"/>
    </row>
    <row r="849" spans="2:19" x14ac:dyDescent="0.25">
      <c r="B849" s="190"/>
      <c r="C849" s="193"/>
      <c r="D849" s="27" t="s">
        <v>81</v>
      </c>
      <c r="E849" s="28">
        <v>4</v>
      </c>
      <c r="F849" s="28">
        <v>34</v>
      </c>
      <c r="G849" s="27" t="s">
        <v>66</v>
      </c>
      <c r="H849" s="27"/>
      <c r="I849" s="48"/>
      <c r="L849" s="190"/>
      <c r="M849" s="193"/>
      <c r="N849" s="27" t="s">
        <v>81</v>
      </c>
      <c r="O849" s="28">
        <v>4</v>
      </c>
      <c r="P849" s="28">
        <v>34</v>
      </c>
      <c r="Q849" s="27" t="s">
        <v>66</v>
      </c>
      <c r="R849" s="27"/>
      <c r="S849" s="48"/>
    </row>
    <row r="850" spans="2:19" x14ac:dyDescent="0.25">
      <c r="B850" s="190"/>
      <c r="C850" s="193"/>
      <c r="D850" s="27" t="s">
        <v>82</v>
      </c>
      <c r="E850" s="28">
        <v>5</v>
      </c>
      <c r="F850" s="28">
        <v>35</v>
      </c>
      <c r="G850" s="27" t="s">
        <v>66</v>
      </c>
      <c r="H850" s="27"/>
      <c r="I850" s="48"/>
      <c r="L850" s="190"/>
      <c r="M850" s="193"/>
      <c r="N850" s="27" t="s">
        <v>82</v>
      </c>
      <c r="O850" s="28">
        <v>5</v>
      </c>
      <c r="P850" s="28">
        <v>35</v>
      </c>
      <c r="Q850" s="27" t="s">
        <v>66</v>
      </c>
      <c r="R850" s="27"/>
      <c r="S850" s="48"/>
    </row>
    <row r="851" spans="2:19" ht="15.75" thickBot="1" x14ac:dyDescent="0.3">
      <c r="B851" s="191"/>
      <c r="C851" s="194"/>
      <c r="D851" s="27" t="s">
        <v>83</v>
      </c>
      <c r="E851" s="28">
        <v>6</v>
      </c>
      <c r="F851" s="28">
        <v>36</v>
      </c>
      <c r="G851" s="27" t="s">
        <v>66</v>
      </c>
      <c r="H851" s="27"/>
      <c r="I851" s="48"/>
      <c r="L851" s="191"/>
      <c r="M851" s="194"/>
      <c r="N851" s="27" t="s">
        <v>83</v>
      </c>
      <c r="O851" s="28">
        <v>6</v>
      </c>
      <c r="P851" s="28">
        <v>36</v>
      </c>
      <c r="Q851" s="27" t="s">
        <v>66</v>
      </c>
      <c r="R851" s="27"/>
      <c r="S851" s="48"/>
    </row>
    <row r="852" spans="2:19" x14ac:dyDescent="0.25">
      <c r="B852" s="183" t="s">
        <v>81</v>
      </c>
      <c r="C852" s="186" t="s">
        <v>77</v>
      </c>
      <c r="D852" s="29" t="s">
        <v>2</v>
      </c>
      <c r="E852" s="30">
        <v>1</v>
      </c>
      <c r="F852" s="30">
        <v>37</v>
      </c>
      <c r="G852" s="29" t="s">
        <v>66</v>
      </c>
      <c r="H852" s="29"/>
      <c r="I852" s="49"/>
      <c r="L852" s="183" t="s">
        <v>81</v>
      </c>
      <c r="M852" s="186" t="s">
        <v>77</v>
      </c>
      <c r="N852" s="29" t="s">
        <v>2</v>
      </c>
      <c r="O852" s="30">
        <v>1</v>
      </c>
      <c r="P852" s="30">
        <v>37</v>
      </c>
      <c r="Q852" s="29" t="s">
        <v>66</v>
      </c>
      <c r="R852" s="29"/>
      <c r="S852" s="49"/>
    </row>
    <row r="853" spans="2:19" x14ac:dyDescent="0.25">
      <c r="B853" s="184"/>
      <c r="C853" s="187"/>
      <c r="D853" s="29" t="s">
        <v>3</v>
      </c>
      <c r="E853" s="30">
        <v>2</v>
      </c>
      <c r="F853" s="30">
        <v>38</v>
      </c>
      <c r="G853" s="29" t="s">
        <v>66</v>
      </c>
      <c r="H853" s="29"/>
      <c r="I853" s="49"/>
      <c r="L853" s="184"/>
      <c r="M853" s="187"/>
      <c r="N853" s="29" t="s">
        <v>3</v>
      </c>
      <c r="O853" s="30">
        <v>2</v>
      </c>
      <c r="P853" s="30">
        <v>38</v>
      </c>
      <c r="Q853" s="29" t="s">
        <v>66</v>
      </c>
      <c r="R853" s="29"/>
      <c r="S853" s="49"/>
    </row>
    <row r="854" spans="2:19" x14ac:dyDescent="0.25">
      <c r="B854" s="184"/>
      <c r="C854" s="187"/>
      <c r="D854" s="29" t="s">
        <v>80</v>
      </c>
      <c r="E854" s="30">
        <v>3</v>
      </c>
      <c r="F854" s="30">
        <v>39</v>
      </c>
      <c r="G854" s="29" t="s">
        <v>66</v>
      </c>
      <c r="H854" s="29"/>
      <c r="I854" s="49"/>
      <c r="L854" s="184"/>
      <c r="M854" s="187"/>
      <c r="N854" s="29" t="s">
        <v>80</v>
      </c>
      <c r="O854" s="30">
        <v>3</v>
      </c>
      <c r="P854" s="30">
        <v>39</v>
      </c>
      <c r="Q854" s="29" t="s">
        <v>66</v>
      </c>
      <c r="R854" s="29"/>
      <c r="S854" s="49"/>
    </row>
    <row r="855" spans="2:19" x14ac:dyDescent="0.25">
      <c r="B855" s="184"/>
      <c r="C855" s="187"/>
      <c r="D855" s="29" t="s">
        <v>81</v>
      </c>
      <c r="E855" s="30">
        <v>4</v>
      </c>
      <c r="F855" s="30">
        <v>40</v>
      </c>
      <c r="G855" s="29" t="s">
        <v>66</v>
      </c>
      <c r="H855" s="29"/>
      <c r="I855" s="49"/>
      <c r="L855" s="184"/>
      <c r="M855" s="187"/>
      <c r="N855" s="29" t="s">
        <v>81</v>
      </c>
      <c r="O855" s="30">
        <v>4</v>
      </c>
      <c r="P855" s="30">
        <v>40</v>
      </c>
      <c r="Q855" s="29" t="s">
        <v>66</v>
      </c>
      <c r="R855" s="29"/>
      <c r="S855" s="49"/>
    </row>
    <row r="856" spans="2:19" x14ac:dyDescent="0.25">
      <c r="B856" s="184"/>
      <c r="C856" s="187"/>
      <c r="D856" s="29" t="s">
        <v>82</v>
      </c>
      <c r="E856" s="30">
        <v>5</v>
      </c>
      <c r="F856" s="30">
        <v>41</v>
      </c>
      <c r="G856" s="29" t="s">
        <v>66</v>
      </c>
      <c r="H856" s="29"/>
      <c r="I856" s="49"/>
      <c r="L856" s="184"/>
      <c r="M856" s="187"/>
      <c r="N856" s="29" t="s">
        <v>82</v>
      </c>
      <c r="O856" s="30">
        <v>5</v>
      </c>
      <c r="P856" s="30">
        <v>41</v>
      </c>
      <c r="Q856" s="29" t="s">
        <v>66</v>
      </c>
      <c r="R856" s="29"/>
      <c r="S856" s="49"/>
    </row>
    <row r="857" spans="2:19" ht="15.75" thickBot="1" x14ac:dyDescent="0.3">
      <c r="B857" s="184"/>
      <c r="C857" s="188"/>
      <c r="D857" s="29" t="s">
        <v>83</v>
      </c>
      <c r="E857" s="30">
        <v>6</v>
      </c>
      <c r="F857" s="30">
        <v>42</v>
      </c>
      <c r="G857" s="29" t="s">
        <v>66</v>
      </c>
      <c r="H857" s="29"/>
      <c r="I857" s="49"/>
      <c r="L857" s="184"/>
      <c r="M857" s="188"/>
      <c r="N857" s="29" t="s">
        <v>83</v>
      </c>
      <c r="O857" s="30">
        <v>6</v>
      </c>
      <c r="P857" s="30">
        <v>42</v>
      </c>
      <c r="Q857" s="29" t="s">
        <v>66</v>
      </c>
      <c r="R857" s="29"/>
      <c r="S857" s="49"/>
    </row>
    <row r="858" spans="2:19" x14ac:dyDescent="0.25">
      <c r="B858" s="184"/>
      <c r="C858" s="186" t="s">
        <v>84</v>
      </c>
      <c r="D858" s="29" t="s">
        <v>2</v>
      </c>
      <c r="E858" s="30">
        <v>1</v>
      </c>
      <c r="F858" s="30">
        <v>43</v>
      </c>
      <c r="G858" s="29" t="s">
        <v>66</v>
      </c>
      <c r="H858" s="29"/>
      <c r="I858" s="49"/>
      <c r="L858" s="184"/>
      <c r="M858" s="186" t="s">
        <v>84</v>
      </c>
      <c r="N858" s="29" t="s">
        <v>2</v>
      </c>
      <c r="O858" s="30">
        <v>1</v>
      </c>
      <c r="P858" s="30">
        <v>43</v>
      </c>
      <c r="Q858" s="29" t="s">
        <v>66</v>
      </c>
      <c r="R858" s="29"/>
      <c r="S858" s="49"/>
    </row>
    <row r="859" spans="2:19" x14ac:dyDescent="0.25">
      <c r="B859" s="184"/>
      <c r="C859" s="187"/>
      <c r="D859" s="29" t="s">
        <v>3</v>
      </c>
      <c r="E859" s="30">
        <v>2</v>
      </c>
      <c r="F859" s="30">
        <v>44</v>
      </c>
      <c r="G859" s="29" t="s">
        <v>66</v>
      </c>
      <c r="H859" s="29"/>
      <c r="I859" s="49"/>
      <c r="L859" s="184"/>
      <c r="M859" s="187"/>
      <c r="N859" s="29" t="s">
        <v>3</v>
      </c>
      <c r="O859" s="30">
        <v>2</v>
      </c>
      <c r="P859" s="30">
        <v>44</v>
      </c>
      <c r="Q859" s="29" t="s">
        <v>66</v>
      </c>
      <c r="R859" s="29"/>
      <c r="S859" s="49"/>
    </row>
    <row r="860" spans="2:19" x14ac:dyDescent="0.25">
      <c r="B860" s="184"/>
      <c r="C860" s="187"/>
      <c r="D860" s="29" t="s">
        <v>80</v>
      </c>
      <c r="E860" s="30">
        <v>3</v>
      </c>
      <c r="F860" s="30">
        <v>45</v>
      </c>
      <c r="G860" s="29" t="s">
        <v>66</v>
      </c>
      <c r="H860" s="29"/>
      <c r="I860" s="49"/>
      <c r="L860" s="184"/>
      <c r="M860" s="187"/>
      <c r="N860" s="29" t="s">
        <v>80</v>
      </c>
      <c r="O860" s="30">
        <v>3</v>
      </c>
      <c r="P860" s="30">
        <v>45</v>
      </c>
      <c r="Q860" s="29" t="s">
        <v>66</v>
      </c>
      <c r="R860" s="29"/>
      <c r="S860" s="49"/>
    </row>
    <row r="861" spans="2:19" x14ac:dyDescent="0.25">
      <c r="B861" s="184"/>
      <c r="C861" s="187"/>
      <c r="D861" s="29" t="s">
        <v>81</v>
      </c>
      <c r="E861" s="30">
        <v>4</v>
      </c>
      <c r="F861" s="30">
        <v>46</v>
      </c>
      <c r="G861" s="29" t="s">
        <v>66</v>
      </c>
      <c r="H861" s="29"/>
      <c r="I861" s="49"/>
      <c r="L861" s="184"/>
      <c r="M861" s="187"/>
      <c r="N861" s="29" t="s">
        <v>81</v>
      </c>
      <c r="O861" s="30">
        <v>4</v>
      </c>
      <c r="P861" s="30">
        <v>46</v>
      </c>
      <c r="Q861" s="29" t="s">
        <v>66</v>
      </c>
      <c r="R861" s="29"/>
      <c r="S861" s="49"/>
    </row>
    <row r="862" spans="2:19" x14ac:dyDescent="0.25">
      <c r="B862" s="184"/>
      <c r="C862" s="187"/>
      <c r="D862" s="29" t="s">
        <v>82</v>
      </c>
      <c r="E862" s="30">
        <v>5</v>
      </c>
      <c r="F862" s="30">
        <v>47</v>
      </c>
      <c r="G862" s="29" t="s">
        <v>66</v>
      </c>
      <c r="H862" s="29"/>
      <c r="I862" s="49"/>
      <c r="L862" s="184"/>
      <c r="M862" s="187"/>
      <c r="N862" s="29" t="s">
        <v>82</v>
      </c>
      <c r="O862" s="30">
        <v>5</v>
      </c>
      <c r="P862" s="30">
        <v>47</v>
      </c>
      <c r="Q862" s="29" t="s">
        <v>66</v>
      </c>
      <c r="R862" s="29"/>
      <c r="S862" s="49"/>
    </row>
    <row r="863" spans="2:19" ht="15.75" thickBot="1" x14ac:dyDescent="0.3">
      <c r="B863" s="185"/>
      <c r="C863" s="188"/>
      <c r="D863" s="29" t="s">
        <v>83</v>
      </c>
      <c r="E863" s="30">
        <v>6</v>
      </c>
      <c r="F863" s="30">
        <v>48</v>
      </c>
      <c r="G863" s="29" t="s">
        <v>66</v>
      </c>
      <c r="H863" s="29"/>
      <c r="I863" s="49"/>
      <c r="L863" s="185"/>
      <c r="M863" s="188"/>
      <c r="N863" s="29" t="s">
        <v>83</v>
      </c>
      <c r="O863" s="30">
        <v>6</v>
      </c>
      <c r="P863" s="30">
        <v>48</v>
      </c>
      <c r="Q863" s="29" t="s">
        <v>66</v>
      </c>
      <c r="R863" s="29"/>
      <c r="S863" s="49"/>
    </row>
    <row r="864" spans="2:19" ht="15.75" thickBot="1" x14ac:dyDescent="0.3"/>
    <row r="865" spans="2:19" ht="15.75" thickBot="1" x14ac:dyDescent="0.3">
      <c r="B865" s="171" t="s">
        <v>376</v>
      </c>
      <c r="C865" s="172"/>
      <c r="D865" s="172"/>
      <c r="E865" s="172"/>
      <c r="F865" s="172"/>
      <c r="G865" s="172"/>
      <c r="H865" s="172"/>
      <c r="I865" s="173"/>
      <c r="L865" s="171" t="s">
        <v>377</v>
      </c>
      <c r="M865" s="172"/>
      <c r="N865" s="172"/>
      <c r="O865" s="172"/>
      <c r="P865" s="172"/>
      <c r="Q865" s="172"/>
      <c r="R865" s="172"/>
      <c r="S865" s="173"/>
    </row>
    <row r="867" spans="2:19" ht="26.25" thickBot="1" x14ac:dyDescent="0.3">
      <c r="B867" s="15" t="s">
        <v>70</v>
      </c>
      <c r="C867" s="16" t="s">
        <v>71</v>
      </c>
      <c r="D867" s="15" t="s">
        <v>72</v>
      </c>
      <c r="E867" s="17" t="s">
        <v>73</v>
      </c>
      <c r="F867" s="17" t="s">
        <v>74</v>
      </c>
      <c r="G867" s="15" t="s">
        <v>75</v>
      </c>
      <c r="H867" s="15" t="s">
        <v>55</v>
      </c>
      <c r="I867" s="15" t="s">
        <v>76</v>
      </c>
      <c r="L867" s="15" t="s">
        <v>70</v>
      </c>
      <c r="M867" s="16" t="s">
        <v>71</v>
      </c>
      <c r="N867" s="15" t="s">
        <v>72</v>
      </c>
      <c r="O867" s="17" t="s">
        <v>73</v>
      </c>
      <c r="P867" s="17" t="s">
        <v>74</v>
      </c>
      <c r="Q867" s="15" t="s">
        <v>75</v>
      </c>
      <c r="R867" s="15" t="s">
        <v>55</v>
      </c>
      <c r="S867" s="15" t="s">
        <v>76</v>
      </c>
    </row>
    <row r="868" spans="2:19" x14ac:dyDescent="0.25">
      <c r="B868" s="174" t="s">
        <v>2</v>
      </c>
      <c r="C868" s="168" t="s">
        <v>77</v>
      </c>
      <c r="D868" s="18" t="s">
        <v>2</v>
      </c>
      <c r="E868" s="19">
        <v>1</v>
      </c>
      <c r="F868" s="19">
        <v>1</v>
      </c>
      <c r="G868" s="18" t="s">
        <v>66</v>
      </c>
      <c r="H868" s="32"/>
      <c r="I868" s="50"/>
      <c r="L868" s="174" t="s">
        <v>2</v>
      </c>
      <c r="M868" s="168" t="s">
        <v>77</v>
      </c>
      <c r="N868" s="18" t="s">
        <v>2</v>
      </c>
      <c r="O868" s="19">
        <v>1</v>
      </c>
      <c r="P868" s="19">
        <v>1</v>
      </c>
      <c r="Q868" s="18" t="s">
        <v>66</v>
      </c>
      <c r="R868" s="32"/>
      <c r="S868" s="33"/>
    </row>
    <row r="869" spans="2:19" x14ac:dyDescent="0.25">
      <c r="B869" s="175"/>
      <c r="C869" s="169"/>
      <c r="D869" s="18" t="s">
        <v>3</v>
      </c>
      <c r="E869" s="19">
        <v>2</v>
      </c>
      <c r="F869" s="19">
        <v>2</v>
      </c>
      <c r="G869" s="18" t="s">
        <v>66</v>
      </c>
      <c r="H869" s="32"/>
      <c r="I869" s="50"/>
      <c r="L869" s="175"/>
      <c r="M869" s="169"/>
      <c r="N869" s="18" t="s">
        <v>3</v>
      </c>
      <c r="O869" s="19">
        <v>2</v>
      </c>
      <c r="P869" s="19">
        <v>2</v>
      </c>
      <c r="Q869" s="18" t="s">
        <v>66</v>
      </c>
      <c r="R869" s="32"/>
      <c r="S869" s="33"/>
    </row>
    <row r="870" spans="2:19" x14ac:dyDescent="0.25">
      <c r="B870" s="175"/>
      <c r="C870" s="169"/>
      <c r="D870" s="18" t="s">
        <v>80</v>
      </c>
      <c r="E870" s="20">
        <v>3</v>
      </c>
      <c r="F870" s="20">
        <v>3</v>
      </c>
      <c r="G870" s="18" t="s">
        <v>66</v>
      </c>
      <c r="H870" s="32"/>
      <c r="I870" s="50"/>
      <c r="L870" s="175"/>
      <c r="M870" s="169"/>
      <c r="N870" s="18" t="s">
        <v>80</v>
      </c>
      <c r="O870" s="20">
        <v>3</v>
      </c>
      <c r="P870" s="20">
        <v>3</v>
      </c>
      <c r="Q870" s="18" t="s">
        <v>66</v>
      </c>
      <c r="R870" s="32"/>
      <c r="S870" s="33"/>
    </row>
    <row r="871" spans="2:19" x14ac:dyDescent="0.25">
      <c r="B871" s="175"/>
      <c r="C871" s="169"/>
      <c r="D871" s="18" t="s">
        <v>81</v>
      </c>
      <c r="E871" s="20">
        <v>4</v>
      </c>
      <c r="F871" s="20">
        <v>4</v>
      </c>
      <c r="G871" s="18" t="s">
        <v>66</v>
      </c>
      <c r="H871" s="32"/>
      <c r="I871" s="50"/>
      <c r="L871" s="175"/>
      <c r="M871" s="169"/>
      <c r="N871" s="18" t="s">
        <v>81</v>
      </c>
      <c r="O871" s="20">
        <v>4</v>
      </c>
      <c r="P871" s="20">
        <v>4</v>
      </c>
      <c r="Q871" s="18" t="s">
        <v>66</v>
      </c>
      <c r="R871" s="32"/>
      <c r="S871" s="33"/>
    </row>
    <row r="872" spans="2:19" x14ac:dyDescent="0.25">
      <c r="B872" s="175"/>
      <c r="C872" s="169"/>
      <c r="D872" s="18" t="s">
        <v>82</v>
      </c>
      <c r="E872" s="20">
        <v>5</v>
      </c>
      <c r="F872" s="20">
        <v>5</v>
      </c>
      <c r="G872" s="18" t="s">
        <v>66</v>
      </c>
      <c r="H872" s="32"/>
      <c r="I872" s="50"/>
      <c r="L872" s="175"/>
      <c r="M872" s="169"/>
      <c r="N872" s="18" t="s">
        <v>82</v>
      </c>
      <c r="O872" s="20">
        <v>5</v>
      </c>
      <c r="P872" s="20">
        <v>5</v>
      </c>
      <c r="Q872" s="18" t="s">
        <v>66</v>
      </c>
      <c r="R872" s="32"/>
      <c r="S872" s="33"/>
    </row>
    <row r="873" spans="2:19" ht="15.75" thickBot="1" x14ac:dyDescent="0.3">
      <c r="B873" s="175"/>
      <c r="C873" s="170"/>
      <c r="D873" s="18" t="s">
        <v>83</v>
      </c>
      <c r="E873" s="20">
        <v>6</v>
      </c>
      <c r="F873" s="20">
        <v>6</v>
      </c>
      <c r="G873" s="18" t="s">
        <v>66</v>
      </c>
      <c r="H873" s="32"/>
      <c r="I873" s="50"/>
      <c r="L873" s="175"/>
      <c r="M873" s="170"/>
      <c r="N873" s="18" t="s">
        <v>83</v>
      </c>
      <c r="O873" s="20">
        <v>6</v>
      </c>
      <c r="P873" s="20">
        <v>6</v>
      </c>
      <c r="Q873" s="18" t="s">
        <v>66</v>
      </c>
      <c r="R873" s="32"/>
      <c r="S873" s="33"/>
    </row>
    <row r="874" spans="2:19" x14ac:dyDescent="0.25">
      <c r="B874" s="175"/>
      <c r="C874" s="168" t="s">
        <v>84</v>
      </c>
      <c r="D874" s="18" t="s">
        <v>2</v>
      </c>
      <c r="E874" s="19">
        <v>1</v>
      </c>
      <c r="F874" s="19">
        <v>7</v>
      </c>
      <c r="G874" s="18" t="s">
        <v>78</v>
      </c>
      <c r="H874" s="156" t="s">
        <v>130</v>
      </c>
      <c r="I874" s="165" t="s">
        <v>207</v>
      </c>
      <c r="L874" s="175"/>
      <c r="M874" s="168" t="s">
        <v>84</v>
      </c>
      <c r="N874" s="18" t="s">
        <v>2</v>
      </c>
      <c r="O874" s="19">
        <v>1</v>
      </c>
      <c r="P874" s="19">
        <v>7</v>
      </c>
      <c r="Q874" s="18" t="s">
        <v>78</v>
      </c>
      <c r="R874" s="156" t="s">
        <v>130</v>
      </c>
      <c r="S874" s="195" t="s">
        <v>209</v>
      </c>
    </row>
    <row r="875" spans="2:19" x14ac:dyDescent="0.25">
      <c r="B875" s="175"/>
      <c r="C875" s="169"/>
      <c r="D875" s="18" t="s">
        <v>3</v>
      </c>
      <c r="E875" s="19">
        <v>2</v>
      </c>
      <c r="F875" s="19">
        <v>8</v>
      </c>
      <c r="G875" s="18" t="s">
        <v>78</v>
      </c>
      <c r="H875" s="157"/>
      <c r="I875" s="166"/>
      <c r="L875" s="175"/>
      <c r="M875" s="169"/>
      <c r="N875" s="18" t="s">
        <v>3</v>
      </c>
      <c r="O875" s="19">
        <v>2</v>
      </c>
      <c r="P875" s="19">
        <v>8</v>
      </c>
      <c r="Q875" s="18" t="s">
        <v>78</v>
      </c>
      <c r="R875" s="157"/>
      <c r="S875" s="196"/>
    </row>
    <row r="876" spans="2:19" x14ac:dyDescent="0.25">
      <c r="B876" s="175"/>
      <c r="C876" s="169"/>
      <c r="D876" s="18" t="s">
        <v>80</v>
      </c>
      <c r="E876" s="20">
        <v>3</v>
      </c>
      <c r="F876" s="20">
        <v>9</v>
      </c>
      <c r="G876" s="18" t="s">
        <v>66</v>
      </c>
      <c r="H876" s="157"/>
      <c r="I876" s="166"/>
      <c r="L876" s="175"/>
      <c r="M876" s="169"/>
      <c r="N876" s="18" t="s">
        <v>80</v>
      </c>
      <c r="O876" s="20">
        <v>3</v>
      </c>
      <c r="P876" s="20">
        <v>9</v>
      </c>
      <c r="Q876" s="18" t="s">
        <v>66</v>
      </c>
      <c r="R876" s="157"/>
      <c r="S876" s="196"/>
    </row>
    <row r="877" spans="2:19" x14ac:dyDescent="0.25">
      <c r="B877" s="175"/>
      <c r="C877" s="169"/>
      <c r="D877" s="18" t="s">
        <v>81</v>
      </c>
      <c r="E877" s="20">
        <v>4</v>
      </c>
      <c r="F877" s="20">
        <v>10</v>
      </c>
      <c r="G877" s="18" t="s">
        <v>66</v>
      </c>
      <c r="H877" s="157"/>
      <c r="I877" s="166"/>
      <c r="L877" s="175"/>
      <c r="M877" s="169"/>
      <c r="N877" s="18" t="s">
        <v>81</v>
      </c>
      <c r="O877" s="20">
        <v>4</v>
      </c>
      <c r="P877" s="20">
        <v>10</v>
      </c>
      <c r="Q877" s="18" t="s">
        <v>66</v>
      </c>
      <c r="R877" s="157"/>
      <c r="S877" s="196"/>
    </row>
    <row r="878" spans="2:19" x14ac:dyDescent="0.25">
      <c r="B878" s="175"/>
      <c r="C878" s="169"/>
      <c r="D878" s="18" t="s">
        <v>82</v>
      </c>
      <c r="E878" s="20">
        <v>5</v>
      </c>
      <c r="F878" s="20">
        <v>11</v>
      </c>
      <c r="G878" s="18" t="s">
        <v>66</v>
      </c>
      <c r="H878" s="157"/>
      <c r="I878" s="166"/>
      <c r="L878" s="175"/>
      <c r="M878" s="169"/>
      <c r="N878" s="18" t="s">
        <v>82</v>
      </c>
      <c r="O878" s="20">
        <v>5</v>
      </c>
      <c r="P878" s="20">
        <v>11</v>
      </c>
      <c r="Q878" s="18" t="s">
        <v>66</v>
      </c>
      <c r="R878" s="157"/>
      <c r="S878" s="196"/>
    </row>
    <row r="879" spans="2:19" ht="15.75" thickBot="1" x14ac:dyDescent="0.3">
      <c r="B879" s="176"/>
      <c r="C879" s="170"/>
      <c r="D879" s="18" t="s">
        <v>83</v>
      </c>
      <c r="E879" s="20">
        <v>6</v>
      </c>
      <c r="F879" s="20">
        <v>12</v>
      </c>
      <c r="G879" s="18" t="s">
        <v>66</v>
      </c>
      <c r="H879" s="158"/>
      <c r="I879" s="167"/>
      <c r="L879" s="176"/>
      <c r="M879" s="170"/>
      <c r="N879" s="18" t="s">
        <v>83</v>
      </c>
      <c r="O879" s="20">
        <v>6</v>
      </c>
      <c r="P879" s="20">
        <v>12</v>
      </c>
      <c r="Q879" s="18" t="s">
        <v>66</v>
      </c>
      <c r="R879" s="158"/>
      <c r="S879" s="197"/>
    </row>
    <row r="880" spans="2:19" x14ac:dyDescent="0.25">
      <c r="B880" s="180" t="s">
        <v>3</v>
      </c>
      <c r="C880" s="177" t="s">
        <v>77</v>
      </c>
      <c r="D880" s="21" t="s">
        <v>2</v>
      </c>
      <c r="E880" s="22">
        <v>1</v>
      </c>
      <c r="F880" s="22">
        <v>13</v>
      </c>
      <c r="G880" s="21" t="s">
        <v>66</v>
      </c>
      <c r="H880" s="21"/>
      <c r="I880" s="51"/>
      <c r="L880" s="180" t="s">
        <v>3</v>
      </c>
      <c r="M880" s="177" t="s">
        <v>77</v>
      </c>
      <c r="N880" s="21" t="s">
        <v>2</v>
      </c>
      <c r="O880" s="22">
        <v>1</v>
      </c>
      <c r="P880" s="22">
        <v>13</v>
      </c>
      <c r="Q880" s="21" t="s">
        <v>66</v>
      </c>
      <c r="R880" s="21"/>
      <c r="S880" s="34"/>
    </row>
    <row r="881" spans="2:19" x14ac:dyDescent="0.25">
      <c r="B881" s="181"/>
      <c r="C881" s="178"/>
      <c r="D881" s="23" t="s">
        <v>3</v>
      </c>
      <c r="E881" s="24">
        <v>2</v>
      </c>
      <c r="F881" s="24">
        <v>14</v>
      </c>
      <c r="G881" s="23" t="s">
        <v>66</v>
      </c>
      <c r="H881" s="23"/>
      <c r="I881" s="47"/>
      <c r="L881" s="181"/>
      <c r="M881" s="178"/>
      <c r="N881" s="23" t="s">
        <v>3</v>
      </c>
      <c r="O881" s="24">
        <v>2</v>
      </c>
      <c r="P881" s="24">
        <v>14</v>
      </c>
      <c r="Q881" s="23" t="s">
        <v>66</v>
      </c>
      <c r="R881" s="23"/>
      <c r="S881" s="25"/>
    </row>
    <row r="882" spans="2:19" x14ac:dyDescent="0.25">
      <c r="B882" s="181"/>
      <c r="C882" s="178"/>
      <c r="D882" s="23" t="s">
        <v>80</v>
      </c>
      <c r="E882" s="24">
        <v>3</v>
      </c>
      <c r="F882" s="24">
        <v>15</v>
      </c>
      <c r="G882" s="23" t="s">
        <v>66</v>
      </c>
      <c r="H882" s="23"/>
      <c r="I882" s="47"/>
      <c r="L882" s="181"/>
      <c r="M882" s="178"/>
      <c r="N882" s="23" t="s">
        <v>80</v>
      </c>
      <c r="O882" s="24">
        <v>3</v>
      </c>
      <c r="P882" s="24">
        <v>15</v>
      </c>
      <c r="Q882" s="23" t="s">
        <v>66</v>
      </c>
      <c r="R882" s="23"/>
      <c r="S882" s="25"/>
    </row>
    <row r="883" spans="2:19" x14ac:dyDescent="0.25">
      <c r="B883" s="181"/>
      <c r="C883" s="178"/>
      <c r="D883" s="23" t="s">
        <v>81</v>
      </c>
      <c r="E883" s="24">
        <v>4</v>
      </c>
      <c r="F883" s="24">
        <v>16</v>
      </c>
      <c r="G883" s="23" t="s">
        <v>66</v>
      </c>
      <c r="H883" s="23"/>
      <c r="I883" s="47"/>
      <c r="L883" s="181"/>
      <c r="M883" s="178"/>
      <c r="N883" s="23" t="s">
        <v>81</v>
      </c>
      <c r="O883" s="24">
        <v>4</v>
      </c>
      <c r="P883" s="24">
        <v>16</v>
      </c>
      <c r="Q883" s="23" t="s">
        <v>66</v>
      </c>
      <c r="R883" s="23"/>
      <c r="S883" s="25"/>
    </row>
    <row r="884" spans="2:19" x14ac:dyDescent="0.25">
      <c r="B884" s="181"/>
      <c r="C884" s="178"/>
      <c r="D884" s="23" t="s">
        <v>82</v>
      </c>
      <c r="E884" s="24">
        <v>5</v>
      </c>
      <c r="F884" s="24">
        <v>17</v>
      </c>
      <c r="G884" s="23" t="s">
        <v>66</v>
      </c>
      <c r="H884" s="23"/>
      <c r="I884" s="47"/>
      <c r="L884" s="181"/>
      <c r="M884" s="178"/>
      <c r="N884" s="23" t="s">
        <v>82</v>
      </c>
      <c r="O884" s="24">
        <v>5</v>
      </c>
      <c r="P884" s="24">
        <v>17</v>
      </c>
      <c r="Q884" s="23" t="s">
        <v>66</v>
      </c>
      <c r="R884" s="23"/>
      <c r="S884" s="25"/>
    </row>
    <row r="885" spans="2:19" ht="15.75" thickBot="1" x14ac:dyDescent="0.3">
      <c r="B885" s="181"/>
      <c r="C885" s="179"/>
      <c r="D885" s="23" t="s">
        <v>83</v>
      </c>
      <c r="E885" s="24">
        <v>6</v>
      </c>
      <c r="F885" s="24">
        <v>18</v>
      </c>
      <c r="G885" s="23" t="s">
        <v>66</v>
      </c>
      <c r="H885" s="23"/>
      <c r="I885" s="47"/>
      <c r="L885" s="181"/>
      <c r="M885" s="179"/>
      <c r="N885" s="23" t="s">
        <v>83</v>
      </c>
      <c r="O885" s="24">
        <v>6</v>
      </c>
      <c r="P885" s="24">
        <v>18</v>
      </c>
      <c r="Q885" s="23" t="s">
        <v>66</v>
      </c>
      <c r="R885" s="23"/>
      <c r="S885" s="25"/>
    </row>
    <row r="886" spans="2:19" x14ac:dyDescent="0.25">
      <c r="B886" s="181"/>
      <c r="C886" s="177" t="s">
        <v>84</v>
      </c>
      <c r="D886" s="23" t="s">
        <v>2</v>
      </c>
      <c r="E886" s="24">
        <v>1</v>
      </c>
      <c r="F886" s="24">
        <v>19</v>
      </c>
      <c r="G886" s="23" t="s">
        <v>66</v>
      </c>
      <c r="H886" s="23"/>
      <c r="I886" s="47"/>
      <c r="L886" s="181"/>
      <c r="M886" s="177" t="s">
        <v>84</v>
      </c>
      <c r="N886" s="23" t="s">
        <v>2</v>
      </c>
      <c r="O886" s="24">
        <v>1</v>
      </c>
      <c r="P886" s="24">
        <v>19</v>
      </c>
      <c r="Q886" s="23" t="s">
        <v>66</v>
      </c>
      <c r="R886" s="23"/>
      <c r="S886" s="47"/>
    </row>
    <row r="887" spans="2:19" x14ac:dyDescent="0.25">
      <c r="B887" s="181"/>
      <c r="C887" s="178"/>
      <c r="D887" s="23" t="s">
        <v>3</v>
      </c>
      <c r="E887" s="24">
        <v>2</v>
      </c>
      <c r="F887" s="24">
        <v>20</v>
      </c>
      <c r="G887" s="23" t="s">
        <v>66</v>
      </c>
      <c r="H887" s="23"/>
      <c r="I887" s="47"/>
      <c r="L887" s="181"/>
      <c r="M887" s="178"/>
      <c r="N887" s="23" t="s">
        <v>3</v>
      </c>
      <c r="O887" s="24">
        <v>2</v>
      </c>
      <c r="P887" s="24">
        <v>20</v>
      </c>
      <c r="Q887" s="23" t="s">
        <v>66</v>
      </c>
      <c r="R887" s="23"/>
      <c r="S887" s="47"/>
    </row>
    <row r="888" spans="2:19" x14ac:dyDescent="0.25">
      <c r="B888" s="181"/>
      <c r="C888" s="178"/>
      <c r="D888" s="23" t="s">
        <v>80</v>
      </c>
      <c r="E888" s="26">
        <v>3</v>
      </c>
      <c r="F888" s="24">
        <v>21</v>
      </c>
      <c r="G888" s="23" t="s">
        <v>66</v>
      </c>
      <c r="H888" s="23"/>
      <c r="I888" s="47"/>
      <c r="L888" s="181"/>
      <c r="M888" s="178"/>
      <c r="N888" s="23" t="s">
        <v>80</v>
      </c>
      <c r="O888" s="26">
        <v>3</v>
      </c>
      <c r="P888" s="24">
        <v>21</v>
      </c>
      <c r="Q888" s="23" t="s">
        <v>66</v>
      </c>
      <c r="R888" s="23"/>
      <c r="S888" s="47"/>
    </row>
    <row r="889" spans="2:19" x14ac:dyDescent="0.25">
      <c r="B889" s="181"/>
      <c r="C889" s="178"/>
      <c r="D889" s="23" t="s">
        <v>81</v>
      </c>
      <c r="E889" s="24">
        <v>4</v>
      </c>
      <c r="F889" s="24">
        <v>22</v>
      </c>
      <c r="G889" s="23" t="s">
        <v>66</v>
      </c>
      <c r="H889" s="23"/>
      <c r="I889" s="47"/>
      <c r="L889" s="181"/>
      <c r="M889" s="178"/>
      <c r="N889" s="23" t="s">
        <v>81</v>
      </c>
      <c r="O889" s="24">
        <v>4</v>
      </c>
      <c r="P889" s="24">
        <v>22</v>
      </c>
      <c r="Q889" s="23" t="s">
        <v>66</v>
      </c>
      <c r="R889" s="23"/>
      <c r="S889" s="47"/>
    </row>
    <row r="890" spans="2:19" x14ac:dyDescent="0.25">
      <c r="B890" s="181"/>
      <c r="C890" s="178"/>
      <c r="D890" s="23" t="s">
        <v>82</v>
      </c>
      <c r="E890" s="24">
        <v>5</v>
      </c>
      <c r="F890" s="24">
        <v>23</v>
      </c>
      <c r="G890" s="23" t="s">
        <v>66</v>
      </c>
      <c r="H890" s="23"/>
      <c r="I890" s="47"/>
      <c r="L890" s="181"/>
      <c r="M890" s="178"/>
      <c r="N890" s="23" t="s">
        <v>82</v>
      </c>
      <c r="O890" s="24">
        <v>5</v>
      </c>
      <c r="P890" s="24">
        <v>23</v>
      </c>
      <c r="Q890" s="23" t="s">
        <v>66</v>
      </c>
      <c r="R890" s="23"/>
      <c r="S890" s="47"/>
    </row>
    <row r="891" spans="2:19" ht="15.75" thickBot="1" x14ac:dyDescent="0.3">
      <c r="B891" s="182"/>
      <c r="C891" s="179"/>
      <c r="D891" s="23" t="s">
        <v>83</v>
      </c>
      <c r="E891" s="24">
        <v>6</v>
      </c>
      <c r="F891" s="24">
        <v>24</v>
      </c>
      <c r="G891" s="23" t="s">
        <v>66</v>
      </c>
      <c r="H891" s="23"/>
      <c r="I891" s="47"/>
      <c r="L891" s="182"/>
      <c r="M891" s="179"/>
      <c r="N891" s="23" t="s">
        <v>83</v>
      </c>
      <c r="O891" s="24">
        <v>6</v>
      </c>
      <c r="P891" s="24">
        <v>24</v>
      </c>
      <c r="Q891" s="23" t="s">
        <v>66</v>
      </c>
      <c r="R891" s="23"/>
      <c r="S891" s="47"/>
    </row>
    <row r="892" spans="2:19" x14ac:dyDescent="0.25">
      <c r="B892" s="189" t="s">
        <v>80</v>
      </c>
      <c r="C892" s="192" t="s">
        <v>77</v>
      </c>
      <c r="D892" s="27" t="s">
        <v>2</v>
      </c>
      <c r="E892" s="28">
        <v>1</v>
      </c>
      <c r="F892" s="28">
        <v>25</v>
      </c>
      <c r="G892" s="27" t="s">
        <v>66</v>
      </c>
      <c r="H892" s="27"/>
      <c r="I892" s="48"/>
      <c r="L892" s="189" t="s">
        <v>80</v>
      </c>
      <c r="M892" s="192" t="s">
        <v>77</v>
      </c>
      <c r="N892" s="27" t="s">
        <v>2</v>
      </c>
      <c r="O892" s="28">
        <v>1</v>
      </c>
      <c r="P892" s="28">
        <v>25</v>
      </c>
      <c r="Q892" s="27" t="s">
        <v>66</v>
      </c>
      <c r="R892" s="27"/>
      <c r="S892" s="48"/>
    </row>
    <row r="893" spans="2:19" x14ac:dyDescent="0.25">
      <c r="B893" s="190"/>
      <c r="C893" s="193"/>
      <c r="D893" s="27" t="s">
        <v>3</v>
      </c>
      <c r="E893" s="28">
        <v>2</v>
      </c>
      <c r="F893" s="28">
        <v>26</v>
      </c>
      <c r="G893" s="27" t="s">
        <v>66</v>
      </c>
      <c r="H893" s="27"/>
      <c r="I893" s="48"/>
      <c r="L893" s="190"/>
      <c r="M893" s="193"/>
      <c r="N893" s="27" t="s">
        <v>3</v>
      </c>
      <c r="O893" s="28">
        <v>2</v>
      </c>
      <c r="P893" s="28">
        <v>26</v>
      </c>
      <c r="Q893" s="27" t="s">
        <v>66</v>
      </c>
      <c r="R893" s="27"/>
      <c r="S893" s="48"/>
    </row>
    <row r="894" spans="2:19" x14ac:dyDescent="0.25">
      <c r="B894" s="190"/>
      <c r="C894" s="193"/>
      <c r="D894" s="27" t="s">
        <v>80</v>
      </c>
      <c r="E894" s="28">
        <v>3</v>
      </c>
      <c r="F894" s="28">
        <v>27</v>
      </c>
      <c r="G894" s="27" t="s">
        <v>66</v>
      </c>
      <c r="H894" s="27"/>
      <c r="I894" s="48"/>
      <c r="L894" s="190"/>
      <c r="M894" s="193"/>
      <c r="N894" s="27" t="s">
        <v>80</v>
      </c>
      <c r="O894" s="28">
        <v>3</v>
      </c>
      <c r="P894" s="28">
        <v>27</v>
      </c>
      <c r="Q894" s="27" t="s">
        <v>66</v>
      </c>
      <c r="R894" s="27"/>
      <c r="S894" s="48"/>
    </row>
    <row r="895" spans="2:19" x14ac:dyDescent="0.25">
      <c r="B895" s="190"/>
      <c r="C895" s="193"/>
      <c r="D895" s="27" t="s">
        <v>81</v>
      </c>
      <c r="E895" s="28">
        <v>4</v>
      </c>
      <c r="F895" s="28">
        <v>28</v>
      </c>
      <c r="G895" s="27" t="s">
        <v>66</v>
      </c>
      <c r="H895" s="27"/>
      <c r="I895" s="48"/>
      <c r="L895" s="190"/>
      <c r="M895" s="193"/>
      <c r="N895" s="27" t="s">
        <v>81</v>
      </c>
      <c r="O895" s="28">
        <v>4</v>
      </c>
      <c r="P895" s="28">
        <v>28</v>
      </c>
      <c r="Q895" s="27" t="s">
        <v>66</v>
      </c>
      <c r="R895" s="27"/>
      <c r="S895" s="48"/>
    </row>
    <row r="896" spans="2:19" x14ac:dyDescent="0.25">
      <c r="B896" s="190"/>
      <c r="C896" s="193"/>
      <c r="D896" s="27" t="s">
        <v>82</v>
      </c>
      <c r="E896" s="28">
        <v>5</v>
      </c>
      <c r="F896" s="28">
        <v>29</v>
      </c>
      <c r="G896" s="27" t="s">
        <v>66</v>
      </c>
      <c r="H896" s="27"/>
      <c r="I896" s="48"/>
      <c r="L896" s="190"/>
      <c r="M896" s="193"/>
      <c r="N896" s="27" t="s">
        <v>82</v>
      </c>
      <c r="O896" s="28">
        <v>5</v>
      </c>
      <c r="P896" s="28">
        <v>29</v>
      </c>
      <c r="Q896" s="27" t="s">
        <v>66</v>
      </c>
      <c r="R896" s="27"/>
      <c r="S896" s="48"/>
    </row>
    <row r="897" spans="2:19" ht="15.75" thickBot="1" x14ac:dyDescent="0.3">
      <c r="B897" s="190"/>
      <c r="C897" s="194"/>
      <c r="D897" s="27" t="s">
        <v>83</v>
      </c>
      <c r="E897" s="28">
        <v>6</v>
      </c>
      <c r="F897" s="28">
        <v>30</v>
      </c>
      <c r="G897" s="27" t="s">
        <v>66</v>
      </c>
      <c r="H897" s="27"/>
      <c r="I897" s="48"/>
      <c r="L897" s="190"/>
      <c r="M897" s="194"/>
      <c r="N897" s="27" t="s">
        <v>83</v>
      </c>
      <c r="O897" s="28">
        <v>6</v>
      </c>
      <c r="P897" s="28">
        <v>30</v>
      </c>
      <c r="Q897" s="27" t="s">
        <v>66</v>
      </c>
      <c r="R897" s="27"/>
      <c r="S897" s="48"/>
    </row>
    <row r="898" spans="2:19" x14ac:dyDescent="0.25">
      <c r="B898" s="190"/>
      <c r="C898" s="192" t="s">
        <v>84</v>
      </c>
      <c r="D898" s="27" t="s">
        <v>2</v>
      </c>
      <c r="E898" s="28">
        <v>1</v>
      </c>
      <c r="F898" s="28">
        <v>31</v>
      </c>
      <c r="G898" s="27" t="s">
        <v>66</v>
      </c>
      <c r="H898" s="27"/>
      <c r="I898" s="48"/>
      <c r="L898" s="190"/>
      <c r="M898" s="192" t="s">
        <v>84</v>
      </c>
      <c r="N898" s="27" t="s">
        <v>2</v>
      </c>
      <c r="O898" s="28">
        <v>1</v>
      </c>
      <c r="P898" s="28">
        <v>31</v>
      </c>
      <c r="Q898" s="27" t="s">
        <v>66</v>
      </c>
      <c r="R898" s="27"/>
      <c r="S898" s="48"/>
    </row>
    <row r="899" spans="2:19" x14ac:dyDescent="0.25">
      <c r="B899" s="190"/>
      <c r="C899" s="193"/>
      <c r="D899" s="27" t="s">
        <v>3</v>
      </c>
      <c r="E899" s="28">
        <v>2</v>
      </c>
      <c r="F899" s="28">
        <v>32</v>
      </c>
      <c r="G899" s="27" t="s">
        <v>66</v>
      </c>
      <c r="H899" s="27"/>
      <c r="I899" s="48"/>
      <c r="L899" s="190"/>
      <c r="M899" s="193"/>
      <c r="N899" s="27" t="s">
        <v>3</v>
      </c>
      <c r="O899" s="28">
        <v>2</v>
      </c>
      <c r="P899" s="28">
        <v>32</v>
      </c>
      <c r="Q899" s="27" t="s">
        <v>66</v>
      </c>
      <c r="R899" s="27"/>
      <c r="S899" s="48"/>
    </row>
    <row r="900" spans="2:19" x14ac:dyDescent="0.25">
      <c r="B900" s="190"/>
      <c r="C900" s="193"/>
      <c r="D900" s="27" t="s">
        <v>80</v>
      </c>
      <c r="E900" s="28">
        <v>3</v>
      </c>
      <c r="F900" s="28">
        <v>33</v>
      </c>
      <c r="G900" s="27" t="s">
        <v>66</v>
      </c>
      <c r="H900" s="27"/>
      <c r="I900" s="48"/>
      <c r="L900" s="190"/>
      <c r="M900" s="193"/>
      <c r="N900" s="27" t="s">
        <v>80</v>
      </c>
      <c r="O900" s="28">
        <v>3</v>
      </c>
      <c r="P900" s="28">
        <v>33</v>
      </c>
      <c r="Q900" s="27" t="s">
        <v>66</v>
      </c>
      <c r="R900" s="27"/>
      <c r="S900" s="48"/>
    </row>
    <row r="901" spans="2:19" x14ac:dyDescent="0.25">
      <c r="B901" s="190"/>
      <c r="C901" s="193"/>
      <c r="D901" s="27" t="s">
        <v>81</v>
      </c>
      <c r="E901" s="28">
        <v>4</v>
      </c>
      <c r="F901" s="28">
        <v>34</v>
      </c>
      <c r="G901" s="27" t="s">
        <v>66</v>
      </c>
      <c r="H901" s="27"/>
      <c r="I901" s="48"/>
      <c r="L901" s="190"/>
      <c r="M901" s="193"/>
      <c r="N901" s="27" t="s">
        <v>81</v>
      </c>
      <c r="O901" s="28">
        <v>4</v>
      </c>
      <c r="P901" s="28">
        <v>34</v>
      </c>
      <c r="Q901" s="27" t="s">
        <v>66</v>
      </c>
      <c r="R901" s="27"/>
      <c r="S901" s="48"/>
    </row>
    <row r="902" spans="2:19" x14ac:dyDescent="0.25">
      <c r="B902" s="190"/>
      <c r="C902" s="193"/>
      <c r="D902" s="27" t="s">
        <v>82</v>
      </c>
      <c r="E902" s="28">
        <v>5</v>
      </c>
      <c r="F902" s="28">
        <v>35</v>
      </c>
      <c r="G902" s="27" t="s">
        <v>66</v>
      </c>
      <c r="H902" s="27"/>
      <c r="I902" s="48"/>
      <c r="L902" s="190"/>
      <c r="M902" s="193"/>
      <c r="N902" s="27" t="s">
        <v>82</v>
      </c>
      <c r="O902" s="28">
        <v>5</v>
      </c>
      <c r="P902" s="28">
        <v>35</v>
      </c>
      <c r="Q902" s="27" t="s">
        <v>66</v>
      </c>
      <c r="R902" s="27"/>
      <c r="S902" s="48"/>
    </row>
    <row r="903" spans="2:19" ht="15.75" thickBot="1" x14ac:dyDescent="0.3">
      <c r="B903" s="191"/>
      <c r="C903" s="194"/>
      <c r="D903" s="27" t="s">
        <v>83</v>
      </c>
      <c r="E903" s="28">
        <v>6</v>
      </c>
      <c r="F903" s="28">
        <v>36</v>
      </c>
      <c r="G903" s="27" t="s">
        <v>66</v>
      </c>
      <c r="H903" s="27"/>
      <c r="I903" s="48"/>
      <c r="L903" s="191"/>
      <c r="M903" s="194"/>
      <c r="N903" s="27" t="s">
        <v>83</v>
      </c>
      <c r="O903" s="28">
        <v>6</v>
      </c>
      <c r="P903" s="28">
        <v>36</v>
      </c>
      <c r="Q903" s="27" t="s">
        <v>66</v>
      </c>
      <c r="R903" s="27"/>
      <c r="S903" s="48"/>
    </row>
    <row r="904" spans="2:19" x14ac:dyDescent="0.25">
      <c r="B904" s="183" t="s">
        <v>81</v>
      </c>
      <c r="C904" s="186" t="s">
        <v>77</v>
      </c>
      <c r="D904" s="29" t="s">
        <v>2</v>
      </c>
      <c r="E904" s="30">
        <v>1</v>
      </c>
      <c r="F904" s="30">
        <v>37</v>
      </c>
      <c r="G904" s="29" t="s">
        <v>66</v>
      </c>
      <c r="H904" s="29"/>
      <c r="I904" s="49"/>
      <c r="L904" s="183" t="s">
        <v>81</v>
      </c>
      <c r="M904" s="186" t="s">
        <v>77</v>
      </c>
      <c r="N904" s="29" t="s">
        <v>2</v>
      </c>
      <c r="O904" s="30">
        <v>1</v>
      </c>
      <c r="P904" s="30">
        <v>37</v>
      </c>
      <c r="Q904" s="29" t="s">
        <v>66</v>
      </c>
      <c r="R904" s="29"/>
      <c r="S904" s="49"/>
    </row>
    <row r="905" spans="2:19" x14ac:dyDescent="0.25">
      <c r="B905" s="184"/>
      <c r="C905" s="187"/>
      <c r="D905" s="29" t="s">
        <v>3</v>
      </c>
      <c r="E905" s="30">
        <v>2</v>
      </c>
      <c r="F905" s="30">
        <v>38</v>
      </c>
      <c r="G905" s="29" t="s">
        <v>66</v>
      </c>
      <c r="H905" s="29"/>
      <c r="I905" s="49"/>
      <c r="L905" s="184"/>
      <c r="M905" s="187"/>
      <c r="N905" s="29" t="s">
        <v>3</v>
      </c>
      <c r="O905" s="30">
        <v>2</v>
      </c>
      <c r="P905" s="30">
        <v>38</v>
      </c>
      <c r="Q905" s="29" t="s">
        <v>66</v>
      </c>
      <c r="R905" s="29"/>
      <c r="S905" s="49"/>
    </row>
    <row r="906" spans="2:19" x14ac:dyDescent="0.25">
      <c r="B906" s="184"/>
      <c r="C906" s="187"/>
      <c r="D906" s="29" t="s">
        <v>80</v>
      </c>
      <c r="E906" s="30">
        <v>3</v>
      </c>
      <c r="F906" s="30">
        <v>39</v>
      </c>
      <c r="G906" s="29" t="s">
        <v>66</v>
      </c>
      <c r="H906" s="29"/>
      <c r="I906" s="49"/>
      <c r="L906" s="184"/>
      <c r="M906" s="187"/>
      <c r="N906" s="29" t="s">
        <v>80</v>
      </c>
      <c r="O906" s="30">
        <v>3</v>
      </c>
      <c r="P906" s="30">
        <v>39</v>
      </c>
      <c r="Q906" s="29" t="s">
        <v>66</v>
      </c>
      <c r="R906" s="29"/>
      <c r="S906" s="49"/>
    </row>
    <row r="907" spans="2:19" x14ac:dyDescent="0.25">
      <c r="B907" s="184"/>
      <c r="C907" s="187"/>
      <c r="D907" s="29" t="s">
        <v>81</v>
      </c>
      <c r="E907" s="30">
        <v>4</v>
      </c>
      <c r="F907" s="30">
        <v>40</v>
      </c>
      <c r="G907" s="29" t="s">
        <v>66</v>
      </c>
      <c r="H907" s="29"/>
      <c r="I907" s="49"/>
      <c r="L907" s="184"/>
      <c r="M907" s="187"/>
      <c r="N907" s="29" t="s">
        <v>81</v>
      </c>
      <c r="O907" s="30">
        <v>4</v>
      </c>
      <c r="P907" s="30">
        <v>40</v>
      </c>
      <c r="Q907" s="29" t="s">
        <v>66</v>
      </c>
      <c r="R907" s="29"/>
      <c r="S907" s="49"/>
    </row>
    <row r="908" spans="2:19" x14ac:dyDescent="0.25">
      <c r="B908" s="184"/>
      <c r="C908" s="187"/>
      <c r="D908" s="29" t="s">
        <v>82</v>
      </c>
      <c r="E908" s="30">
        <v>5</v>
      </c>
      <c r="F908" s="30">
        <v>41</v>
      </c>
      <c r="G908" s="29" t="s">
        <v>66</v>
      </c>
      <c r="H908" s="29"/>
      <c r="I908" s="49"/>
      <c r="L908" s="184"/>
      <c r="M908" s="187"/>
      <c r="N908" s="29" t="s">
        <v>82</v>
      </c>
      <c r="O908" s="30">
        <v>5</v>
      </c>
      <c r="P908" s="30">
        <v>41</v>
      </c>
      <c r="Q908" s="29" t="s">
        <v>66</v>
      </c>
      <c r="R908" s="29"/>
      <c r="S908" s="49"/>
    </row>
    <row r="909" spans="2:19" ht="15.75" thickBot="1" x14ac:dyDescent="0.3">
      <c r="B909" s="184"/>
      <c r="C909" s="188"/>
      <c r="D909" s="29" t="s">
        <v>83</v>
      </c>
      <c r="E909" s="30">
        <v>6</v>
      </c>
      <c r="F909" s="30">
        <v>42</v>
      </c>
      <c r="G909" s="29" t="s">
        <v>66</v>
      </c>
      <c r="H909" s="29"/>
      <c r="I909" s="49"/>
      <c r="L909" s="184"/>
      <c r="M909" s="188"/>
      <c r="N909" s="29" t="s">
        <v>83</v>
      </c>
      <c r="O909" s="30">
        <v>6</v>
      </c>
      <c r="P909" s="30">
        <v>42</v>
      </c>
      <c r="Q909" s="29" t="s">
        <v>66</v>
      </c>
      <c r="R909" s="29"/>
      <c r="S909" s="49"/>
    </row>
    <row r="910" spans="2:19" x14ac:dyDescent="0.25">
      <c r="B910" s="184"/>
      <c r="C910" s="186" t="s">
        <v>84</v>
      </c>
      <c r="D910" s="29" t="s">
        <v>2</v>
      </c>
      <c r="E910" s="30">
        <v>1</v>
      </c>
      <c r="F910" s="30">
        <v>43</v>
      </c>
      <c r="G910" s="29" t="s">
        <v>66</v>
      </c>
      <c r="H910" s="29"/>
      <c r="I910" s="49"/>
      <c r="L910" s="184"/>
      <c r="M910" s="186" t="s">
        <v>84</v>
      </c>
      <c r="N910" s="29" t="s">
        <v>2</v>
      </c>
      <c r="O910" s="30">
        <v>1</v>
      </c>
      <c r="P910" s="30">
        <v>43</v>
      </c>
      <c r="Q910" s="29" t="s">
        <v>66</v>
      </c>
      <c r="R910" s="29"/>
      <c r="S910" s="49"/>
    </row>
    <row r="911" spans="2:19" x14ac:dyDescent="0.25">
      <c r="B911" s="184"/>
      <c r="C911" s="187"/>
      <c r="D911" s="29" t="s">
        <v>3</v>
      </c>
      <c r="E911" s="30">
        <v>2</v>
      </c>
      <c r="F911" s="30">
        <v>44</v>
      </c>
      <c r="G911" s="29" t="s">
        <v>66</v>
      </c>
      <c r="H911" s="29"/>
      <c r="I911" s="49"/>
      <c r="L911" s="184"/>
      <c r="M911" s="187"/>
      <c r="N911" s="29" t="s">
        <v>3</v>
      </c>
      <c r="O911" s="30">
        <v>2</v>
      </c>
      <c r="P911" s="30">
        <v>44</v>
      </c>
      <c r="Q911" s="29" t="s">
        <v>66</v>
      </c>
      <c r="R911" s="29"/>
      <c r="S911" s="49"/>
    </row>
    <row r="912" spans="2:19" x14ac:dyDescent="0.25">
      <c r="B912" s="184"/>
      <c r="C912" s="187"/>
      <c r="D912" s="29" t="s">
        <v>80</v>
      </c>
      <c r="E912" s="30">
        <v>3</v>
      </c>
      <c r="F912" s="30">
        <v>45</v>
      </c>
      <c r="G912" s="29" t="s">
        <v>66</v>
      </c>
      <c r="H912" s="29"/>
      <c r="I912" s="49"/>
      <c r="L912" s="184"/>
      <c r="M912" s="187"/>
      <c r="N912" s="29" t="s">
        <v>80</v>
      </c>
      <c r="O912" s="30">
        <v>3</v>
      </c>
      <c r="P912" s="30">
        <v>45</v>
      </c>
      <c r="Q912" s="29" t="s">
        <v>66</v>
      </c>
      <c r="R912" s="29"/>
      <c r="S912" s="49"/>
    </row>
    <row r="913" spans="2:19" x14ac:dyDescent="0.25">
      <c r="B913" s="184"/>
      <c r="C913" s="187"/>
      <c r="D913" s="29" t="s">
        <v>81</v>
      </c>
      <c r="E913" s="30">
        <v>4</v>
      </c>
      <c r="F913" s="30">
        <v>46</v>
      </c>
      <c r="G913" s="29" t="s">
        <v>66</v>
      </c>
      <c r="H913" s="29"/>
      <c r="I913" s="49"/>
      <c r="L913" s="184"/>
      <c r="M913" s="187"/>
      <c r="N913" s="29" t="s">
        <v>81</v>
      </c>
      <c r="O913" s="30">
        <v>4</v>
      </c>
      <c r="P913" s="30">
        <v>46</v>
      </c>
      <c r="Q913" s="29" t="s">
        <v>66</v>
      </c>
      <c r="R913" s="29"/>
      <c r="S913" s="49"/>
    </row>
    <row r="914" spans="2:19" x14ac:dyDescent="0.25">
      <c r="B914" s="184"/>
      <c r="C914" s="187"/>
      <c r="D914" s="29" t="s">
        <v>82</v>
      </c>
      <c r="E914" s="30">
        <v>5</v>
      </c>
      <c r="F914" s="30">
        <v>47</v>
      </c>
      <c r="G914" s="29" t="s">
        <v>66</v>
      </c>
      <c r="H914" s="29"/>
      <c r="I914" s="49"/>
      <c r="L914" s="184"/>
      <c r="M914" s="187"/>
      <c r="N914" s="29" t="s">
        <v>82</v>
      </c>
      <c r="O914" s="30">
        <v>5</v>
      </c>
      <c r="P914" s="30">
        <v>47</v>
      </c>
      <c r="Q914" s="29" t="s">
        <v>66</v>
      </c>
      <c r="R914" s="29"/>
      <c r="S914" s="49"/>
    </row>
    <row r="915" spans="2:19" ht="15.75" thickBot="1" x14ac:dyDescent="0.3">
      <c r="B915" s="185"/>
      <c r="C915" s="188"/>
      <c r="D915" s="29" t="s">
        <v>83</v>
      </c>
      <c r="E915" s="30">
        <v>6</v>
      </c>
      <c r="F915" s="30">
        <v>48</v>
      </c>
      <c r="G915" s="29" t="s">
        <v>66</v>
      </c>
      <c r="H915" s="29"/>
      <c r="I915" s="49"/>
      <c r="L915" s="185"/>
      <c r="M915" s="188"/>
      <c r="N915" s="29" t="s">
        <v>83</v>
      </c>
      <c r="O915" s="30">
        <v>6</v>
      </c>
      <c r="P915" s="30">
        <v>48</v>
      </c>
      <c r="Q915" s="29" t="s">
        <v>66</v>
      </c>
      <c r="R915" s="29"/>
      <c r="S915" s="49"/>
    </row>
    <row r="916" spans="2:19" ht="15.75" thickBot="1" x14ac:dyDescent="0.3"/>
    <row r="917" spans="2:19" ht="15.75" thickBot="1" x14ac:dyDescent="0.3">
      <c r="B917" s="171" t="s">
        <v>378</v>
      </c>
      <c r="C917" s="172"/>
      <c r="D917" s="172"/>
      <c r="E917" s="172"/>
      <c r="F917" s="172"/>
      <c r="G917" s="172"/>
      <c r="H917" s="172"/>
      <c r="I917" s="173"/>
      <c r="L917" s="171" t="s">
        <v>379</v>
      </c>
      <c r="M917" s="172"/>
      <c r="N917" s="172"/>
      <c r="O917" s="172"/>
      <c r="P917" s="172"/>
      <c r="Q917" s="172"/>
      <c r="R917" s="172"/>
      <c r="S917" s="173"/>
    </row>
    <row r="919" spans="2:19" ht="26.25" thickBot="1" x14ac:dyDescent="0.3">
      <c r="B919" s="15" t="s">
        <v>70</v>
      </c>
      <c r="C919" s="16" t="s">
        <v>71</v>
      </c>
      <c r="D919" s="15" t="s">
        <v>72</v>
      </c>
      <c r="E919" s="17" t="s">
        <v>73</v>
      </c>
      <c r="F919" s="17" t="s">
        <v>74</v>
      </c>
      <c r="G919" s="15" t="s">
        <v>75</v>
      </c>
      <c r="H919" s="15" t="s">
        <v>55</v>
      </c>
      <c r="I919" s="15" t="s">
        <v>76</v>
      </c>
      <c r="L919" s="15" t="s">
        <v>70</v>
      </c>
      <c r="M919" s="16" t="s">
        <v>71</v>
      </c>
      <c r="N919" s="15" t="s">
        <v>72</v>
      </c>
      <c r="O919" s="17" t="s">
        <v>73</v>
      </c>
      <c r="P919" s="17" t="s">
        <v>74</v>
      </c>
      <c r="Q919" s="15" t="s">
        <v>75</v>
      </c>
      <c r="R919" s="15" t="s">
        <v>55</v>
      </c>
      <c r="S919" s="15" t="s">
        <v>76</v>
      </c>
    </row>
    <row r="920" spans="2:19" x14ac:dyDescent="0.25">
      <c r="B920" s="174" t="s">
        <v>2</v>
      </c>
      <c r="C920" s="168" t="s">
        <v>77</v>
      </c>
      <c r="D920" s="18" t="s">
        <v>2</v>
      </c>
      <c r="E920" s="19">
        <v>1</v>
      </c>
      <c r="F920" s="19">
        <v>1</v>
      </c>
      <c r="G920" s="18" t="s">
        <v>66</v>
      </c>
      <c r="H920" s="32"/>
      <c r="I920" s="50"/>
      <c r="L920" s="174" t="s">
        <v>2</v>
      </c>
      <c r="M920" s="168" t="s">
        <v>77</v>
      </c>
      <c r="N920" s="18" t="s">
        <v>2</v>
      </c>
      <c r="O920" s="19">
        <v>1</v>
      </c>
      <c r="P920" s="19">
        <v>1</v>
      </c>
      <c r="Q920" s="18" t="s">
        <v>66</v>
      </c>
      <c r="R920" s="32"/>
      <c r="S920" s="33"/>
    </row>
    <row r="921" spans="2:19" x14ac:dyDescent="0.25">
      <c r="B921" s="175"/>
      <c r="C921" s="169"/>
      <c r="D921" s="18" t="s">
        <v>3</v>
      </c>
      <c r="E921" s="19">
        <v>2</v>
      </c>
      <c r="F921" s="19">
        <v>2</v>
      </c>
      <c r="G921" s="18" t="s">
        <v>66</v>
      </c>
      <c r="H921" s="32"/>
      <c r="I921" s="50"/>
      <c r="L921" s="175"/>
      <c r="M921" s="169"/>
      <c r="N921" s="18" t="s">
        <v>3</v>
      </c>
      <c r="O921" s="19">
        <v>2</v>
      </c>
      <c r="P921" s="19">
        <v>2</v>
      </c>
      <c r="Q921" s="18" t="s">
        <v>66</v>
      </c>
      <c r="R921" s="32"/>
      <c r="S921" s="33"/>
    </row>
    <row r="922" spans="2:19" x14ac:dyDescent="0.25">
      <c r="B922" s="175"/>
      <c r="C922" s="169"/>
      <c r="D922" s="18" t="s">
        <v>80</v>
      </c>
      <c r="E922" s="20">
        <v>3</v>
      </c>
      <c r="F922" s="20">
        <v>3</v>
      </c>
      <c r="G922" s="18" t="s">
        <v>66</v>
      </c>
      <c r="H922" s="32"/>
      <c r="I922" s="50"/>
      <c r="L922" s="175"/>
      <c r="M922" s="169"/>
      <c r="N922" s="18" t="s">
        <v>80</v>
      </c>
      <c r="O922" s="20">
        <v>3</v>
      </c>
      <c r="P922" s="20">
        <v>3</v>
      </c>
      <c r="Q922" s="18" t="s">
        <v>66</v>
      </c>
      <c r="R922" s="32"/>
      <c r="S922" s="33"/>
    </row>
    <row r="923" spans="2:19" x14ac:dyDescent="0.25">
      <c r="B923" s="175"/>
      <c r="C923" s="169"/>
      <c r="D923" s="18" t="s">
        <v>81</v>
      </c>
      <c r="E923" s="20">
        <v>4</v>
      </c>
      <c r="F923" s="20">
        <v>4</v>
      </c>
      <c r="G923" s="18" t="s">
        <v>66</v>
      </c>
      <c r="H923" s="32"/>
      <c r="I923" s="50"/>
      <c r="L923" s="175"/>
      <c r="M923" s="169"/>
      <c r="N923" s="18" t="s">
        <v>81</v>
      </c>
      <c r="O923" s="20">
        <v>4</v>
      </c>
      <c r="P923" s="20">
        <v>4</v>
      </c>
      <c r="Q923" s="18" t="s">
        <v>66</v>
      </c>
      <c r="R923" s="32"/>
      <c r="S923" s="33"/>
    </row>
    <row r="924" spans="2:19" x14ac:dyDescent="0.25">
      <c r="B924" s="175"/>
      <c r="C924" s="169"/>
      <c r="D924" s="18" t="s">
        <v>82</v>
      </c>
      <c r="E924" s="20">
        <v>5</v>
      </c>
      <c r="F924" s="20">
        <v>5</v>
      </c>
      <c r="G924" s="18" t="s">
        <v>66</v>
      </c>
      <c r="H924" s="32"/>
      <c r="I924" s="50"/>
      <c r="L924" s="175"/>
      <c r="M924" s="169"/>
      <c r="N924" s="18" t="s">
        <v>82</v>
      </c>
      <c r="O924" s="20">
        <v>5</v>
      </c>
      <c r="P924" s="20">
        <v>5</v>
      </c>
      <c r="Q924" s="18" t="s">
        <v>66</v>
      </c>
      <c r="R924" s="32"/>
      <c r="S924" s="33"/>
    </row>
    <row r="925" spans="2:19" ht="15.75" thickBot="1" x14ac:dyDescent="0.3">
      <c r="B925" s="175"/>
      <c r="C925" s="170"/>
      <c r="D925" s="18" t="s">
        <v>83</v>
      </c>
      <c r="E925" s="20">
        <v>6</v>
      </c>
      <c r="F925" s="20">
        <v>6</v>
      </c>
      <c r="G925" s="18" t="s">
        <v>66</v>
      </c>
      <c r="H925" s="32"/>
      <c r="I925" s="50"/>
      <c r="L925" s="175"/>
      <c r="M925" s="170"/>
      <c r="N925" s="18" t="s">
        <v>83</v>
      </c>
      <c r="O925" s="20">
        <v>6</v>
      </c>
      <c r="P925" s="20">
        <v>6</v>
      </c>
      <c r="Q925" s="18" t="s">
        <v>66</v>
      </c>
      <c r="R925" s="32"/>
      <c r="S925" s="33"/>
    </row>
    <row r="926" spans="2:19" x14ac:dyDescent="0.25">
      <c r="B926" s="175"/>
      <c r="C926" s="168" t="s">
        <v>84</v>
      </c>
      <c r="D926" s="18" t="s">
        <v>2</v>
      </c>
      <c r="E926" s="19">
        <v>1</v>
      </c>
      <c r="F926" s="19">
        <v>7</v>
      </c>
      <c r="G926" s="18" t="s">
        <v>78</v>
      </c>
      <c r="H926" s="156" t="s">
        <v>130</v>
      </c>
      <c r="I926" s="165" t="s">
        <v>208</v>
      </c>
      <c r="L926" s="175"/>
      <c r="M926" s="168" t="s">
        <v>84</v>
      </c>
      <c r="N926" s="18" t="s">
        <v>2</v>
      </c>
      <c r="O926" s="19">
        <v>1</v>
      </c>
      <c r="P926" s="19">
        <v>7</v>
      </c>
      <c r="Q926" s="18" t="s">
        <v>78</v>
      </c>
      <c r="R926" s="156" t="s">
        <v>130</v>
      </c>
      <c r="S926" s="195" t="s">
        <v>156</v>
      </c>
    </row>
    <row r="927" spans="2:19" x14ac:dyDescent="0.25">
      <c r="B927" s="175"/>
      <c r="C927" s="169"/>
      <c r="D927" s="18" t="s">
        <v>3</v>
      </c>
      <c r="E927" s="19">
        <v>2</v>
      </c>
      <c r="F927" s="19">
        <v>8</v>
      </c>
      <c r="G927" s="18" t="s">
        <v>78</v>
      </c>
      <c r="H927" s="157"/>
      <c r="I927" s="166"/>
      <c r="L927" s="175"/>
      <c r="M927" s="169"/>
      <c r="N927" s="18" t="s">
        <v>3</v>
      </c>
      <c r="O927" s="19">
        <v>2</v>
      </c>
      <c r="P927" s="19">
        <v>8</v>
      </c>
      <c r="Q927" s="18" t="s">
        <v>78</v>
      </c>
      <c r="R927" s="157"/>
      <c r="S927" s="196"/>
    </row>
    <row r="928" spans="2:19" x14ac:dyDescent="0.25">
      <c r="B928" s="175"/>
      <c r="C928" s="169"/>
      <c r="D928" s="18" t="s">
        <v>80</v>
      </c>
      <c r="E928" s="20">
        <v>3</v>
      </c>
      <c r="F928" s="20">
        <v>9</v>
      </c>
      <c r="G928" s="18" t="s">
        <v>66</v>
      </c>
      <c r="H928" s="157"/>
      <c r="I928" s="166"/>
      <c r="L928" s="175"/>
      <c r="M928" s="169"/>
      <c r="N928" s="18" t="s">
        <v>80</v>
      </c>
      <c r="O928" s="20">
        <v>3</v>
      </c>
      <c r="P928" s="20">
        <v>9</v>
      </c>
      <c r="Q928" s="18" t="s">
        <v>66</v>
      </c>
      <c r="R928" s="157"/>
      <c r="S928" s="196"/>
    </row>
    <row r="929" spans="2:19" x14ac:dyDescent="0.25">
      <c r="B929" s="175"/>
      <c r="C929" s="169"/>
      <c r="D929" s="18" t="s">
        <v>81</v>
      </c>
      <c r="E929" s="20">
        <v>4</v>
      </c>
      <c r="F929" s="20">
        <v>10</v>
      </c>
      <c r="G929" s="18" t="s">
        <v>66</v>
      </c>
      <c r="H929" s="157"/>
      <c r="I929" s="166"/>
      <c r="L929" s="175"/>
      <c r="M929" s="169"/>
      <c r="N929" s="18" t="s">
        <v>81</v>
      </c>
      <c r="O929" s="20">
        <v>4</v>
      </c>
      <c r="P929" s="20">
        <v>10</v>
      </c>
      <c r="Q929" s="18" t="s">
        <v>66</v>
      </c>
      <c r="R929" s="157"/>
      <c r="S929" s="196"/>
    </row>
    <row r="930" spans="2:19" x14ac:dyDescent="0.25">
      <c r="B930" s="175"/>
      <c r="C930" s="169"/>
      <c r="D930" s="18" t="s">
        <v>82</v>
      </c>
      <c r="E930" s="20">
        <v>5</v>
      </c>
      <c r="F930" s="20">
        <v>11</v>
      </c>
      <c r="G930" s="18" t="s">
        <v>66</v>
      </c>
      <c r="H930" s="157"/>
      <c r="I930" s="166"/>
      <c r="L930" s="175"/>
      <c r="M930" s="169"/>
      <c r="N930" s="18" t="s">
        <v>82</v>
      </c>
      <c r="O930" s="20">
        <v>5</v>
      </c>
      <c r="P930" s="20">
        <v>11</v>
      </c>
      <c r="Q930" s="18" t="s">
        <v>66</v>
      </c>
      <c r="R930" s="157"/>
      <c r="S930" s="196"/>
    </row>
    <row r="931" spans="2:19" ht="15.75" thickBot="1" x14ac:dyDescent="0.3">
      <c r="B931" s="176"/>
      <c r="C931" s="170"/>
      <c r="D931" s="18" t="s">
        <v>83</v>
      </c>
      <c r="E931" s="20">
        <v>6</v>
      </c>
      <c r="F931" s="20">
        <v>12</v>
      </c>
      <c r="G931" s="18" t="s">
        <v>66</v>
      </c>
      <c r="H931" s="158"/>
      <c r="I931" s="167"/>
      <c r="L931" s="176"/>
      <c r="M931" s="170"/>
      <c r="N931" s="18" t="s">
        <v>83</v>
      </c>
      <c r="O931" s="20">
        <v>6</v>
      </c>
      <c r="P931" s="20">
        <v>12</v>
      </c>
      <c r="Q931" s="18" t="s">
        <v>66</v>
      </c>
      <c r="R931" s="158"/>
      <c r="S931" s="197"/>
    </row>
    <row r="932" spans="2:19" x14ac:dyDescent="0.25">
      <c r="B932" s="180" t="s">
        <v>3</v>
      </c>
      <c r="C932" s="177" t="s">
        <v>77</v>
      </c>
      <c r="D932" s="21" t="s">
        <v>2</v>
      </c>
      <c r="E932" s="22">
        <v>1</v>
      </c>
      <c r="F932" s="22">
        <v>13</v>
      </c>
      <c r="G932" s="21" t="s">
        <v>66</v>
      </c>
      <c r="H932" s="21"/>
      <c r="I932" s="51"/>
      <c r="L932" s="180" t="s">
        <v>3</v>
      </c>
      <c r="M932" s="177" t="s">
        <v>77</v>
      </c>
      <c r="N932" s="21" t="s">
        <v>2</v>
      </c>
      <c r="O932" s="22">
        <v>1</v>
      </c>
      <c r="P932" s="22">
        <v>13</v>
      </c>
      <c r="Q932" s="21" t="s">
        <v>66</v>
      </c>
      <c r="R932" s="21"/>
      <c r="S932" s="34"/>
    </row>
    <row r="933" spans="2:19" x14ac:dyDescent="0.25">
      <c r="B933" s="181"/>
      <c r="C933" s="178"/>
      <c r="D933" s="23" t="s">
        <v>3</v>
      </c>
      <c r="E933" s="24">
        <v>2</v>
      </c>
      <c r="F933" s="24">
        <v>14</v>
      </c>
      <c r="G933" s="23" t="s">
        <v>66</v>
      </c>
      <c r="H933" s="23"/>
      <c r="I933" s="47"/>
      <c r="L933" s="181"/>
      <c r="M933" s="178"/>
      <c r="N933" s="23" t="s">
        <v>3</v>
      </c>
      <c r="O933" s="24">
        <v>2</v>
      </c>
      <c r="P933" s="24">
        <v>14</v>
      </c>
      <c r="Q933" s="23" t="s">
        <v>66</v>
      </c>
      <c r="R933" s="23"/>
      <c r="S933" s="25"/>
    </row>
    <row r="934" spans="2:19" x14ac:dyDescent="0.25">
      <c r="B934" s="181"/>
      <c r="C934" s="178"/>
      <c r="D934" s="23" t="s">
        <v>80</v>
      </c>
      <c r="E934" s="24">
        <v>3</v>
      </c>
      <c r="F934" s="24">
        <v>15</v>
      </c>
      <c r="G934" s="23" t="s">
        <v>66</v>
      </c>
      <c r="H934" s="23"/>
      <c r="I934" s="47"/>
      <c r="L934" s="181"/>
      <c r="M934" s="178"/>
      <c r="N934" s="23" t="s">
        <v>80</v>
      </c>
      <c r="O934" s="24">
        <v>3</v>
      </c>
      <c r="P934" s="24">
        <v>15</v>
      </c>
      <c r="Q934" s="23" t="s">
        <v>66</v>
      </c>
      <c r="R934" s="23"/>
      <c r="S934" s="25"/>
    </row>
    <row r="935" spans="2:19" x14ac:dyDescent="0.25">
      <c r="B935" s="181"/>
      <c r="C935" s="178"/>
      <c r="D935" s="23" t="s">
        <v>81</v>
      </c>
      <c r="E935" s="24">
        <v>4</v>
      </c>
      <c r="F935" s="24">
        <v>16</v>
      </c>
      <c r="G935" s="23" t="s">
        <v>66</v>
      </c>
      <c r="H935" s="23"/>
      <c r="I935" s="47"/>
      <c r="L935" s="181"/>
      <c r="M935" s="178"/>
      <c r="N935" s="23" t="s">
        <v>81</v>
      </c>
      <c r="O935" s="24">
        <v>4</v>
      </c>
      <c r="P935" s="24">
        <v>16</v>
      </c>
      <c r="Q935" s="23" t="s">
        <v>66</v>
      </c>
      <c r="R935" s="23"/>
      <c r="S935" s="25"/>
    </row>
    <row r="936" spans="2:19" x14ac:dyDescent="0.25">
      <c r="B936" s="181"/>
      <c r="C936" s="178"/>
      <c r="D936" s="23" t="s">
        <v>82</v>
      </c>
      <c r="E936" s="24">
        <v>5</v>
      </c>
      <c r="F936" s="24">
        <v>17</v>
      </c>
      <c r="G936" s="23" t="s">
        <v>66</v>
      </c>
      <c r="H936" s="23"/>
      <c r="I936" s="47"/>
      <c r="L936" s="181"/>
      <c r="M936" s="178"/>
      <c r="N936" s="23" t="s">
        <v>82</v>
      </c>
      <c r="O936" s="24">
        <v>5</v>
      </c>
      <c r="P936" s="24">
        <v>17</v>
      </c>
      <c r="Q936" s="23" t="s">
        <v>66</v>
      </c>
      <c r="R936" s="23"/>
      <c r="S936" s="25"/>
    </row>
    <row r="937" spans="2:19" ht="15.75" thickBot="1" x14ac:dyDescent="0.3">
      <c r="B937" s="181"/>
      <c r="C937" s="179"/>
      <c r="D937" s="23" t="s">
        <v>83</v>
      </c>
      <c r="E937" s="24">
        <v>6</v>
      </c>
      <c r="F937" s="24">
        <v>18</v>
      </c>
      <c r="G937" s="23" t="s">
        <v>66</v>
      </c>
      <c r="H937" s="23"/>
      <c r="I937" s="47"/>
      <c r="L937" s="181"/>
      <c r="M937" s="179"/>
      <c r="N937" s="23" t="s">
        <v>83</v>
      </c>
      <c r="O937" s="24">
        <v>6</v>
      </c>
      <c r="P937" s="24">
        <v>18</v>
      </c>
      <c r="Q937" s="23" t="s">
        <v>66</v>
      </c>
      <c r="R937" s="23"/>
      <c r="S937" s="25"/>
    </row>
    <row r="938" spans="2:19" x14ac:dyDescent="0.25">
      <c r="B938" s="181"/>
      <c r="C938" s="177" t="s">
        <v>84</v>
      </c>
      <c r="D938" s="23" t="s">
        <v>2</v>
      </c>
      <c r="E938" s="24">
        <v>1</v>
      </c>
      <c r="F938" s="24">
        <v>19</v>
      </c>
      <c r="G938" s="23" t="s">
        <v>66</v>
      </c>
      <c r="H938" s="23"/>
      <c r="I938" s="47"/>
      <c r="L938" s="181"/>
      <c r="M938" s="177" t="s">
        <v>84</v>
      </c>
      <c r="N938" s="23" t="s">
        <v>2</v>
      </c>
      <c r="O938" s="24">
        <v>1</v>
      </c>
      <c r="P938" s="24">
        <v>19</v>
      </c>
      <c r="Q938" s="23" t="s">
        <v>66</v>
      </c>
      <c r="R938" s="23"/>
      <c r="S938" s="47"/>
    </row>
    <row r="939" spans="2:19" x14ac:dyDescent="0.25">
      <c r="B939" s="181"/>
      <c r="C939" s="178"/>
      <c r="D939" s="23" t="s">
        <v>3</v>
      </c>
      <c r="E939" s="24">
        <v>2</v>
      </c>
      <c r="F939" s="24">
        <v>20</v>
      </c>
      <c r="G939" s="23" t="s">
        <v>66</v>
      </c>
      <c r="H939" s="23"/>
      <c r="I939" s="47"/>
      <c r="L939" s="181"/>
      <c r="M939" s="178"/>
      <c r="N939" s="23" t="s">
        <v>3</v>
      </c>
      <c r="O939" s="24">
        <v>2</v>
      </c>
      <c r="P939" s="24">
        <v>20</v>
      </c>
      <c r="Q939" s="23" t="s">
        <v>66</v>
      </c>
      <c r="R939" s="23"/>
      <c r="S939" s="47"/>
    </row>
    <row r="940" spans="2:19" x14ac:dyDescent="0.25">
      <c r="B940" s="181"/>
      <c r="C940" s="178"/>
      <c r="D940" s="23" t="s">
        <v>80</v>
      </c>
      <c r="E940" s="26">
        <v>3</v>
      </c>
      <c r="F940" s="24">
        <v>21</v>
      </c>
      <c r="G940" s="23" t="s">
        <v>66</v>
      </c>
      <c r="H940" s="23"/>
      <c r="I940" s="47"/>
      <c r="L940" s="181"/>
      <c r="M940" s="178"/>
      <c r="N940" s="23" t="s">
        <v>80</v>
      </c>
      <c r="O940" s="26">
        <v>3</v>
      </c>
      <c r="P940" s="24">
        <v>21</v>
      </c>
      <c r="Q940" s="23" t="s">
        <v>66</v>
      </c>
      <c r="R940" s="23"/>
      <c r="S940" s="47"/>
    </row>
    <row r="941" spans="2:19" x14ac:dyDescent="0.25">
      <c r="B941" s="181"/>
      <c r="C941" s="178"/>
      <c r="D941" s="23" t="s">
        <v>81</v>
      </c>
      <c r="E941" s="24">
        <v>4</v>
      </c>
      <c r="F941" s="24">
        <v>22</v>
      </c>
      <c r="G941" s="23" t="s">
        <v>66</v>
      </c>
      <c r="H941" s="23"/>
      <c r="I941" s="47"/>
      <c r="L941" s="181"/>
      <c r="M941" s="178"/>
      <c r="N941" s="23" t="s">
        <v>81</v>
      </c>
      <c r="O941" s="24">
        <v>4</v>
      </c>
      <c r="P941" s="24">
        <v>22</v>
      </c>
      <c r="Q941" s="23" t="s">
        <v>66</v>
      </c>
      <c r="R941" s="23"/>
      <c r="S941" s="47"/>
    </row>
    <row r="942" spans="2:19" x14ac:dyDescent="0.25">
      <c r="B942" s="181"/>
      <c r="C942" s="178"/>
      <c r="D942" s="23" t="s">
        <v>82</v>
      </c>
      <c r="E942" s="24">
        <v>5</v>
      </c>
      <c r="F942" s="24">
        <v>23</v>
      </c>
      <c r="G942" s="23" t="s">
        <v>66</v>
      </c>
      <c r="H942" s="23"/>
      <c r="I942" s="47"/>
      <c r="L942" s="181"/>
      <c r="M942" s="178"/>
      <c r="N942" s="23" t="s">
        <v>82</v>
      </c>
      <c r="O942" s="24">
        <v>5</v>
      </c>
      <c r="P942" s="24">
        <v>23</v>
      </c>
      <c r="Q942" s="23" t="s">
        <v>66</v>
      </c>
      <c r="R942" s="23"/>
      <c r="S942" s="47"/>
    </row>
    <row r="943" spans="2:19" ht="15.75" thickBot="1" x14ac:dyDescent="0.3">
      <c r="B943" s="182"/>
      <c r="C943" s="179"/>
      <c r="D943" s="23" t="s">
        <v>83</v>
      </c>
      <c r="E943" s="24">
        <v>6</v>
      </c>
      <c r="F943" s="24">
        <v>24</v>
      </c>
      <c r="G943" s="23" t="s">
        <v>66</v>
      </c>
      <c r="H943" s="23"/>
      <c r="I943" s="47"/>
      <c r="L943" s="182"/>
      <c r="M943" s="179"/>
      <c r="N943" s="23" t="s">
        <v>83</v>
      </c>
      <c r="O943" s="24">
        <v>6</v>
      </c>
      <c r="P943" s="24">
        <v>24</v>
      </c>
      <c r="Q943" s="23" t="s">
        <v>66</v>
      </c>
      <c r="R943" s="23"/>
      <c r="S943" s="47"/>
    </row>
    <row r="944" spans="2:19" x14ac:dyDescent="0.25">
      <c r="B944" s="189" t="s">
        <v>80</v>
      </c>
      <c r="C944" s="192" t="s">
        <v>77</v>
      </c>
      <c r="D944" s="27" t="s">
        <v>2</v>
      </c>
      <c r="E944" s="28">
        <v>1</v>
      </c>
      <c r="F944" s="28">
        <v>25</v>
      </c>
      <c r="G944" s="27" t="s">
        <v>66</v>
      </c>
      <c r="H944" s="27"/>
      <c r="I944" s="48"/>
      <c r="L944" s="189" t="s">
        <v>80</v>
      </c>
      <c r="M944" s="192" t="s">
        <v>77</v>
      </c>
      <c r="N944" s="27" t="s">
        <v>2</v>
      </c>
      <c r="O944" s="28">
        <v>1</v>
      </c>
      <c r="P944" s="28">
        <v>25</v>
      </c>
      <c r="Q944" s="27" t="s">
        <v>66</v>
      </c>
      <c r="R944" s="27"/>
      <c r="S944" s="48"/>
    </row>
    <row r="945" spans="2:19" x14ac:dyDescent="0.25">
      <c r="B945" s="190"/>
      <c r="C945" s="193"/>
      <c r="D945" s="27" t="s">
        <v>3</v>
      </c>
      <c r="E945" s="28">
        <v>2</v>
      </c>
      <c r="F945" s="28">
        <v>26</v>
      </c>
      <c r="G945" s="27" t="s">
        <v>66</v>
      </c>
      <c r="H945" s="27"/>
      <c r="I945" s="48"/>
      <c r="L945" s="190"/>
      <c r="M945" s="193"/>
      <c r="N945" s="27" t="s">
        <v>3</v>
      </c>
      <c r="O945" s="28">
        <v>2</v>
      </c>
      <c r="P945" s="28">
        <v>26</v>
      </c>
      <c r="Q945" s="27" t="s">
        <v>66</v>
      </c>
      <c r="R945" s="27"/>
      <c r="S945" s="48"/>
    </row>
    <row r="946" spans="2:19" x14ac:dyDescent="0.25">
      <c r="B946" s="190"/>
      <c r="C946" s="193"/>
      <c r="D946" s="27" t="s">
        <v>80</v>
      </c>
      <c r="E946" s="28">
        <v>3</v>
      </c>
      <c r="F946" s="28">
        <v>27</v>
      </c>
      <c r="G946" s="27" t="s">
        <v>66</v>
      </c>
      <c r="H946" s="27"/>
      <c r="I946" s="48"/>
      <c r="L946" s="190"/>
      <c r="M946" s="193"/>
      <c r="N946" s="27" t="s">
        <v>80</v>
      </c>
      <c r="O946" s="28">
        <v>3</v>
      </c>
      <c r="P946" s="28">
        <v>27</v>
      </c>
      <c r="Q946" s="27" t="s">
        <v>66</v>
      </c>
      <c r="R946" s="27"/>
      <c r="S946" s="48"/>
    </row>
    <row r="947" spans="2:19" x14ac:dyDescent="0.25">
      <c r="B947" s="190"/>
      <c r="C947" s="193"/>
      <c r="D947" s="27" t="s">
        <v>81</v>
      </c>
      <c r="E947" s="28">
        <v>4</v>
      </c>
      <c r="F947" s="28">
        <v>28</v>
      </c>
      <c r="G947" s="27" t="s">
        <v>66</v>
      </c>
      <c r="H947" s="27"/>
      <c r="I947" s="48"/>
      <c r="L947" s="190"/>
      <c r="M947" s="193"/>
      <c r="N947" s="27" t="s">
        <v>81</v>
      </c>
      <c r="O947" s="28">
        <v>4</v>
      </c>
      <c r="P947" s="28">
        <v>28</v>
      </c>
      <c r="Q947" s="27" t="s">
        <v>66</v>
      </c>
      <c r="R947" s="27"/>
      <c r="S947" s="48"/>
    </row>
    <row r="948" spans="2:19" x14ac:dyDescent="0.25">
      <c r="B948" s="190"/>
      <c r="C948" s="193"/>
      <c r="D948" s="27" t="s">
        <v>82</v>
      </c>
      <c r="E948" s="28">
        <v>5</v>
      </c>
      <c r="F948" s="28">
        <v>29</v>
      </c>
      <c r="G948" s="27" t="s">
        <v>66</v>
      </c>
      <c r="H948" s="27"/>
      <c r="I948" s="48"/>
      <c r="L948" s="190"/>
      <c r="M948" s="193"/>
      <c r="N948" s="27" t="s">
        <v>82</v>
      </c>
      <c r="O948" s="28">
        <v>5</v>
      </c>
      <c r="P948" s="28">
        <v>29</v>
      </c>
      <c r="Q948" s="27" t="s">
        <v>66</v>
      </c>
      <c r="R948" s="27"/>
      <c r="S948" s="48"/>
    </row>
    <row r="949" spans="2:19" ht="15.75" thickBot="1" x14ac:dyDescent="0.3">
      <c r="B949" s="190"/>
      <c r="C949" s="194"/>
      <c r="D949" s="27" t="s">
        <v>83</v>
      </c>
      <c r="E949" s="28">
        <v>6</v>
      </c>
      <c r="F949" s="28">
        <v>30</v>
      </c>
      <c r="G949" s="27" t="s">
        <v>66</v>
      </c>
      <c r="H949" s="27"/>
      <c r="I949" s="48"/>
      <c r="L949" s="190"/>
      <c r="M949" s="194"/>
      <c r="N949" s="27" t="s">
        <v>83</v>
      </c>
      <c r="O949" s="28">
        <v>6</v>
      </c>
      <c r="P949" s="28">
        <v>30</v>
      </c>
      <c r="Q949" s="27" t="s">
        <v>66</v>
      </c>
      <c r="R949" s="27"/>
      <c r="S949" s="48"/>
    </row>
    <row r="950" spans="2:19" x14ac:dyDescent="0.25">
      <c r="B950" s="190"/>
      <c r="C950" s="192" t="s">
        <v>84</v>
      </c>
      <c r="D950" s="27" t="s">
        <v>2</v>
      </c>
      <c r="E950" s="28">
        <v>1</v>
      </c>
      <c r="F950" s="28">
        <v>31</v>
      </c>
      <c r="G950" s="27" t="s">
        <v>66</v>
      </c>
      <c r="H950" s="27"/>
      <c r="I950" s="48"/>
      <c r="L950" s="190"/>
      <c r="M950" s="192" t="s">
        <v>84</v>
      </c>
      <c r="N950" s="27" t="s">
        <v>2</v>
      </c>
      <c r="O950" s="28">
        <v>1</v>
      </c>
      <c r="P950" s="28">
        <v>31</v>
      </c>
      <c r="Q950" s="27" t="s">
        <v>66</v>
      </c>
      <c r="R950" s="27"/>
      <c r="S950" s="48"/>
    </row>
    <row r="951" spans="2:19" x14ac:dyDescent="0.25">
      <c r="B951" s="190"/>
      <c r="C951" s="193"/>
      <c r="D951" s="27" t="s">
        <v>3</v>
      </c>
      <c r="E951" s="28">
        <v>2</v>
      </c>
      <c r="F951" s="28">
        <v>32</v>
      </c>
      <c r="G951" s="27" t="s">
        <v>66</v>
      </c>
      <c r="H951" s="27"/>
      <c r="I951" s="48"/>
      <c r="L951" s="190"/>
      <c r="M951" s="193"/>
      <c r="N951" s="27" t="s">
        <v>3</v>
      </c>
      <c r="O951" s="28">
        <v>2</v>
      </c>
      <c r="P951" s="28">
        <v>32</v>
      </c>
      <c r="Q951" s="27" t="s">
        <v>66</v>
      </c>
      <c r="R951" s="27"/>
      <c r="S951" s="48"/>
    </row>
    <row r="952" spans="2:19" x14ac:dyDescent="0.25">
      <c r="B952" s="190"/>
      <c r="C952" s="193"/>
      <c r="D952" s="27" t="s">
        <v>80</v>
      </c>
      <c r="E952" s="28">
        <v>3</v>
      </c>
      <c r="F952" s="28">
        <v>33</v>
      </c>
      <c r="G952" s="27" t="s">
        <v>66</v>
      </c>
      <c r="H952" s="27"/>
      <c r="I952" s="48"/>
      <c r="L952" s="190"/>
      <c r="M952" s="193"/>
      <c r="N952" s="27" t="s">
        <v>80</v>
      </c>
      <c r="O952" s="28">
        <v>3</v>
      </c>
      <c r="P952" s="28">
        <v>33</v>
      </c>
      <c r="Q952" s="27" t="s">
        <v>66</v>
      </c>
      <c r="R952" s="27"/>
      <c r="S952" s="48"/>
    </row>
    <row r="953" spans="2:19" x14ac:dyDescent="0.25">
      <c r="B953" s="190"/>
      <c r="C953" s="193"/>
      <c r="D953" s="27" t="s">
        <v>81</v>
      </c>
      <c r="E953" s="28">
        <v>4</v>
      </c>
      <c r="F953" s="28">
        <v>34</v>
      </c>
      <c r="G953" s="27" t="s">
        <v>66</v>
      </c>
      <c r="H953" s="27"/>
      <c r="I953" s="48"/>
      <c r="L953" s="190"/>
      <c r="M953" s="193"/>
      <c r="N953" s="27" t="s">
        <v>81</v>
      </c>
      <c r="O953" s="28">
        <v>4</v>
      </c>
      <c r="P953" s="28">
        <v>34</v>
      </c>
      <c r="Q953" s="27" t="s">
        <v>66</v>
      </c>
      <c r="R953" s="27"/>
      <c r="S953" s="48"/>
    </row>
    <row r="954" spans="2:19" x14ac:dyDescent="0.25">
      <c r="B954" s="190"/>
      <c r="C954" s="193"/>
      <c r="D954" s="27" t="s">
        <v>82</v>
      </c>
      <c r="E954" s="28">
        <v>5</v>
      </c>
      <c r="F954" s="28">
        <v>35</v>
      </c>
      <c r="G954" s="27" t="s">
        <v>66</v>
      </c>
      <c r="H954" s="27"/>
      <c r="I954" s="48"/>
      <c r="L954" s="190"/>
      <c r="M954" s="193"/>
      <c r="N954" s="27" t="s">
        <v>82</v>
      </c>
      <c r="O954" s="28">
        <v>5</v>
      </c>
      <c r="P954" s="28">
        <v>35</v>
      </c>
      <c r="Q954" s="27" t="s">
        <v>66</v>
      </c>
      <c r="R954" s="27"/>
      <c r="S954" s="48"/>
    </row>
    <row r="955" spans="2:19" ht="15.75" thickBot="1" x14ac:dyDescent="0.3">
      <c r="B955" s="191"/>
      <c r="C955" s="194"/>
      <c r="D955" s="27" t="s">
        <v>83</v>
      </c>
      <c r="E955" s="28">
        <v>6</v>
      </c>
      <c r="F955" s="28">
        <v>36</v>
      </c>
      <c r="G955" s="27" t="s">
        <v>66</v>
      </c>
      <c r="H955" s="27"/>
      <c r="I955" s="48"/>
      <c r="L955" s="191"/>
      <c r="M955" s="194"/>
      <c r="N955" s="27" t="s">
        <v>83</v>
      </c>
      <c r="O955" s="28">
        <v>6</v>
      </c>
      <c r="P955" s="28">
        <v>36</v>
      </c>
      <c r="Q955" s="27" t="s">
        <v>66</v>
      </c>
      <c r="R955" s="27"/>
      <c r="S955" s="48"/>
    </row>
    <row r="956" spans="2:19" x14ac:dyDescent="0.25">
      <c r="B956" s="183" t="s">
        <v>81</v>
      </c>
      <c r="C956" s="186" t="s">
        <v>77</v>
      </c>
      <c r="D956" s="29" t="s">
        <v>2</v>
      </c>
      <c r="E956" s="30">
        <v>1</v>
      </c>
      <c r="F956" s="30">
        <v>37</v>
      </c>
      <c r="G956" s="29" t="s">
        <v>66</v>
      </c>
      <c r="H956" s="29"/>
      <c r="I956" s="49"/>
      <c r="L956" s="183" t="s">
        <v>81</v>
      </c>
      <c r="M956" s="186" t="s">
        <v>77</v>
      </c>
      <c r="N956" s="29" t="s">
        <v>2</v>
      </c>
      <c r="O956" s="30">
        <v>1</v>
      </c>
      <c r="P956" s="30">
        <v>37</v>
      </c>
      <c r="Q956" s="29" t="s">
        <v>66</v>
      </c>
      <c r="R956" s="29"/>
      <c r="S956" s="49"/>
    </row>
    <row r="957" spans="2:19" x14ac:dyDescent="0.25">
      <c r="B957" s="184"/>
      <c r="C957" s="187"/>
      <c r="D957" s="29" t="s">
        <v>3</v>
      </c>
      <c r="E957" s="30">
        <v>2</v>
      </c>
      <c r="F957" s="30">
        <v>38</v>
      </c>
      <c r="G957" s="29" t="s">
        <v>66</v>
      </c>
      <c r="H957" s="29"/>
      <c r="I957" s="49"/>
      <c r="L957" s="184"/>
      <c r="M957" s="187"/>
      <c r="N957" s="29" t="s">
        <v>3</v>
      </c>
      <c r="O957" s="30">
        <v>2</v>
      </c>
      <c r="P957" s="30">
        <v>38</v>
      </c>
      <c r="Q957" s="29" t="s">
        <v>66</v>
      </c>
      <c r="R957" s="29"/>
      <c r="S957" s="49"/>
    </row>
    <row r="958" spans="2:19" x14ac:dyDescent="0.25">
      <c r="B958" s="184"/>
      <c r="C958" s="187"/>
      <c r="D958" s="29" t="s">
        <v>80</v>
      </c>
      <c r="E958" s="30">
        <v>3</v>
      </c>
      <c r="F958" s="30">
        <v>39</v>
      </c>
      <c r="G958" s="29" t="s">
        <v>66</v>
      </c>
      <c r="H958" s="29"/>
      <c r="I958" s="49"/>
      <c r="L958" s="184"/>
      <c r="M958" s="187"/>
      <c r="N958" s="29" t="s">
        <v>80</v>
      </c>
      <c r="O958" s="30">
        <v>3</v>
      </c>
      <c r="P958" s="30">
        <v>39</v>
      </c>
      <c r="Q958" s="29" t="s">
        <v>66</v>
      </c>
      <c r="R958" s="29"/>
      <c r="S958" s="49"/>
    </row>
    <row r="959" spans="2:19" x14ac:dyDescent="0.25">
      <c r="B959" s="184"/>
      <c r="C959" s="187"/>
      <c r="D959" s="29" t="s">
        <v>81</v>
      </c>
      <c r="E959" s="30">
        <v>4</v>
      </c>
      <c r="F959" s="30">
        <v>40</v>
      </c>
      <c r="G959" s="29" t="s">
        <v>66</v>
      </c>
      <c r="H959" s="29"/>
      <c r="I959" s="49"/>
      <c r="L959" s="184"/>
      <c r="M959" s="187"/>
      <c r="N959" s="29" t="s">
        <v>81</v>
      </c>
      <c r="O959" s="30">
        <v>4</v>
      </c>
      <c r="P959" s="30">
        <v>40</v>
      </c>
      <c r="Q959" s="29" t="s">
        <v>66</v>
      </c>
      <c r="R959" s="29"/>
      <c r="S959" s="49"/>
    </row>
    <row r="960" spans="2:19" x14ac:dyDescent="0.25">
      <c r="B960" s="184"/>
      <c r="C960" s="187"/>
      <c r="D960" s="29" t="s">
        <v>82</v>
      </c>
      <c r="E960" s="30">
        <v>5</v>
      </c>
      <c r="F960" s="30">
        <v>41</v>
      </c>
      <c r="G960" s="29" t="s">
        <v>66</v>
      </c>
      <c r="H960" s="29"/>
      <c r="I960" s="49"/>
      <c r="L960" s="184"/>
      <c r="M960" s="187"/>
      <c r="N960" s="29" t="s">
        <v>82</v>
      </c>
      <c r="O960" s="30">
        <v>5</v>
      </c>
      <c r="P960" s="30">
        <v>41</v>
      </c>
      <c r="Q960" s="29" t="s">
        <v>66</v>
      </c>
      <c r="R960" s="29"/>
      <c r="S960" s="49"/>
    </row>
    <row r="961" spans="2:19" ht="15.75" thickBot="1" x14ac:dyDescent="0.3">
      <c r="B961" s="184"/>
      <c r="C961" s="188"/>
      <c r="D961" s="29" t="s">
        <v>83</v>
      </c>
      <c r="E961" s="30">
        <v>6</v>
      </c>
      <c r="F961" s="30">
        <v>42</v>
      </c>
      <c r="G961" s="29" t="s">
        <v>66</v>
      </c>
      <c r="H961" s="29"/>
      <c r="I961" s="49"/>
      <c r="L961" s="184"/>
      <c r="M961" s="188"/>
      <c r="N961" s="29" t="s">
        <v>83</v>
      </c>
      <c r="O961" s="30">
        <v>6</v>
      </c>
      <c r="P961" s="30">
        <v>42</v>
      </c>
      <c r="Q961" s="29" t="s">
        <v>66</v>
      </c>
      <c r="R961" s="29"/>
      <c r="S961" s="49"/>
    </row>
    <row r="962" spans="2:19" x14ac:dyDescent="0.25">
      <c r="B962" s="184"/>
      <c r="C962" s="186" t="s">
        <v>84</v>
      </c>
      <c r="D962" s="29" t="s">
        <v>2</v>
      </c>
      <c r="E962" s="30">
        <v>1</v>
      </c>
      <c r="F962" s="30">
        <v>43</v>
      </c>
      <c r="G962" s="29" t="s">
        <v>66</v>
      </c>
      <c r="H962" s="29"/>
      <c r="I962" s="49"/>
      <c r="L962" s="184"/>
      <c r="M962" s="186" t="s">
        <v>84</v>
      </c>
      <c r="N962" s="29" t="s">
        <v>2</v>
      </c>
      <c r="O962" s="30">
        <v>1</v>
      </c>
      <c r="P962" s="30">
        <v>43</v>
      </c>
      <c r="Q962" s="29" t="s">
        <v>66</v>
      </c>
      <c r="R962" s="29"/>
      <c r="S962" s="49"/>
    </row>
    <row r="963" spans="2:19" x14ac:dyDescent="0.25">
      <c r="B963" s="184"/>
      <c r="C963" s="187"/>
      <c r="D963" s="29" t="s">
        <v>3</v>
      </c>
      <c r="E963" s="30">
        <v>2</v>
      </c>
      <c r="F963" s="30">
        <v>44</v>
      </c>
      <c r="G963" s="29" t="s">
        <v>66</v>
      </c>
      <c r="H963" s="29"/>
      <c r="I963" s="49"/>
      <c r="L963" s="184"/>
      <c r="M963" s="187"/>
      <c r="N963" s="29" t="s">
        <v>3</v>
      </c>
      <c r="O963" s="30">
        <v>2</v>
      </c>
      <c r="P963" s="30">
        <v>44</v>
      </c>
      <c r="Q963" s="29" t="s">
        <v>66</v>
      </c>
      <c r="R963" s="29"/>
      <c r="S963" s="49"/>
    </row>
    <row r="964" spans="2:19" x14ac:dyDescent="0.25">
      <c r="B964" s="184"/>
      <c r="C964" s="187"/>
      <c r="D964" s="29" t="s">
        <v>80</v>
      </c>
      <c r="E964" s="30">
        <v>3</v>
      </c>
      <c r="F964" s="30">
        <v>45</v>
      </c>
      <c r="G964" s="29" t="s">
        <v>66</v>
      </c>
      <c r="H964" s="29"/>
      <c r="I964" s="49"/>
      <c r="L964" s="184"/>
      <c r="M964" s="187"/>
      <c r="N964" s="29" t="s">
        <v>80</v>
      </c>
      <c r="O964" s="30">
        <v>3</v>
      </c>
      <c r="P964" s="30">
        <v>45</v>
      </c>
      <c r="Q964" s="29" t="s">
        <v>66</v>
      </c>
      <c r="R964" s="29"/>
      <c r="S964" s="49"/>
    </row>
    <row r="965" spans="2:19" x14ac:dyDescent="0.25">
      <c r="B965" s="184"/>
      <c r="C965" s="187"/>
      <c r="D965" s="29" t="s">
        <v>81</v>
      </c>
      <c r="E965" s="30">
        <v>4</v>
      </c>
      <c r="F965" s="30">
        <v>46</v>
      </c>
      <c r="G965" s="29" t="s">
        <v>66</v>
      </c>
      <c r="H965" s="29"/>
      <c r="I965" s="49"/>
      <c r="L965" s="184"/>
      <c r="M965" s="187"/>
      <c r="N965" s="29" t="s">
        <v>81</v>
      </c>
      <c r="O965" s="30">
        <v>4</v>
      </c>
      <c r="P965" s="30">
        <v>46</v>
      </c>
      <c r="Q965" s="29" t="s">
        <v>66</v>
      </c>
      <c r="R965" s="29"/>
      <c r="S965" s="49"/>
    </row>
    <row r="966" spans="2:19" x14ac:dyDescent="0.25">
      <c r="B966" s="184"/>
      <c r="C966" s="187"/>
      <c r="D966" s="29" t="s">
        <v>82</v>
      </c>
      <c r="E966" s="30">
        <v>5</v>
      </c>
      <c r="F966" s="30">
        <v>47</v>
      </c>
      <c r="G966" s="29" t="s">
        <v>66</v>
      </c>
      <c r="H966" s="29"/>
      <c r="I966" s="49"/>
      <c r="L966" s="184"/>
      <c r="M966" s="187"/>
      <c r="N966" s="29" t="s">
        <v>82</v>
      </c>
      <c r="O966" s="30">
        <v>5</v>
      </c>
      <c r="P966" s="30">
        <v>47</v>
      </c>
      <c r="Q966" s="29" t="s">
        <v>66</v>
      </c>
      <c r="R966" s="29"/>
      <c r="S966" s="49"/>
    </row>
    <row r="967" spans="2:19" ht="15.75" thickBot="1" x14ac:dyDescent="0.3">
      <c r="B967" s="185"/>
      <c r="C967" s="188"/>
      <c r="D967" s="29" t="s">
        <v>83</v>
      </c>
      <c r="E967" s="30">
        <v>6</v>
      </c>
      <c r="F967" s="30">
        <v>48</v>
      </c>
      <c r="G967" s="29" t="s">
        <v>66</v>
      </c>
      <c r="H967" s="29"/>
      <c r="I967" s="49"/>
      <c r="L967" s="185"/>
      <c r="M967" s="188"/>
      <c r="N967" s="29" t="s">
        <v>83</v>
      </c>
      <c r="O967" s="30">
        <v>6</v>
      </c>
      <c r="P967" s="30">
        <v>48</v>
      </c>
      <c r="Q967" s="29" t="s">
        <v>66</v>
      </c>
      <c r="R967" s="29"/>
      <c r="S967" s="49"/>
    </row>
    <row r="969" spans="2:19" ht="15.75" thickBot="1" x14ac:dyDescent="0.3"/>
    <row r="970" spans="2:19" ht="15.75" thickBot="1" x14ac:dyDescent="0.3">
      <c r="B970" s="171" t="s">
        <v>380</v>
      </c>
      <c r="C970" s="172"/>
      <c r="D970" s="172"/>
      <c r="E970" s="172"/>
      <c r="F970" s="172"/>
      <c r="G970" s="172"/>
      <c r="H970" s="172"/>
      <c r="I970" s="173"/>
      <c r="L970" s="171" t="s">
        <v>381</v>
      </c>
      <c r="M970" s="172"/>
      <c r="N970" s="172"/>
      <c r="O970" s="172"/>
      <c r="P970" s="172"/>
      <c r="Q970" s="172"/>
      <c r="R970" s="172"/>
      <c r="S970" s="173"/>
    </row>
    <row r="972" spans="2:19" ht="26.25" thickBot="1" x14ac:dyDescent="0.3">
      <c r="B972" s="15" t="s">
        <v>70</v>
      </c>
      <c r="C972" s="16" t="s">
        <v>71</v>
      </c>
      <c r="D972" s="15" t="s">
        <v>72</v>
      </c>
      <c r="E972" s="17" t="s">
        <v>73</v>
      </c>
      <c r="F972" s="17" t="s">
        <v>74</v>
      </c>
      <c r="G972" s="15" t="s">
        <v>75</v>
      </c>
      <c r="H972" s="15" t="s">
        <v>55</v>
      </c>
      <c r="I972" s="15" t="s">
        <v>76</v>
      </c>
      <c r="L972" s="15" t="s">
        <v>70</v>
      </c>
      <c r="M972" s="16" t="s">
        <v>71</v>
      </c>
      <c r="N972" s="15" t="s">
        <v>72</v>
      </c>
      <c r="O972" s="17" t="s">
        <v>73</v>
      </c>
      <c r="P972" s="17" t="s">
        <v>74</v>
      </c>
      <c r="Q972" s="15" t="s">
        <v>75</v>
      </c>
      <c r="R972" s="15" t="s">
        <v>55</v>
      </c>
      <c r="S972" s="15" t="s">
        <v>76</v>
      </c>
    </row>
    <row r="973" spans="2:19" ht="15" customHeight="1" x14ac:dyDescent="0.25">
      <c r="B973" s="174" t="s">
        <v>2</v>
      </c>
      <c r="C973" s="168" t="s">
        <v>77</v>
      </c>
      <c r="D973" s="18" t="s">
        <v>2</v>
      </c>
      <c r="E973" s="19">
        <v>1</v>
      </c>
      <c r="F973" s="19">
        <v>1</v>
      </c>
      <c r="G973" s="18" t="s">
        <v>78</v>
      </c>
      <c r="H973" s="156" t="s">
        <v>345</v>
      </c>
      <c r="I973" s="156" t="s">
        <v>234</v>
      </c>
      <c r="L973" s="174" t="s">
        <v>2</v>
      </c>
      <c r="M973" s="168" t="s">
        <v>77</v>
      </c>
      <c r="N973" s="18" t="s">
        <v>2</v>
      </c>
      <c r="O973" s="19">
        <v>1</v>
      </c>
      <c r="P973" s="19">
        <v>1</v>
      </c>
      <c r="Q973" s="18" t="s">
        <v>78</v>
      </c>
      <c r="R973" s="156" t="s">
        <v>345</v>
      </c>
      <c r="S973" s="156" t="s">
        <v>202</v>
      </c>
    </row>
    <row r="974" spans="2:19" x14ac:dyDescent="0.25">
      <c r="B974" s="175"/>
      <c r="C974" s="169"/>
      <c r="D974" s="18" t="s">
        <v>3</v>
      </c>
      <c r="E974" s="19">
        <v>2</v>
      </c>
      <c r="F974" s="19">
        <v>2</v>
      </c>
      <c r="G974" s="18" t="s">
        <v>78</v>
      </c>
      <c r="H974" s="157"/>
      <c r="I974" s="157"/>
      <c r="L974" s="175"/>
      <c r="M974" s="169"/>
      <c r="N974" s="18" t="s">
        <v>3</v>
      </c>
      <c r="O974" s="19">
        <v>2</v>
      </c>
      <c r="P974" s="19">
        <v>2</v>
      </c>
      <c r="Q974" s="18" t="s">
        <v>78</v>
      </c>
      <c r="R974" s="157"/>
      <c r="S974" s="157"/>
    </row>
    <row r="975" spans="2:19" x14ac:dyDescent="0.25">
      <c r="B975" s="175"/>
      <c r="C975" s="169"/>
      <c r="D975" s="18" t="s">
        <v>80</v>
      </c>
      <c r="E975" s="20">
        <v>3</v>
      </c>
      <c r="F975" s="20">
        <v>3</v>
      </c>
      <c r="G975" s="18" t="s">
        <v>66</v>
      </c>
      <c r="H975" s="157"/>
      <c r="I975" s="157"/>
      <c r="L975" s="175"/>
      <c r="M975" s="169"/>
      <c r="N975" s="18" t="s">
        <v>80</v>
      </c>
      <c r="O975" s="20">
        <v>3</v>
      </c>
      <c r="P975" s="20">
        <v>3</v>
      </c>
      <c r="Q975" s="18" t="s">
        <v>66</v>
      </c>
      <c r="R975" s="157"/>
      <c r="S975" s="157"/>
    </row>
    <row r="976" spans="2:19" x14ac:dyDescent="0.25">
      <c r="B976" s="175"/>
      <c r="C976" s="169"/>
      <c r="D976" s="18" t="s">
        <v>81</v>
      </c>
      <c r="E976" s="20">
        <v>4</v>
      </c>
      <c r="F976" s="20">
        <v>4</v>
      </c>
      <c r="G976" s="18" t="s">
        <v>66</v>
      </c>
      <c r="H976" s="157"/>
      <c r="I976" s="157"/>
      <c r="L976" s="175"/>
      <c r="M976" s="169"/>
      <c r="N976" s="18" t="s">
        <v>81</v>
      </c>
      <c r="O976" s="20">
        <v>4</v>
      </c>
      <c r="P976" s="20">
        <v>4</v>
      </c>
      <c r="Q976" s="18" t="s">
        <v>66</v>
      </c>
      <c r="R976" s="157"/>
      <c r="S976" s="157"/>
    </row>
    <row r="977" spans="2:19" x14ac:dyDescent="0.25">
      <c r="B977" s="175"/>
      <c r="C977" s="169"/>
      <c r="D977" s="18" t="s">
        <v>82</v>
      </c>
      <c r="E977" s="20">
        <v>5</v>
      </c>
      <c r="F977" s="20">
        <v>5</v>
      </c>
      <c r="G977" s="18" t="s">
        <v>66</v>
      </c>
      <c r="H977" s="157"/>
      <c r="I977" s="157"/>
      <c r="L977" s="175"/>
      <c r="M977" s="169"/>
      <c r="N977" s="18" t="s">
        <v>82</v>
      </c>
      <c r="O977" s="20">
        <v>5</v>
      </c>
      <c r="P977" s="20">
        <v>5</v>
      </c>
      <c r="Q977" s="18" t="s">
        <v>66</v>
      </c>
      <c r="R977" s="157"/>
      <c r="S977" s="157"/>
    </row>
    <row r="978" spans="2:19" ht="15.75" thickBot="1" x14ac:dyDescent="0.3">
      <c r="B978" s="175"/>
      <c r="C978" s="170"/>
      <c r="D978" s="18" t="s">
        <v>83</v>
      </c>
      <c r="E978" s="20">
        <v>6</v>
      </c>
      <c r="F978" s="20">
        <v>6</v>
      </c>
      <c r="G978" s="18" t="s">
        <v>66</v>
      </c>
      <c r="H978" s="158"/>
      <c r="I978" s="158"/>
      <c r="L978" s="175"/>
      <c r="M978" s="170"/>
      <c r="N978" s="18" t="s">
        <v>83</v>
      </c>
      <c r="O978" s="20">
        <v>6</v>
      </c>
      <c r="P978" s="20">
        <v>6</v>
      </c>
      <c r="Q978" s="18" t="s">
        <v>66</v>
      </c>
      <c r="R978" s="158"/>
      <c r="S978" s="158"/>
    </row>
    <row r="979" spans="2:19" x14ac:dyDescent="0.25">
      <c r="B979" s="175"/>
      <c r="C979" s="168" t="s">
        <v>84</v>
      </c>
      <c r="D979" s="18" t="s">
        <v>2</v>
      </c>
      <c r="E979" s="19">
        <v>1</v>
      </c>
      <c r="F979" s="19">
        <v>7</v>
      </c>
      <c r="G979" s="18" t="s">
        <v>66</v>
      </c>
      <c r="H979" s="32"/>
      <c r="I979" s="50"/>
      <c r="L979" s="175"/>
      <c r="M979" s="168" t="s">
        <v>84</v>
      </c>
      <c r="N979" s="18" t="s">
        <v>2</v>
      </c>
      <c r="O979" s="19">
        <v>1</v>
      </c>
      <c r="P979" s="19">
        <v>7</v>
      </c>
      <c r="Q979" s="18" t="s">
        <v>66</v>
      </c>
      <c r="R979" s="32"/>
      <c r="S979" s="50"/>
    </row>
    <row r="980" spans="2:19" x14ac:dyDescent="0.25">
      <c r="B980" s="175"/>
      <c r="C980" s="169"/>
      <c r="D980" s="18" t="s">
        <v>3</v>
      </c>
      <c r="E980" s="19">
        <v>2</v>
      </c>
      <c r="F980" s="19">
        <v>8</v>
      </c>
      <c r="G980" s="18" t="s">
        <v>66</v>
      </c>
      <c r="H980" s="32"/>
      <c r="I980" s="50"/>
      <c r="L980" s="175"/>
      <c r="M980" s="169"/>
      <c r="N980" s="18" t="s">
        <v>3</v>
      </c>
      <c r="O980" s="19">
        <v>2</v>
      </c>
      <c r="P980" s="19">
        <v>8</v>
      </c>
      <c r="Q980" s="18" t="s">
        <v>66</v>
      </c>
      <c r="R980" s="32"/>
      <c r="S980" s="50"/>
    </row>
    <row r="981" spans="2:19" x14ac:dyDescent="0.25">
      <c r="B981" s="175"/>
      <c r="C981" s="169"/>
      <c r="D981" s="18" t="s">
        <v>80</v>
      </c>
      <c r="E981" s="20">
        <v>3</v>
      </c>
      <c r="F981" s="20">
        <v>9</v>
      </c>
      <c r="G981" s="18" t="s">
        <v>66</v>
      </c>
      <c r="H981" s="32"/>
      <c r="I981" s="50"/>
      <c r="L981" s="175"/>
      <c r="M981" s="169"/>
      <c r="N981" s="18" t="s">
        <v>80</v>
      </c>
      <c r="O981" s="20">
        <v>3</v>
      </c>
      <c r="P981" s="20">
        <v>9</v>
      </c>
      <c r="Q981" s="18" t="s">
        <v>66</v>
      </c>
      <c r="R981" s="32"/>
      <c r="S981" s="50"/>
    </row>
    <row r="982" spans="2:19" x14ac:dyDescent="0.25">
      <c r="B982" s="175"/>
      <c r="C982" s="169"/>
      <c r="D982" s="18" t="s">
        <v>81</v>
      </c>
      <c r="E982" s="20">
        <v>4</v>
      </c>
      <c r="F982" s="20">
        <v>10</v>
      </c>
      <c r="G982" s="18" t="s">
        <v>66</v>
      </c>
      <c r="H982" s="32"/>
      <c r="I982" s="50"/>
      <c r="L982" s="175"/>
      <c r="M982" s="169"/>
      <c r="N982" s="18" t="s">
        <v>81</v>
      </c>
      <c r="O982" s="20">
        <v>4</v>
      </c>
      <c r="P982" s="20">
        <v>10</v>
      </c>
      <c r="Q982" s="18" t="s">
        <v>66</v>
      </c>
      <c r="R982" s="32"/>
      <c r="S982" s="50"/>
    </row>
    <row r="983" spans="2:19" x14ac:dyDescent="0.25">
      <c r="B983" s="175"/>
      <c r="C983" s="169"/>
      <c r="D983" s="18" t="s">
        <v>82</v>
      </c>
      <c r="E983" s="20">
        <v>5</v>
      </c>
      <c r="F983" s="20">
        <v>11</v>
      </c>
      <c r="G983" s="18" t="s">
        <v>66</v>
      </c>
      <c r="H983" s="32"/>
      <c r="I983" s="50"/>
      <c r="L983" s="175"/>
      <c r="M983" s="169"/>
      <c r="N983" s="18" t="s">
        <v>82</v>
      </c>
      <c r="O983" s="20">
        <v>5</v>
      </c>
      <c r="P983" s="20">
        <v>11</v>
      </c>
      <c r="Q983" s="18" t="s">
        <v>66</v>
      </c>
      <c r="R983" s="32"/>
      <c r="S983" s="50"/>
    </row>
    <row r="984" spans="2:19" ht="15.75" thickBot="1" x14ac:dyDescent="0.3">
      <c r="B984" s="176"/>
      <c r="C984" s="170"/>
      <c r="D984" s="18" t="s">
        <v>83</v>
      </c>
      <c r="E984" s="20">
        <v>6</v>
      </c>
      <c r="F984" s="20">
        <v>12</v>
      </c>
      <c r="G984" s="18" t="s">
        <v>66</v>
      </c>
      <c r="H984" s="32"/>
      <c r="I984" s="50"/>
      <c r="L984" s="176"/>
      <c r="M984" s="170"/>
      <c r="N984" s="18" t="s">
        <v>83</v>
      </c>
      <c r="O984" s="20">
        <v>6</v>
      </c>
      <c r="P984" s="20">
        <v>12</v>
      </c>
      <c r="Q984" s="18" t="s">
        <v>66</v>
      </c>
      <c r="R984" s="32"/>
      <c r="S984" s="50"/>
    </row>
    <row r="985" spans="2:19" x14ac:dyDescent="0.25">
      <c r="B985" s="180" t="s">
        <v>3</v>
      </c>
      <c r="C985" s="177" t="s">
        <v>77</v>
      </c>
      <c r="D985" s="21" t="s">
        <v>2</v>
      </c>
      <c r="E985" s="22">
        <v>1</v>
      </c>
      <c r="F985" s="22">
        <v>13</v>
      </c>
      <c r="G985" s="21" t="s">
        <v>66</v>
      </c>
      <c r="H985" s="63"/>
      <c r="I985" s="64"/>
      <c r="L985" s="180" t="s">
        <v>3</v>
      </c>
      <c r="M985" s="177" t="s">
        <v>77</v>
      </c>
      <c r="N985" s="21" t="s">
        <v>2</v>
      </c>
      <c r="O985" s="22">
        <v>1</v>
      </c>
      <c r="P985" s="22">
        <v>13</v>
      </c>
      <c r="Q985" s="21" t="s">
        <v>66</v>
      </c>
      <c r="R985" s="63"/>
      <c r="S985" s="64"/>
    </row>
    <row r="986" spans="2:19" x14ac:dyDescent="0.25">
      <c r="B986" s="181"/>
      <c r="C986" s="178"/>
      <c r="D986" s="23" t="s">
        <v>3</v>
      </c>
      <c r="E986" s="24">
        <v>2</v>
      </c>
      <c r="F986" s="24">
        <v>14</v>
      </c>
      <c r="G986" s="23" t="s">
        <v>66</v>
      </c>
      <c r="H986" s="63"/>
      <c r="I986" s="64"/>
      <c r="L986" s="181"/>
      <c r="M986" s="178"/>
      <c r="N986" s="23" t="s">
        <v>3</v>
      </c>
      <c r="O986" s="24">
        <v>2</v>
      </c>
      <c r="P986" s="24">
        <v>14</v>
      </c>
      <c r="Q986" s="23" t="s">
        <v>66</v>
      </c>
      <c r="R986" s="63"/>
      <c r="S986" s="64"/>
    </row>
    <row r="987" spans="2:19" x14ac:dyDescent="0.25">
      <c r="B987" s="181"/>
      <c r="C987" s="178"/>
      <c r="D987" s="23" t="s">
        <v>80</v>
      </c>
      <c r="E987" s="24">
        <v>3</v>
      </c>
      <c r="F987" s="24">
        <v>15</v>
      </c>
      <c r="G987" s="23" t="s">
        <v>66</v>
      </c>
      <c r="H987" s="63"/>
      <c r="I987" s="64"/>
      <c r="L987" s="181"/>
      <c r="M987" s="178"/>
      <c r="N987" s="23" t="s">
        <v>80</v>
      </c>
      <c r="O987" s="24">
        <v>3</v>
      </c>
      <c r="P987" s="24">
        <v>15</v>
      </c>
      <c r="Q987" s="23" t="s">
        <v>66</v>
      </c>
      <c r="R987" s="63"/>
      <c r="S987" s="64"/>
    </row>
    <row r="988" spans="2:19" x14ac:dyDescent="0.25">
      <c r="B988" s="181"/>
      <c r="C988" s="178"/>
      <c r="D988" s="23" t="s">
        <v>81</v>
      </c>
      <c r="E988" s="24">
        <v>4</v>
      </c>
      <c r="F988" s="24">
        <v>16</v>
      </c>
      <c r="G988" s="23" t="s">
        <v>66</v>
      </c>
      <c r="H988" s="63"/>
      <c r="I988" s="64"/>
      <c r="L988" s="181"/>
      <c r="M988" s="178"/>
      <c r="N988" s="23" t="s">
        <v>81</v>
      </c>
      <c r="O988" s="24">
        <v>4</v>
      </c>
      <c r="P988" s="24">
        <v>16</v>
      </c>
      <c r="Q988" s="23" t="s">
        <v>66</v>
      </c>
      <c r="R988" s="63"/>
      <c r="S988" s="64"/>
    </row>
    <row r="989" spans="2:19" x14ac:dyDescent="0.25">
      <c r="B989" s="181"/>
      <c r="C989" s="178"/>
      <c r="D989" s="23" t="s">
        <v>82</v>
      </c>
      <c r="E989" s="24">
        <v>5</v>
      </c>
      <c r="F989" s="24">
        <v>17</v>
      </c>
      <c r="G989" s="23" t="s">
        <v>66</v>
      </c>
      <c r="H989" s="63"/>
      <c r="I989" s="64"/>
      <c r="L989" s="181"/>
      <c r="M989" s="178"/>
      <c r="N989" s="23" t="s">
        <v>82</v>
      </c>
      <c r="O989" s="24">
        <v>5</v>
      </c>
      <c r="P989" s="24">
        <v>17</v>
      </c>
      <c r="Q989" s="23" t="s">
        <v>66</v>
      </c>
      <c r="R989" s="63"/>
      <c r="S989" s="64"/>
    </row>
    <row r="990" spans="2:19" ht="15.75" thickBot="1" x14ac:dyDescent="0.3">
      <c r="B990" s="181"/>
      <c r="C990" s="179"/>
      <c r="D990" s="23" t="s">
        <v>83</v>
      </c>
      <c r="E990" s="24">
        <v>6</v>
      </c>
      <c r="F990" s="24">
        <v>18</v>
      </c>
      <c r="G990" s="23" t="s">
        <v>66</v>
      </c>
      <c r="H990" s="63"/>
      <c r="I990" s="64"/>
      <c r="L990" s="181"/>
      <c r="M990" s="179"/>
      <c r="N990" s="23" t="s">
        <v>83</v>
      </c>
      <c r="O990" s="24">
        <v>6</v>
      </c>
      <c r="P990" s="24">
        <v>18</v>
      </c>
      <c r="Q990" s="23" t="s">
        <v>66</v>
      </c>
      <c r="R990" s="63"/>
      <c r="S990" s="64"/>
    </row>
    <row r="991" spans="2:19" x14ac:dyDescent="0.25">
      <c r="B991" s="181"/>
      <c r="C991" s="177" t="s">
        <v>84</v>
      </c>
      <c r="D991" s="23" t="s">
        <v>2</v>
      </c>
      <c r="E991" s="24">
        <v>1</v>
      </c>
      <c r="F991" s="24">
        <v>19</v>
      </c>
      <c r="G991" s="23" t="s">
        <v>66</v>
      </c>
      <c r="H991" s="63"/>
      <c r="I991" s="64"/>
      <c r="L991" s="181"/>
      <c r="M991" s="177" t="s">
        <v>84</v>
      </c>
      <c r="N991" s="23" t="s">
        <v>2</v>
      </c>
      <c r="O991" s="24">
        <v>1</v>
      </c>
      <c r="P991" s="24">
        <v>19</v>
      </c>
      <c r="Q991" s="23" t="s">
        <v>66</v>
      </c>
      <c r="R991" s="63"/>
      <c r="S991" s="64"/>
    </row>
    <row r="992" spans="2:19" x14ac:dyDescent="0.25">
      <c r="B992" s="181"/>
      <c r="C992" s="178"/>
      <c r="D992" s="23" t="s">
        <v>3</v>
      </c>
      <c r="E992" s="24">
        <v>2</v>
      </c>
      <c r="F992" s="24">
        <v>20</v>
      </c>
      <c r="G992" s="23" t="s">
        <v>66</v>
      </c>
      <c r="H992" s="63"/>
      <c r="I992" s="64"/>
      <c r="L992" s="181"/>
      <c r="M992" s="178"/>
      <c r="N992" s="23" t="s">
        <v>3</v>
      </c>
      <c r="O992" s="24">
        <v>2</v>
      </c>
      <c r="P992" s="24">
        <v>20</v>
      </c>
      <c r="Q992" s="23" t="s">
        <v>66</v>
      </c>
      <c r="R992" s="63"/>
      <c r="S992" s="64"/>
    </row>
    <row r="993" spans="2:19" x14ac:dyDescent="0.25">
      <c r="B993" s="181"/>
      <c r="C993" s="178"/>
      <c r="D993" s="23" t="s">
        <v>80</v>
      </c>
      <c r="E993" s="26">
        <v>3</v>
      </c>
      <c r="F993" s="24">
        <v>21</v>
      </c>
      <c r="G993" s="23" t="s">
        <v>66</v>
      </c>
      <c r="H993" s="63"/>
      <c r="I993" s="64"/>
      <c r="L993" s="181"/>
      <c r="M993" s="178"/>
      <c r="N993" s="23" t="s">
        <v>80</v>
      </c>
      <c r="O993" s="26">
        <v>3</v>
      </c>
      <c r="P993" s="24">
        <v>21</v>
      </c>
      <c r="Q993" s="23" t="s">
        <v>66</v>
      </c>
      <c r="R993" s="63"/>
      <c r="S993" s="64"/>
    </row>
    <row r="994" spans="2:19" x14ac:dyDescent="0.25">
      <c r="B994" s="181"/>
      <c r="C994" s="178"/>
      <c r="D994" s="23" t="s">
        <v>81</v>
      </c>
      <c r="E994" s="24">
        <v>4</v>
      </c>
      <c r="F994" s="24">
        <v>22</v>
      </c>
      <c r="G994" s="23" t="s">
        <v>66</v>
      </c>
      <c r="H994" s="63"/>
      <c r="I994" s="64"/>
      <c r="L994" s="181"/>
      <c r="M994" s="178"/>
      <c r="N994" s="23" t="s">
        <v>81</v>
      </c>
      <c r="O994" s="24">
        <v>4</v>
      </c>
      <c r="P994" s="24">
        <v>22</v>
      </c>
      <c r="Q994" s="23" t="s">
        <v>66</v>
      </c>
      <c r="R994" s="63"/>
      <c r="S994" s="64"/>
    </row>
    <row r="995" spans="2:19" x14ac:dyDescent="0.25">
      <c r="B995" s="181"/>
      <c r="C995" s="178"/>
      <c r="D995" s="23" t="s">
        <v>82</v>
      </c>
      <c r="E995" s="24">
        <v>5</v>
      </c>
      <c r="F995" s="24">
        <v>23</v>
      </c>
      <c r="G995" s="23" t="s">
        <v>66</v>
      </c>
      <c r="H995" s="63"/>
      <c r="I995" s="64"/>
      <c r="L995" s="181"/>
      <c r="M995" s="178"/>
      <c r="N995" s="23" t="s">
        <v>82</v>
      </c>
      <c r="O995" s="24">
        <v>5</v>
      </c>
      <c r="P995" s="24">
        <v>23</v>
      </c>
      <c r="Q995" s="23" t="s">
        <v>66</v>
      </c>
      <c r="R995" s="63"/>
      <c r="S995" s="64"/>
    </row>
    <row r="996" spans="2:19" ht="15.75" thickBot="1" x14ac:dyDescent="0.3">
      <c r="B996" s="182"/>
      <c r="C996" s="179"/>
      <c r="D996" s="23" t="s">
        <v>83</v>
      </c>
      <c r="E996" s="24">
        <v>6</v>
      </c>
      <c r="F996" s="24">
        <v>24</v>
      </c>
      <c r="G996" s="23" t="s">
        <v>66</v>
      </c>
      <c r="H996" s="63"/>
      <c r="I996" s="64"/>
      <c r="L996" s="182"/>
      <c r="M996" s="179"/>
      <c r="N996" s="23" t="s">
        <v>83</v>
      </c>
      <c r="O996" s="24">
        <v>6</v>
      </c>
      <c r="P996" s="24">
        <v>24</v>
      </c>
      <c r="Q996" s="23" t="s">
        <v>66</v>
      </c>
      <c r="R996" s="63"/>
      <c r="S996" s="64"/>
    </row>
    <row r="997" spans="2:19" x14ac:dyDescent="0.25">
      <c r="B997" s="189" t="s">
        <v>80</v>
      </c>
      <c r="C997" s="192" t="s">
        <v>77</v>
      </c>
      <c r="D997" s="27" t="s">
        <v>2</v>
      </c>
      <c r="E997" s="28">
        <v>1</v>
      </c>
      <c r="F997" s="28">
        <v>25</v>
      </c>
      <c r="G997" s="27" t="s">
        <v>66</v>
      </c>
      <c r="H997" s="27"/>
      <c r="I997" s="48"/>
      <c r="L997" s="189" t="s">
        <v>80</v>
      </c>
      <c r="M997" s="192" t="s">
        <v>77</v>
      </c>
      <c r="N997" s="27" t="s">
        <v>2</v>
      </c>
      <c r="O997" s="28">
        <v>1</v>
      </c>
      <c r="P997" s="28">
        <v>25</v>
      </c>
      <c r="Q997" s="27" t="s">
        <v>66</v>
      </c>
      <c r="R997" s="27"/>
      <c r="S997" s="48"/>
    </row>
    <row r="998" spans="2:19" x14ac:dyDescent="0.25">
      <c r="B998" s="190"/>
      <c r="C998" s="193"/>
      <c r="D998" s="27" t="s">
        <v>3</v>
      </c>
      <c r="E998" s="28">
        <v>2</v>
      </c>
      <c r="F998" s="28">
        <v>26</v>
      </c>
      <c r="G998" s="27" t="s">
        <v>66</v>
      </c>
      <c r="H998" s="27"/>
      <c r="I998" s="48"/>
      <c r="L998" s="190"/>
      <c r="M998" s="193"/>
      <c r="N998" s="27" t="s">
        <v>3</v>
      </c>
      <c r="O998" s="28">
        <v>2</v>
      </c>
      <c r="P998" s="28">
        <v>26</v>
      </c>
      <c r="Q998" s="27" t="s">
        <v>66</v>
      </c>
      <c r="R998" s="27"/>
      <c r="S998" s="48"/>
    </row>
    <row r="999" spans="2:19" x14ac:dyDescent="0.25">
      <c r="B999" s="190"/>
      <c r="C999" s="193"/>
      <c r="D999" s="27" t="s">
        <v>80</v>
      </c>
      <c r="E999" s="28">
        <v>3</v>
      </c>
      <c r="F999" s="28">
        <v>27</v>
      </c>
      <c r="G999" s="27" t="s">
        <v>66</v>
      </c>
      <c r="H999" s="27"/>
      <c r="I999" s="48"/>
      <c r="L999" s="190"/>
      <c r="M999" s="193"/>
      <c r="N999" s="27" t="s">
        <v>80</v>
      </c>
      <c r="O999" s="28">
        <v>3</v>
      </c>
      <c r="P999" s="28">
        <v>27</v>
      </c>
      <c r="Q999" s="27" t="s">
        <v>66</v>
      </c>
      <c r="R999" s="27"/>
      <c r="S999" s="48"/>
    </row>
    <row r="1000" spans="2:19" x14ac:dyDescent="0.25">
      <c r="B1000" s="190"/>
      <c r="C1000" s="193"/>
      <c r="D1000" s="27" t="s">
        <v>81</v>
      </c>
      <c r="E1000" s="28">
        <v>4</v>
      </c>
      <c r="F1000" s="28">
        <v>28</v>
      </c>
      <c r="G1000" s="27" t="s">
        <v>66</v>
      </c>
      <c r="H1000" s="27"/>
      <c r="I1000" s="48"/>
      <c r="L1000" s="190"/>
      <c r="M1000" s="193"/>
      <c r="N1000" s="27" t="s">
        <v>81</v>
      </c>
      <c r="O1000" s="28">
        <v>4</v>
      </c>
      <c r="P1000" s="28">
        <v>28</v>
      </c>
      <c r="Q1000" s="27" t="s">
        <v>66</v>
      </c>
      <c r="R1000" s="27"/>
      <c r="S1000" s="48"/>
    </row>
    <row r="1001" spans="2:19" x14ac:dyDescent="0.25">
      <c r="B1001" s="190"/>
      <c r="C1001" s="193"/>
      <c r="D1001" s="27" t="s">
        <v>82</v>
      </c>
      <c r="E1001" s="28">
        <v>5</v>
      </c>
      <c r="F1001" s="28">
        <v>29</v>
      </c>
      <c r="G1001" s="27" t="s">
        <v>66</v>
      </c>
      <c r="H1001" s="27"/>
      <c r="I1001" s="48"/>
      <c r="L1001" s="190"/>
      <c r="M1001" s="193"/>
      <c r="N1001" s="27" t="s">
        <v>82</v>
      </c>
      <c r="O1001" s="28">
        <v>5</v>
      </c>
      <c r="P1001" s="28">
        <v>29</v>
      </c>
      <c r="Q1001" s="27" t="s">
        <v>66</v>
      </c>
      <c r="R1001" s="27"/>
      <c r="S1001" s="48"/>
    </row>
    <row r="1002" spans="2:19" ht="15.75" thickBot="1" x14ac:dyDescent="0.3">
      <c r="B1002" s="190"/>
      <c r="C1002" s="194"/>
      <c r="D1002" s="27" t="s">
        <v>83</v>
      </c>
      <c r="E1002" s="28">
        <v>6</v>
      </c>
      <c r="F1002" s="28">
        <v>30</v>
      </c>
      <c r="G1002" s="27" t="s">
        <v>66</v>
      </c>
      <c r="H1002" s="27"/>
      <c r="I1002" s="48"/>
      <c r="L1002" s="190"/>
      <c r="M1002" s="194"/>
      <c r="N1002" s="27" t="s">
        <v>83</v>
      </c>
      <c r="O1002" s="28">
        <v>6</v>
      </c>
      <c r="P1002" s="28">
        <v>30</v>
      </c>
      <c r="Q1002" s="27" t="s">
        <v>66</v>
      </c>
      <c r="R1002" s="27"/>
      <c r="S1002" s="48"/>
    </row>
    <row r="1003" spans="2:19" x14ac:dyDescent="0.25">
      <c r="B1003" s="190"/>
      <c r="C1003" s="192" t="s">
        <v>84</v>
      </c>
      <c r="D1003" s="27" t="s">
        <v>2</v>
      </c>
      <c r="E1003" s="28">
        <v>1</v>
      </c>
      <c r="F1003" s="28">
        <v>31</v>
      </c>
      <c r="G1003" s="27" t="s">
        <v>66</v>
      </c>
      <c r="H1003" s="27"/>
      <c r="I1003" s="48"/>
      <c r="L1003" s="190"/>
      <c r="M1003" s="192" t="s">
        <v>84</v>
      </c>
      <c r="N1003" s="27" t="s">
        <v>2</v>
      </c>
      <c r="O1003" s="28">
        <v>1</v>
      </c>
      <c r="P1003" s="28">
        <v>31</v>
      </c>
      <c r="Q1003" s="27" t="s">
        <v>66</v>
      </c>
      <c r="R1003" s="27"/>
      <c r="S1003" s="48"/>
    </row>
    <row r="1004" spans="2:19" x14ac:dyDescent="0.25">
      <c r="B1004" s="190"/>
      <c r="C1004" s="193"/>
      <c r="D1004" s="27" t="s">
        <v>3</v>
      </c>
      <c r="E1004" s="28">
        <v>2</v>
      </c>
      <c r="F1004" s="28">
        <v>32</v>
      </c>
      <c r="G1004" s="27" t="s">
        <v>66</v>
      </c>
      <c r="H1004" s="27"/>
      <c r="I1004" s="48"/>
      <c r="L1004" s="190"/>
      <c r="M1004" s="193"/>
      <c r="N1004" s="27" t="s">
        <v>3</v>
      </c>
      <c r="O1004" s="28">
        <v>2</v>
      </c>
      <c r="P1004" s="28">
        <v>32</v>
      </c>
      <c r="Q1004" s="27" t="s">
        <v>66</v>
      </c>
      <c r="R1004" s="27"/>
      <c r="S1004" s="48"/>
    </row>
    <row r="1005" spans="2:19" x14ac:dyDescent="0.25">
      <c r="B1005" s="190"/>
      <c r="C1005" s="193"/>
      <c r="D1005" s="27" t="s">
        <v>80</v>
      </c>
      <c r="E1005" s="28">
        <v>3</v>
      </c>
      <c r="F1005" s="28">
        <v>33</v>
      </c>
      <c r="G1005" s="27" t="s">
        <v>66</v>
      </c>
      <c r="H1005" s="27"/>
      <c r="I1005" s="48"/>
      <c r="L1005" s="190"/>
      <c r="M1005" s="193"/>
      <c r="N1005" s="27" t="s">
        <v>80</v>
      </c>
      <c r="O1005" s="28">
        <v>3</v>
      </c>
      <c r="P1005" s="28">
        <v>33</v>
      </c>
      <c r="Q1005" s="27" t="s">
        <v>66</v>
      </c>
      <c r="R1005" s="27"/>
      <c r="S1005" s="48"/>
    </row>
    <row r="1006" spans="2:19" x14ac:dyDescent="0.25">
      <c r="B1006" s="190"/>
      <c r="C1006" s="193"/>
      <c r="D1006" s="27" t="s">
        <v>81</v>
      </c>
      <c r="E1006" s="28">
        <v>4</v>
      </c>
      <c r="F1006" s="28">
        <v>34</v>
      </c>
      <c r="G1006" s="27" t="s">
        <v>66</v>
      </c>
      <c r="H1006" s="27"/>
      <c r="I1006" s="48"/>
      <c r="L1006" s="190"/>
      <c r="M1006" s="193"/>
      <c r="N1006" s="27" t="s">
        <v>81</v>
      </c>
      <c r="O1006" s="28">
        <v>4</v>
      </c>
      <c r="P1006" s="28">
        <v>34</v>
      </c>
      <c r="Q1006" s="27" t="s">
        <v>66</v>
      </c>
      <c r="R1006" s="27"/>
      <c r="S1006" s="48"/>
    </row>
    <row r="1007" spans="2:19" x14ac:dyDescent="0.25">
      <c r="B1007" s="190"/>
      <c r="C1007" s="193"/>
      <c r="D1007" s="27" t="s">
        <v>82</v>
      </c>
      <c r="E1007" s="28">
        <v>5</v>
      </c>
      <c r="F1007" s="28">
        <v>35</v>
      </c>
      <c r="G1007" s="27" t="s">
        <v>66</v>
      </c>
      <c r="H1007" s="27"/>
      <c r="I1007" s="48"/>
      <c r="L1007" s="190"/>
      <c r="M1007" s="193"/>
      <c r="N1007" s="27" t="s">
        <v>82</v>
      </c>
      <c r="O1007" s="28">
        <v>5</v>
      </c>
      <c r="P1007" s="28">
        <v>35</v>
      </c>
      <c r="Q1007" s="27" t="s">
        <v>66</v>
      </c>
      <c r="R1007" s="27"/>
      <c r="S1007" s="48"/>
    </row>
    <row r="1008" spans="2:19" ht="15.75" thickBot="1" x14ac:dyDescent="0.3">
      <c r="B1008" s="191"/>
      <c r="C1008" s="194"/>
      <c r="D1008" s="27" t="s">
        <v>83</v>
      </c>
      <c r="E1008" s="28">
        <v>6</v>
      </c>
      <c r="F1008" s="28">
        <v>36</v>
      </c>
      <c r="G1008" s="27" t="s">
        <v>66</v>
      </c>
      <c r="H1008" s="27"/>
      <c r="I1008" s="48"/>
      <c r="L1008" s="191"/>
      <c r="M1008" s="194"/>
      <c r="N1008" s="27" t="s">
        <v>83</v>
      </c>
      <c r="O1008" s="28">
        <v>6</v>
      </c>
      <c r="P1008" s="28">
        <v>36</v>
      </c>
      <c r="Q1008" s="27" t="s">
        <v>66</v>
      </c>
      <c r="R1008" s="27"/>
      <c r="S1008" s="48"/>
    </row>
    <row r="1009" spans="2:19" x14ac:dyDescent="0.25">
      <c r="B1009" s="183" t="s">
        <v>81</v>
      </c>
      <c r="C1009" s="186" t="s">
        <v>77</v>
      </c>
      <c r="D1009" s="29" t="s">
        <v>2</v>
      </c>
      <c r="E1009" s="30">
        <v>1</v>
      </c>
      <c r="F1009" s="30">
        <v>37</v>
      </c>
      <c r="G1009" s="29" t="s">
        <v>66</v>
      </c>
      <c r="H1009" s="29"/>
      <c r="I1009" s="49"/>
      <c r="L1009" s="183" t="s">
        <v>81</v>
      </c>
      <c r="M1009" s="186" t="s">
        <v>77</v>
      </c>
      <c r="N1009" s="29" t="s">
        <v>2</v>
      </c>
      <c r="O1009" s="30">
        <v>1</v>
      </c>
      <c r="P1009" s="30">
        <v>37</v>
      </c>
      <c r="Q1009" s="29" t="s">
        <v>66</v>
      </c>
      <c r="R1009" s="29"/>
      <c r="S1009" s="49"/>
    </row>
    <row r="1010" spans="2:19" x14ac:dyDescent="0.25">
      <c r="B1010" s="184"/>
      <c r="C1010" s="187"/>
      <c r="D1010" s="29" t="s">
        <v>3</v>
      </c>
      <c r="E1010" s="30">
        <v>2</v>
      </c>
      <c r="F1010" s="30">
        <v>38</v>
      </c>
      <c r="G1010" s="29" t="s">
        <v>66</v>
      </c>
      <c r="H1010" s="29"/>
      <c r="I1010" s="49"/>
      <c r="L1010" s="184"/>
      <c r="M1010" s="187"/>
      <c r="N1010" s="29" t="s">
        <v>3</v>
      </c>
      <c r="O1010" s="30">
        <v>2</v>
      </c>
      <c r="P1010" s="30">
        <v>38</v>
      </c>
      <c r="Q1010" s="29" t="s">
        <v>66</v>
      </c>
      <c r="R1010" s="29"/>
      <c r="S1010" s="49"/>
    </row>
    <row r="1011" spans="2:19" x14ac:dyDescent="0.25">
      <c r="B1011" s="184"/>
      <c r="C1011" s="187"/>
      <c r="D1011" s="29" t="s">
        <v>80</v>
      </c>
      <c r="E1011" s="30">
        <v>3</v>
      </c>
      <c r="F1011" s="30">
        <v>39</v>
      </c>
      <c r="G1011" s="29" t="s">
        <v>66</v>
      </c>
      <c r="H1011" s="29"/>
      <c r="I1011" s="49"/>
      <c r="L1011" s="184"/>
      <c r="M1011" s="187"/>
      <c r="N1011" s="29" t="s">
        <v>80</v>
      </c>
      <c r="O1011" s="30">
        <v>3</v>
      </c>
      <c r="P1011" s="30">
        <v>39</v>
      </c>
      <c r="Q1011" s="29" t="s">
        <v>66</v>
      </c>
      <c r="R1011" s="29"/>
      <c r="S1011" s="49"/>
    </row>
    <row r="1012" spans="2:19" x14ac:dyDescent="0.25">
      <c r="B1012" s="184"/>
      <c r="C1012" s="187"/>
      <c r="D1012" s="29" t="s">
        <v>81</v>
      </c>
      <c r="E1012" s="30">
        <v>4</v>
      </c>
      <c r="F1012" s="30">
        <v>40</v>
      </c>
      <c r="G1012" s="29" t="s">
        <v>66</v>
      </c>
      <c r="H1012" s="29"/>
      <c r="I1012" s="49"/>
      <c r="L1012" s="184"/>
      <c r="M1012" s="187"/>
      <c r="N1012" s="29" t="s">
        <v>81</v>
      </c>
      <c r="O1012" s="30">
        <v>4</v>
      </c>
      <c r="P1012" s="30">
        <v>40</v>
      </c>
      <c r="Q1012" s="29" t="s">
        <v>66</v>
      </c>
      <c r="R1012" s="29"/>
      <c r="S1012" s="49"/>
    </row>
    <row r="1013" spans="2:19" x14ac:dyDescent="0.25">
      <c r="B1013" s="184"/>
      <c r="C1013" s="187"/>
      <c r="D1013" s="29" t="s">
        <v>82</v>
      </c>
      <c r="E1013" s="30">
        <v>5</v>
      </c>
      <c r="F1013" s="30">
        <v>41</v>
      </c>
      <c r="G1013" s="29" t="s">
        <v>66</v>
      </c>
      <c r="H1013" s="29"/>
      <c r="I1013" s="49"/>
      <c r="L1013" s="184"/>
      <c r="M1013" s="187"/>
      <c r="N1013" s="29" t="s">
        <v>82</v>
      </c>
      <c r="O1013" s="30">
        <v>5</v>
      </c>
      <c r="P1013" s="30">
        <v>41</v>
      </c>
      <c r="Q1013" s="29" t="s">
        <v>66</v>
      </c>
      <c r="R1013" s="29"/>
      <c r="S1013" s="49"/>
    </row>
    <row r="1014" spans="2:19" ht="15.75" thickBot="1" x14ac:dyDescent="0.3">
      <c r="B1014" s="184"/>
      <c r="C1014" s="188"/>
      <c r="D1014" s="29" t="s">
        <v>83</v>
      </c>
      <c r="E1014" s="30">
        <v>6</v>
      </c>
      <c r="F1014" s="30">
        <v>42</v>
      </c>
      <c r="G1014" s="29" t="s">
        <v>66</v>
      </c>
      <c r="H1014" s="29"/>
      <c r="I1014" s="49"/>
      <c r="L1014" s="184"/>
      <c r="M1014" s="188"/>
      <c r="N1014" s="29" t="s">
        <v>83</v>
      </c>
      <c r="O1014" s="30">
        <v>6</v>
      </c>
      <c r="P1014" s="30">
        <v>42</v>
      </c>
      <c r="Q1014" s="29" t="s">
        <v>66</v>
      </c>
      <c r="R1014" s="29"/>
      <c r="S1014" s="49"/>
    </row>
    <row r="1015" spans="2:19" x14ac:dyDescent="0.25">
      <c r="B1015" s="184"/>
      <c r="C1015" s="186" t="s">
        <v>84</v>
      </c>
      <c r="D1015" s="29" t="s">
        <v>2</v>
      </c>
      <c r="E1015" s="30">
        <v>1</v>
      </c>
      <c r="F1015" s="30">
        <v>43</v>
      </c>
      <c r="G1015" s="29" t="s">
        <v>66</v>
      </c>
      <c r="H1015" s="29"/>
      <c r="I1015" s="49"/>
      <c r="L1015" s="184"/>
      <c r="M1015" s="186" t="s">
        <v>84</v>
      </c>
      <c r="N1015" s="29" t="s">
        <v>2</v>
      </c>
      <c r="O1015" s="30">
        <v>1</v>
      </c>
      <c r="P1015" s="30">
        <v>43</v>
      </c>
      <c r="Q1015" s="29" t="s">
        <v>66</v>
      </c>
      <c r="R1015" s="29"/>
      <c r="S1015" s="49"/>
    </row>
    <row r="1016" spans="2:19" x14ac:dyDescent="0.25">
      <c r="B1016" s="184"/>
      <c r="C1016" s="187"/>
      <c r="D1016" s="29" t="s">
        <v>3</v>
      </c>
      <c r="E1016" s="30">
        <v>2</v>
      </c>
      <c r="F1016" s="30">
        <v>44</v>
      </c>
      <c r="G1016" s="29" t="s">
        <v>66</v>
      </c>
      <c r="H1016" s="29"/>
      <c r="I1016" s="49"/>
      <c r="L1016" s="184"/>
      <c r="M1016" s="187"/>
      <c r="N1016" s="29" t="s">
        <v>3</v>
      </c>
      <c r="O1016" s="30">
        <v>2</v>
      </c>
      <c r="P1016" s="30">
        <v>44</v>
      </c>
      <c r="Q1016" s="29" t="s">
        <v>66</v>
      </c>
      <c r="R1016" s="29"/>
      <c r="S1016" s="49"/>
    </row>
    <row r="1017" spans="2:19" x14ac:dyDescent="0.25">
      <c r="B1017" s="184"/>
      <c r="C1017" s="187"/>
      <c r="D1017" s="29" t="s">
        <v>80</v>
      </c>
      <c r="E1017" s="30">
        <v>3</v>
      </c>
      <c r="F1017" s="30">
        <v>45</v>
      </c>
      <c r="G1017" s="29" t="s">
        <v>66</v>
      </c>
      <c r="H1017" s="29"/>
      <c r="I1017" s="49"/>
      <c r="L1017" s="184"/>
      <c r="M1017" s="187"/>
      <c r="N1017" s="29" t="s">
        <v>80</v>
      </c>
      <c r="O1017" s="30">
        <v>3</v>
      </c>
      <c r="P1017" s="30">
        <v>45</v>
      </c>
      <c r="Q1017" s="29" t="s">
        <v>66</v>
      </c>
      <c r="R1017" s="29"/>
      <c r="S1017" s="49"/>
    </row>
    <row r="1018" spans="2:19" x14ac:dyDescent="0.25">
      <c r="B1018" s="184"/>
      <c r="C1018" s="187"/>
      <c r="D1018" s="29" t="s">
        <v>81</v>
      </c>
      <c r="E1018" s="30">
        <v>4</v>
      </c>
      <c r="F1018" s="30">
        <v>46</v>
      </c>
      <c r="G1018" s="29" t="s">
        <v>66</v>
      </c>
      <c r="H1018" s="29"/>
      <c r="I1018" s="49"/>
      <c r="L1018" s="184"/>
      <c r="M1018" s="187"/>
      <c r="N1018" s="29" t="s">
        <v>81</v>
      </c>
      <c r="O1018" s="30">
        <v>4</v>
      </c>
      <c r="P1018" s="30">
        <v>46</v>
      </c>
      <c r="Q1018" s="29" t="s">
        <v>66</v>
      </c>
      <c r="R1018" s="29"/>
      <c r="S1018" s="49"/>
    </row>
    <row r="1019" spans="2:19" x14ac:dyDescent="0.25">
      <c r="B1019" s="184"/>
      <c r="C1019" s="187"/>
      <c r="D1019" s="29" t="s">
        <v>82</v>
      </c>
      <c r="E1019" s="30">
        <v>5</v>
      </c>
      <c r="F1019" s="30">
        <v>47</v>
      </c>
      <c r="G1019" s="29" t="s">
        <v>66</v>
      </c>
      <c r="H1019" s="29"/>
      <c r="I1019" s="49"/>
      <c r="L1019" s="184"/>
      <c r="M1019" s="187"/>
      <c r="N1019" s="29" t="s">
        <v>82</v>
      </c>
      <c r="O1019" s="30">
        <v>5</v>
      </c>
      <c r="P1019" s="30">
        <v>47</v>
      </c>
      <c r="Q1019" s="29" t="s">
        <v>66</v>
      </c>
      <c r="R1019" s="29"/>
      <c r="S1019" s="49"/>
    </row>
    <row r="1020" spans="2:19" ht="15.75" thickBot="1" x14ac:dyDescent="0.3">
      <c r="B1020" s="185"/>
      <c r="C1020" s="188"/>
      <c r="D1020" s="29" t="s">
        <v>83</v>
      </c>
      <c r="E1020" s="30">
        <v>6</v>
      </c>
      <c r="F1020" s="30">
        <v>48</v>
      </c>
      <c r="G1020" s="29" t="s">
        <v>66</v>
      </c>
      <c r="H1020" s="29"/>
      <c r="I1020" s="49"/>
      <c r="L1020" s="185"/>
      <c r="M1020" s="188"/>
      <c r="N1020" s="29" t="s">
        <v>83</v>
      </c>
      <c r="O1020" s="30">
        <v>6</v>
      </c>
      <c r="P1020" s="30">
        <v>48</v>
      </c>
      <c r="Q1020" s="29" t="s">
        <v>66</v>
      </c>
      <c r="R1020" s="29"/>
      <c r="S1020" s="49"/>
    </row>
  </sheetData>
  <mergeCells count="574">
    <mergeCell ref="H487:H492"/>
    <mergeCell ref="I487:I492"/>
    <mergeCell ref="R487:R492"/>
    <mergeCell ref="S487:S492"/>
    <mergeCell ref="B1009:B1020"/>
    <mergeCell ref="C1009:C1014"/>
    <mergeCell ref="L1009:L1020"/>
    <mergeCell ref="M1009:M1014"/>
    <mergeCell ref="C1015:C1020"/>
    <mergeCell ref="M1015:M1020"/>
    <mergeCell ref="B997:B1008"/>
    <mergeCell ref="C997:C1002"/>
    <mergeCell ref="L997:L1008"/>
    <mergeCell ref="M997:M1002"/>
    <mergeCell ref="C1003:C1008"/>
    <mergeCell ref="M1003:M1008"/>
    <mergeCell ref="C979:C984"/>
    <mergeCell ref="M979:M984"/>
    <mergeCell ref="B985:B996"/>
    <mergeCell ref="C985:C990"/>
    <mergeCell ref="L985:L996"/>
    <mergeCell ref="M985:M990"/>
    <mergeCell ref="C991:C996"/>
    <mergeCell ref="M991:M996"/>
    <mergeCell ref="B970:I970"/>
    <mergeCell ref="L970:S970"/>
    <mergeCell ref="B973:B984"/>
    <mergeCell ref="C973:C978"/>
    <mergeCell ref="H973:H978"/>
    <mergeCell ref="I973:I978"/>
    <mergeCell ref="L973:L984"/>
    <mergeCell ref="M973:M978"/>
    <mergeCell ref="R973:R978"/>
    <mergeCell ref="S973:S978"/>
    <mergeCell ref="B956:B967"/>
    <mergeCell ref="C956:C961"/>
    <mergeCell ref="L956:L967"/>
    <mergeCell ref="M956:M961"/>
    <mergeCell ref="C962:C967"/>
    <mergeCell ref="M962:M967"/>
    <mergeCell ref="B944:B955"/>
    <mergeCell ref="C944:C949"/>
    <mergeCell ref="L944:L955"/>
    <mergeCell ref="M944:M949"/>
    <mergeCell ref="C950:C955"/>
    <mergeCell ref="M950:M955"/>
    <mergeCell ref="R926:R931"/>
    <mergeCell ref="S926:S931"/>
    <mergeCell ref="B932:B943"/>
    <mergeCell ref="C932:C937"/>
    <mergeCell ref="L932:L943"/>
    <mergeCell ref="M932:M937"/>
    <mergeCell ref="C938:C943"/>
    <mergeCell ref="M938:M943"/>
    <mergeCell ref="B917:I917"/>
    <mergeCell ref="L917:S917"/>
    <mergeCell ref="B920:B931"/>
    <mergeCell ref="C920:C925"/>
    <mergeCell ref="L920:L931"/>
    <mergeCell ref="M920:M925"/>
    <mergeCell ref="C926:C931"/>
    <mergeCell ref="H926:H931"/>
    <mergeCell ref="I926:I931"/>
    <mergeCell ref="M926:M931"/>
    <mergeCell ref="B904:B915"/>
    <mergeCell ref="C904:C909"/>
    <mergeCell ref="L904:L915"/>
    <mergeCell ref="M904:M909"/>
    <mergeCell ref="C910:C915"/>
    <mergeCell ref="M910:M915"/>
    <mergeCell ref="B892:B903"/>
    <mergeCell ref="C892:C897"/>
    <mergeCell ref="L892:L903"/>
    <mergeCell ref="M892:M897"/>
    <mergeCell ref="C898:C903"/>
    <mergeCell ref="M898:M903"/>
    <mergeCell ref="R874:R879"/>
    <mergeCell ref="S874:S879"/>
    <mergeCell ref="B880:B891"/>
    <mergeCell ref="C880:C885"/>
    <mergeCell ref="L880:L891"/>
    <mergeCell ref="M880:M885"/>
    <mergeCell ref="C886:C891"/>
    <mergeCell ref="M886:M891"/>
    <mergeCell ref="B865:I865"/>
    <mergeCell ref="L865:S865"/>
    <mergeCell ref="B868:B879"/>
    <mergeCell ref="C868:C873"/>
    <mergeCell ref="L868:L879"/>
    <mergeCell ref="M868:M873"/>
    <mergeCell ref="C874:C879"/>
    <mergeCell ref="H874:H879"/>
    <mergeCell ref="I874:I879"/>
    <mergeCell ref="M874:M879"/>
    <mergeCell ref="B852:B863"/>
    <mergeCell ref="C852:C857"/>
    <mergeCell ref="L852:L863"/>
    <mergeCell ref="M852:M857"/>
    <mergeCell ref="C858:C863"/>
    <mergeCell ref="M858:M863"/>
    <mergeCell ref="B840:B851"/>
    <mergeCell ref="C840:C845"/>
    <mergeCell ref="L840:L851"/>
    <mergeCell ref="M840:M845"/>
    <mergeCell ref="C846:C851"/>
    <mergeCell ref="M846:M851"/>
    <mergeCell ref="R822:R827"/>
    <mergeCell ref="S822:S827"/>
    <mergeCell ref="B828:B839"/>
    <mergeCell ref="C828:C833"/>
    <mergeCell ref="L828:L839"/>
    <mergeCell ref="M828:M833"/>
    <mergeCell ref="C834:C839"/>
    <mergeCell ref="M834:M839"/>
    <mergeCell ref="B813:I813"/>
    <mergeCell ref="L813:S813"/>
    <mergeCell ref="B816:B827"/>
    <mergeCell ref="C816:C821"/>
    <mergeCell ref="L816:L827"/>
    <mergeCell ref="M816:M821"/>
    <mergeCell ref="C822:C827"/>
    <mergeCell ref="H822:H827"/>
    <mergeCell ref="I822:I827"/>
    <mergeCell ref="M822:M827"/>
    <mergeCell ref="B790:B801"/>
    <mergeCell ref="C790:C795"/>
    <mergeCell ref="L790:L801"/>
    <mergeCell ref="M790:M795"/>
    <mergeCell ref="C796:C801"/>
    <mergeCell ref="M796:M801"/>
    <mergeCell ref="B778:B789"/>
    <mergeCell ref="C778:C783"/>
    <mergeCell ref="L778:L789"/>
    <mergeCell ref="M778:M783"/>
    <mergeCell ref="C784:C789"/>
    <mergeCell ref="M784:M789"/>
    <mergeCell ref="R760:R765"/>
    <mergeCell ref="S760:S765"/>
    <mergeCell ref="B766:B777"/>
    <mergeCell ref="C766:C771"/>
    <mergeCell ref="L766:L777"/>
    <mergeCell ref="M766:M771"/>
    <mergeCell ref="C772:C777"/>
    <mergeCell ref="M772:M777"/>
    <mergeCell ref="B751:I751"/>
    <mergeCell ref="L751:S751"/>
    <mergeCell ref="B754:B765"/>
    <mergeCell ref="C754:C759"/>
    <mergeCell ref="L754:L765"/>
    <mergeCell ref="M754:M759"/>
    <mergeCell ref="C760:C765"/>
    <mergeCell ref="H760:H765"/>
    <mergeCell ref="I760:I765"/>
    <mergeCell ref="M760:M765"/>
    <mergeCell ref="B737:B748"/>
    <mergeCell ref="C737:C742"/>
    <mergeCell ref="L737:L748"/>
    <mergeCell ref="M737:M742"/>
    <mergeCell ref="C743:C748"/>
    <mergeCell ref="M743:M748"/>
    <mergeCell ref="B725:B736"/>
    <mergeCell ref="C725:C730"/>
    <mergeCell ref="L725:L736"/>
    <mergeCell ref="M725:M730"/>
    <mergeCell ref="C731:C736"/>
    <mergeCell ref="M731:M736"/>
    <mergeCell ref="R707:R712"/>
    <mergeCell ref="S707:S712"/>
    <mergeCell ref="B713:B724"/>
    <mergeCell ref="C713:C718"/>
    <mergeCell ref="L713:L724"/>
    <mergeCell ref="M713:M718"/>
    <mergeCell ref="C719:C724"/>
    <mergeCell ref="M719:M724"/>
    <mergeCell ref="B698:I698"/>
    <mergeCell ref="L698:S698"/>
    <mergeCell ref="B701:B712"/>
    <mergeCell ref="C701:C706"/>
    <mergeCell ref="L701:L712"/>
    <mergeCell ref="M701:M706"/>
    <mergeCell ref="C707:C712"/>
    <mergeCell ref="H707:H712"/>
    <mergeCell ref="I707:I712"/>
    <mergeCell ref="M707:M712"/>
    <mergeCell ref="B684:B695"/>
    <mergeCell ref="C684:C689"/>
    <mergeCell ref="L684:L695"/>
    <mergeCell ref="M684:M689"/>
    <mergeCell ref="C690:C695"/>
    <mergeCell ref="M690:M695"/>
    <mergeCell ref="B672:B683"/>
    <mergeCell ref="C672:C677"/>
    <mergeCell ref="L672:L683"/>
    <mergeCell ref="M672:M677"/>
    <mergeCell ref="C678:C683"/>
    <mergeCell ref="M678:M683"/>
    <mergeCell ref="R654:R659"/>
    <mergeCell ref="S654:S659"/>
    <mergeCell ref="B660:B671"/>
    <mergeCell ref="C660:C665"/>
    <mergeCell ref="L660:L671"/>
    <mergeCell ref="M660:M665"/>
    <mergeCell ref="C666:C671"/>
    <mergeCell ref="M666:M671"/>
    <mergeCell ref="B645:I645"/>
    <mergeCell ref="L645:S645"/>
    <mergeCell ref="B648:B659"/>
    <mergeCell ref="C648:C653"/>
    <mergeCell ref="L648:L659"/>
    <mergeCell ref="M648:M653"/>
    <mergeCell ref="C654:C659"/>
    <mergeCell ref="H654:H659"/>
    <mergeCell ref="I654:I659"/>
    <mergeCell ref="M654:M659"/>
    <mergeCell ref="B627:B638"/>
    <mergeCell ref="C627:C632"/>
    <mergeCell ref="L627:L638"/>
    <mergeCell ref="M627:M632"/>
    <mergeCell ref="C633:C638"/>
    <mergeCell ref="M633:M638"/>
    <mergeCell ref="B615:B626"/>
    <mergeCell ref="C615:C620"/>
    <mergeCell ref="L615:L626"/>
    <mergeCell ref="M615:M620"/>
    <mergeCell ref="C621:C626"/>
    <mergeCell ref="M621:M626"/>
    <mergeCell ref="R597:R602"/>
    <mergeCell ref="S597:S602"/>
    <mergeCell ref="B603:B614"/>
    <mergeCell ref="C603:C608"/>
    <mergeCell ref="L603:L614"/>
    <mergeCell ref="M603:M608"/>
    <mergeCell ref="C609:C614"/>
    <mergeCell ref="M609:M614"/>
    <mergeCell ref="B588:I588"/>
    <mergeCell ref="L588:S588"/>
    <mergeCell ref="B591:B602"/>
    <mergeCell ref="C591:C596"/>
    <mergeCell ref="L591:L602"/>
    <mergeCell ref="M591:M596"/>
    <mergeCell ref="C597:C602"/>
    <mergeCell ref="H597:H602"/>
    <mergeCell ref="I597:I602"/>
    <mergeCell ref="M597:M602"/>
    <mergeCell ref="B575:B586"/>
    <mergeCell ref="C575:C580"/>
    <mergeCell ref="L575:L586"/>
    <mergeCell ref="M575:M580"/>
    <mergeCell ref="C581:C586"/>
    <mergeCell ref="M581:M586"/>
    <mergeCell ref="B563:B574"/>
    <mergeCell ref="C563:C568"/>
    <mergeCell ref="L563:L574"/>
    <mergeCell ref="M563:M568"/>
    <mergeCell ref="C569:C574"/>
    <mergeCell ref="M569:M574"/>
    <mergeCell ref="R545:R550"/>
    <mergeCell ref="S545:S550"/>
    <mergeCell ref="B551:B562"/>
    <mergeCell ref="C551:C556"/>
    <mergeCell ref="L551:L562"/>
    <mergeCell ref="M551:M556"/>
    <mergeCell ref="C557:C562"/>
    <mergeCell ref="M557:M562"/>
    <mergeCell ref="B536:I536"/>
    <mergeCell ref="L536:S536"/>
    <mergeCell ref="B539:B550"/>
    <mergeCell ref="C539:C544"/>
    <mergeCell ref="L539:L550"/>
    <mergeCell ref="M539:M544"/>
    <mergeCell ref="C545:C550"/>
    <mergeCell ref="H545:H550"/>
    <mergeCell ref="I545:I550"/>
    <mergeCell ref="M545:M550"/>
    <mergeCell ref="B523:B534"/>
    <mergeCell ref="C523:C528"/>
    <mergeCell ref="L523:L534"/>
    <mergeCell ref="M523:M528"/>
    <mergeCell ref="C529:C534"/>
    <mergeCell ref="M529:M534"/>
    <mergeCell ref="B511:B522"/>
    <mergeCell ref="C511:C516"/>
    <mergeCell ref="L511:L522"/>
    <mergeCell ref="M511:M516"/>
    <mergeCell ref="C517:C522"/>
    <mergeCell ref="M517:M522"/>
    <mergeCell ref="B499:B510"/>
    <mergeCell ref="C499:C504"/>
    <mergeCell ref="L499:L510"/>
    <mergeCell ref="M499:M504"/>
    <mergeCell ref="C505:C510"/>
    <mergeCell ref="M505:M510"/>
    <mergeCell ref="B484:I484"/>
    <mergeCell ref="L484:S484"/>
    <mergeCell ref="B487:B498"/>
    <mergeCell ref="C487:C492"/>
    <mergeCell ref="L487:L498"/>
    <mergeCell ref="M487:M492"/>
    <mergeCell ref="C493:C498"/>
    <mergeCell ref="M493:M498"/>
    <mergeCell ref="B471:B482"/>
    <mergeCell ref="C471:C476"/>
    <mergeCell ref="L471:L482"/>
    <mergeCell ref="M471:M476"/>
    <mergeCell ref="C477:C482"/>
    <mergeCell ref="M477:M482"/>
    <mergeCell ref="B459:B470"/>
    <mergeCell ref="C459:C464"/>
    <mergeCell ref="L459:L470"/>
    <mergeCell ref="M459:M464"/>
    <mergeCell ref="C465:C470"/>
    <mergeCell ref="M465:M470"/>
    <mergeCell ref="C441:C446"/>
    <mergeCell ref="M441:M446"/>
    <mergeCell ref="B447:B458"/>
    <mergeCell ref="C447:C452"/>
    <mergeCell ref="L447:L458"/>
    <mergeCell ref="M447:M452"/>
    <mergeCell ref="C453:C458"/>
    <mergeCell ref="M453:M458"/>
    <mergeCell ref="B432:I432"/>
    <mergeCell ref="L432:S432"/>
    <mergeCell ref="B435:B446"/>
    <mergeCell ref="C435:C440"/>
    <mergeCell ref="H435:H440"/>
    <mergeCell ref="I435:I440"/>
    <mergeCell ref="L435:L446"/>
    <mergeCell ref="M435:M440"/>
    <mergeCell ref="R435:R440"/>
    <mergeCell ref="S435:S440"/>
    <mergeCell ref="B414:B425"/>
    <mergeCell ref="C414:C419"/>
    <mergeCell ref="L414:L425"/>
    <mergeCell ref="M414:M419"/>
    <mergeCell ref="C420:C425"/>
    <mergeCell ref="M420:M425"/>
    <mergeCell ref="B402:B413"/>
    <mergeCell ref="C402:C407"/>
    <mergeCell ref="L402:L413"/>
    <mergeCell ref="M402:M407"/>
    <mergeCell ref="C408:C413"/>
    <mergeCell ref="M408:M413"/>
    <mergeCell ref="C384:C389"/>
    <mergeCell ref="M384:M389"/>
    <mergeCell ref="B390:B401"/>
    <mergeCell ref="C390:C395"/>
    <mergeCell ref="L390:L401"/>
    <mergeCell ref="M390:M395"/>
    <mergeCell ref="C396:C401"/>
    <mergeCell ref="M396:M401"/>
    <mergeCell ref="B375:I375"/>
    <mergeCell ref="L375:S375"/>
    <mergeCell ref="B378:B389"/>
    <mergeCell ref="C378:C383"/>
    <mergeCell ref="H378:H383"/>
    <mergeCell ref="I378:I383"/>
    <mergeCell ref="L378:L389"/>
    <mergeCell ref="M378:M383"/>
    <mergeCell ref="R378:R383"/>
    <mergeCell ref="S378:S383"/>
    <mergeCell ref="B362:B373"/>
    <mergeCell ref="C362:C367"/>
    <mergeCell ref="L362:L373"/>
    <mergeCell ref="M362:M367"/>
    <mergeCell ref="C368:C373"/>
    <mergeCell ref="M368:M373"/>
    <mergeCell ref="B350:B361"/>
    <mergeCell ref="C350:C355"/>
    <mergeCell ref="L350:L361"/>
    <mergeCell ref="M350:M355"/>
    <mergeCell ref="C356:C361"/>
    <mergeCell ref="M356:M361"/>
    <mergeCell ref="C332:C337"/>
    <mergeCell ref="M332:M337"/>
    <mergeCell ref="B338:B349"/>
    <mergeCell ref="C338:C343"/>
    <mergeCell ref="L338:L349"/>
    <mergeCell ref="M338:M343"/>
    <mergeCell ref="C344:C349"/>
    <mergeCell ref="M344:M349"/>
    <mergeCell ref="B323:I323"/>
    <mergeCell ref="L323:S323"/>
    <mergeCell ref="B326:B337"/>
    <mergeCell ref="C326:C331"/>
    <mergeCell ref="H326:H331"/>
    <mergeCell ref="I326:I331"/>
    <mergeCell ref="L326:L337"/>
    <mergeCell ref="M326:M331"/>
    <mergeCell ref="R326:R331"/>
    <mergeCell ref="S326:S331"/>
    <mergeCell ref="B310:B321"/>
    <mergeCell ref="C310:C315"/>
    <mergeCell ref="L310:L321"/>
    <mergeCell ref="M310:M315"/>
    <mergeCell ref="C316:C321"/>
    <mergeCell ref="M316:M321"/>
    <mergeCell ref="B298:B309"/>
    <mergeCell ref="C298:C303"/>
    <mergeCell ref="L298:L309"/>
    <mergeCell ref="M298:M303"/>
    <mergeCell ref="C304:C309"/>
    <mergeCell ref="M304:M309"/>
    <mergeCell ref="C280:C285"/>
    <mergeCell ref="M280:M285"/>
    <mergeCell ref="B286:B297"/>
    <mergeCell ref="C286:C291"/>
    <mergeCell ref="L286:L297"/>
    <mergeCell ref="M286:M291"/>
    <mergeCell ref="C292:C297"/>
    <mergeCell ref="M292:M297"/>
    <mergeCell ref="B271:I271"/>
    <mergeCell ref="L271:S271"/>
    <mergeCell ref="B274:B285"/>
    <mergeCell ref="C274:C279"/>
    <mergeCell ref="H274:H279"/>
    <mergeCell ref="I274:I279"/>
    <mergeCell ref="L274:L285"/>
    <mergeCell ref="M274:M279"/>
    <mergeCell ref="R274:R279"/>
    <mergeCell ref="S274:S279"/>
    <mergeCell ref="B258:B269"/>
    <mergeCell ref="C258:C263"/>
    <mergeCell ref="L258:L269"/>
    <mergeCell ref="M258:M263"/>
    <mergeCell ref="C264:C269"/>
    <mergeCell ref="M264:M269"/>
    <mergeCell ref="B246:B257"/>
    <mergeCell ref="C246:C251"/>
    <mergeCell ref="L246:L257"/>
    <mergeCell ref="M246:M251"/>
    <mergeCell ref="C252:C257"/>
    <mergeCell ref="M252:M257"/>
    <mergeCell ref="C228:C233"/>
    <mergeCell ref="M228:M233"/>
    <mergeCell ref="B234:B245"/>
    <mergeCell ref="C234:C239"/>
    <mergeCell ref="L234:L245"/>
    <mergeCell ref="M234:M239"/>
    <mergeCell ref="C240:C245"/>
    <mergeCell ref="M240:M245"/>
    <mergeCell ref="B219:I219"/>
    <mergeCell ref="L219:S219"/>
    <mergeCell ref="B222:B233"/>
    <mergeCell ref="C222:C227"/>
    <mergeCell ref="H222:H227"/>
    <mergeCell ref="I222:I227"/>
    <mergeCell ref="L222:L233"/>
    <mergeCell ref="M222:M227"/>
    <mergeCell ref="R222:R227"/>
    <mergeCell ref="S222:S227"/>
    <mergeCell ref="B201:B212"/>
    <mergeCell ref="C201:C206"/>
    <mergeCell ref="L201:L212"/>
    <mergeCell ref="M201:M206"/>
    <mergeCell ref="C207:C212"/>
    <mergeCell ref="M207:M212"/>
    <mergeCell ref="B189:B200"/>
    <mergeCell ref="C189:C194"/>
    <mergeCell ref="L189:L200"/>
    <mergeCell ref="M189:M194"/>
    <mergeCell ref="C195:C200"/>
    <mergeCell ref="M195:M200"/>
    <mergeCell ref="C171:C176"/>
    <mergeCell ref="M171:M176"/>
    <mergeCell ref="B177:B188"/>
    <mergeCell ref="C177:C182"/>
    <mergeCell ref="L177:L188"/>
    <mergeCell ref="M177:M182"/>
    <mergeCell ref="C183:C188"/>
    <mergeCell ref="M183:M188"/>
    <mergeCell ref="B162:I162"/>
    <mergeCell ref="L162:S162"/>
    <mergeCell ref="B165:B176"/>
    <mergeCell ref="C165:C170"/>
    <mergeCell ref="H165:H170"/>
    <mergeCell ref="I165:I170"/>
    <mergeCell ref="L165:L176"/>
    <mergeCell ref="M165:M170"/>
    <mergeCell ref="R165:R170"/>
    <mergeCell ref="S165:S170"/>
    <mergeCell ref="B149:B160"/>
    <mergeCell ref="C149:C154"/>
    <mergeCell ref="L149:L160"/>
    <mergeCell ref="M149:M154"/>
    <mergeCell ref="C155:C160"/>
    <mergeCell ref="M155:M160"/>
    <mergeCell ref="B137:B148"/>
    <mergeCell ref="C137:C142"/>
    <mergeCell ref="L137:L148"/>
    <mergeCell ref="M137:M142"/>
    <mergeCell ref="C143:C148"/>
    <mergeCell ref="M143:M148"/>
    <mergeCell ref="C119:C124"/>
    <mergeCell ref="M119:M124"/>
    <mergeCell ref="B125:B136"/>
    <mergeCell ref="C125:C130"/>
    <mergeCell ref="L125:L136"/>
    <mergeCell ref="M125:M130"/>
    <mergeCell ref="C131:C136"/>
    <mergeCell ref="M131:M136"/>
    <mergeCell ref="B110:I110"/>
    <mergeCell ref="L110:S110"/>
    <mergeCell ref="B113:B124"/>
    <mergeCell ref="C113:C118"/>
    <mergeCell ref="H113:H118"/>
    <mergeCell ref="I113:I118"/>
    <mergeCell ref="L113:L124"/>
    <mergeCell ref="M113:M118"/>
    <mergeCell ref="R113:R118"/>
    <mergeCell ref="S113:S118"/>
    <mergeCell ref="B97:B108"/>
    <mergeCell ref="C97:C102"/>
    <mergeCell ref="L97:L108"/>
    <mergeCell ref="M97:M102"/>
    <mergeCell ref="C103:C108"/>
    <mergeCell ref="M103:M108"/>
    <mergeCell ref="B85:B96"/>
    <mergeCell ref="C85:C90"/>
    <mergeCell ref="L85:L96"/>
    <mergeCell ref="M85:M90"/>
    <mergeCell ref="C91:C96"/>
    <mergeCell ref="M91:M96"/>
    <mergeCell ref="C67:C72"/>
    <mergeCell ref="M67:M72"/>
    <mergeCell ref="B73:B84"/>
    <mergeCell ref="C73:C78"/>
    <mergeCell ref="L73:L84"/>
    <mergeCell ref="M73:M78"/>
    <mergeCell ref="C79:C84"/>
    <mergeCell ref="M79:M84"/>
    <mergeCell ref="B58:I58"/>
    <mergeCell ref="L58:S58"/>
    <mergeCell ref="B61:B72"/>
    <mergeCell ref="C61:C66"/>
    <mergeCell ref="H61:H66"/>
    <mergeCell ref="I61:I66"/>
    <mergeCell ref="L61:L72"/>
    <mergeCell ref="M61:M66"/>
    <mergeCell ref="R61:R66"/>
    <mergeCell ref="S61:S66"/>
    <mergeCell ref="B45:B56"/>
    <mergeCell ref="C45:C50"/>
    <mergeCell ref="L45:L56"/>
    <mergeCell ref="M45:M50"/>
    <mergeCell ref="C51:C56"/>
    <mergeCell ref="M51:M56"/>
    <mergeCell ref="B33:B44"/>
    <mergeCell ref="C33:C38"/>
    <mergeCell ref="L33:L44"/>
    <mergeCell ref="M33:M38"/>
    <mergeCell ref="C39:C44"/>
    <mergeCell ref="M39:M44"/>
    <mergeCell ref="B21:B32"/>
    <mergeCell ref="C21:C26"/>
    <mergeCell ref="L21:L32"/>
    <mergeCell ref="M21:M26"/>
    <mergeCell ref="C27:C32"/>
    <mergeCell ref="M27:M32"/>
    <mergeCell ref="C15:C20"/>
    <mergeCell ref="H15:H20"/>
    <mergeCell ref="I15:I20"/>
    <mergeCell ref="M15:M20"/>
    <mergeCell ref="R15:R20"/>
    <mergeCell ref="S15:S20"/>
    <mergeCell ref="B6:I6"/>
    <mergeCell ref="L6:S6"/>
    <mergeCell ref="B9:B20"/>
    <mergeCell ref="C9:C14"/>
    <mergeCell ref="H9:H14"/>
    <mergeCell ref="I9:I14"/>
    <mergeCell ref="L9:L20"/>
    <mergeCell ref="M9:M14"/>
    <mergeCell ref="R9:R14"/>
    <mergeCell ref="S9:S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C916"/>
  <sheetViews>
    <sheetView zoomScale="40" zoomScaleNormal="40" workbookViewId="0">
      <selection activeCell="Y700" sqref="Y700"/>
    </sheetView>
  </sheetViews>
  <sheetFormatPr defaultRowHeight="15" x14ac:dyDescent="0.25"/>
  <cols>
    <col min="2" max="2" width="15.5703125" customWidth="1"/>
    <col min="3" max="3" width="10.85546875" customWidth="1"/>
    <col min="4" max="4" width="17.85546875" customWidth="1"/>
    <col min="5" max="5" width="15.85546875" customWidth="1"/>
    <col min="7" max="7" width="10.42578125" bestFit="1" customWidth="1"/>
    <col min="8" max="8" width="14.7109375" style="13" customWidth="1"/>
    <col min="9" max="9" width="35.85546875" style="13" bestFit="1" customWidth="1"/>
    <col min="12" max="12" width="13.7109375" customWidth="1"/>
    <col min="13" max="13" width="10.7109375" bestFit="1" customWidth="1"/>
    <col min="14" max="14" width="20.140625" customWidth="1"/>
    <col min="15" max="15" width="15.5703125" customWidth="1"/>
    <col min="17" max="17" width="10.42578125" bestFit="1" customWidth="1"/>
    <col min="18" max="18" width="10.42578125" customWidth="1"/>
    <col min="19" max="19" width="25.42578125" style="13" bestFit="1" customWidth="1"/>
    <col min="22" max="22" width="12.7109375" bestFit="1" customWidth="1"/>
    <col min="23" max="23" width="9.85546875" bestFit="1" customWidth="1"/>
    <col min="28" max="28" width="10.42578125" bestFit="1" customWidth="1"/>
    <col min="29" max="29" width="33" bestFit="1" customWidth="1"/>
  </cols>
  <sheetData>
    <row r="4" spans="2:19" ht="31.5" x14ac:dyDescent="0.5">
      <c r="B4" s="14"/>
      <c r="C4" s="14"/>
      <c r="D4" s="14"/>
      <c r="E4" s="14"/>
      <c r="F4" s="14"/>
      <c r="G4" s="14"/>
      <c r="H4" s="65"/>
    </row>
    <row r="5" spans="2:19" ht="15.75" thickBot="1" x14ac:dyDescent="0.3"/>
    <row r="6" spans="2:19" ht="15.75" thickBot="1" x14ac:dyDescent="0.3">
      <c r="B6" s="171" t="s">
        <v>382</v>
      </c>
      <c r="C6" s="172"/>
      <c r="D6" s="172"/>
      <c r="E6" s="172"/>
      <c r="F6" s="172"/>
      <c r="G6" s="172"/>
      <c r="H6" s="172"/>
      <c r="I6" s="173"/>
      <c r="L6" s="171" t="s">
        <v>383</v>
      </c>
      <c r="M6" s="172"/>
      <c r="N6" s="172"/>
      <c r="O6" s="172"/>
      <c r="P6" s="172"/>
      <c r="Q6" s="172"/>
      <c r="R6" s="172"/>
      <c r="S6" s="173"/>
    </row>
    <row r="8" spans="2:19" ht="26.25" thickBot="1" x14ac:dyDescent="0.3">
      <c r="B8" s="15" t="s">
        <v>70</v>
      </c>
      <c r="C8" s="16" t="s">
        <v>71</v>
      </c>
      <c r="D8" s="15" t="s">
        <v>72</v>
      </c>
      <c r="E8" s="17" t="s">
        <v>73</v>
      </c>
      <c r="F8" s="17" t="s">
        <v>74</v>
      </c>
      <c r="G8" s="15" t="s">
        <v>75</v>
      </c>
      <c r="H8" s="15" t="s">
        <v>55</v>
      </c>
      <c r="I8" s="15" t="s">
        <v>76</v>
      </c>
      <c r="L8" s="15" t="s">
        <v>70</v>
      </c>
      <c r="M8" s="16" t="s">
        <v>71</v>
      </c>
      <c r="N8" s="15" t="s">
        <v>72</v>
      </c>
      <c r="O8" s="17" t="s">
        <v>73</v>
      </c>
      <c r="P8" s="17" t="s">
        <v>74</v>
      </c>
      <c r="Q8" s="15" t="s">
        <v>75</v>
      </c>
      <c r="R8" s="15" t="s">
        <v>55</v>
      </c>
      <c r="S8" s="15" t="s">
        <v>76</v>
      </c>
    </row>
    <row r="9" spans="2:19" x14ac:dyDescent="0.25">
      <c r="B9" s="174" t="s">
        <v>2</v>
      </c>
      <c r="C9" s="168" t="s">
        <v>77</v>
      </c>
      <c r="D9" s="18" t="s">
        <v>2</v>
      </c>
      <c r="E9" s="19">
        <v>1</v>
      </c>
      <c r="F9" s="19">
        <v>1</v>
      </c>
      <c r="G9" s="18" t="s">
        <v>66</v>
      </c>
      <c r="H9" s="32"/>
      <c r="I9" s="50"/>
      <c r="L9" s="174" t="s">
        <v>2</v>
      </c>
      <c r="M9" s="168" t="s">
        <v>77</v>
      </c>
      <c r="N9" s="18" t="s">
        <v>2</v>
      </c>
      <c r="O9" s="19">
        <v>1</v>
      </c>
      <c r="P9" s="19">
        <v>1</v>
      </c>
      <c r="Q9" s="18" t="s">
        <v>66</v>
      </c>
      <c r="R9" s="32"/>
      <c r="S9" s="50"/>
    </row>
    <row r="10" spans="2:19" x14ac:dyDescent="0.25">
      <c r="B10" s="175"/>
      <c r="C10" s="169"/>
      <c r="D10" s="18" t="s">
        <v>3</v>
      </c>
      <c r="E10" s="19">
        <v>2</v>
      </c>
      <c r="F10" s="19">
        <v>2</v>
      </c>
      <c r="G10" s="18" t="s">
        <v>66</v>
      </c>
      <c r="H10" s="32"/>
      <c r="I10" s="50"/>
      <c r="L10" s="175"/>
      <c r="M10" s="169"/>
      <c r="N10" s="18" t="s">
        <v>3</v>
      </c>
      <c r="O10" s="19">
        <v>2</v>
      </c>
      <c r="P10" s="19">
        <v>2</v>
      </c>
      <c r="Q10" s="18" t="s">
        <v>66</v>
      </c>
      <c r="R10" s="32"/>
      <c r="S10" s="50"/>
    </row>
    <row r="11" spans="2:19" x14ac:dyDescent="0.25">
      <c r="B11" s="175"/>
      <c r="C11" s="169"/>
      <c r="D11" s="18" t="s">
        <v>80</v>
      </c>
      <c r="E11" s="20">
        <v>3</v>
      </c>
      <c r="F11" s="20">
        <v>3</v>
      </c>
      <c r="G11" s="18" t="s">
        <v>66</v>
      </c>
      <c r="H11" s="32"/>
      <c r="I11" s="50"/>
      <c r="L11" s="175"/>
      <c r="M11" s="169"/>
      <c r="N11" s="18" t="s">
        <v>80</v>
      </c>
      <c r="O11" s="20">
        <v>3</v>
      </c>
      <c r="P11" s="20">
        <v>3</v>
      </c>
      <c r="Q11" s="18" t="s">
        <v>66</v>
      </c>
      <c r="R11" s="32"/>
      <c r="S11" s="50"/>
    </row>
    <row r="12" spans="2:19" x14ac:dyDescent="0.25">
      <c r="B12" s="175"/>
      <c r="C12" s="169"/>
      <c r="D12" s="18" t="s">
        <v>81</v>
      </c>
      <c r="E12" s="20">
        <v>4</v>
      </c>
      <c r="F12" s="20">
        <v>4</v>
      </c>
      <c r="G12" s="18" t="s">
        <v>66</v>
      </c>
      <c r="H12" s="32"/>
      <c r="I12" s="50"/>
      <c r="L12" s="175"/>
      <c r="M12" s="169"/>
      <c r="N12" s="18" t="s">
        <v>81</v>
      </c>
      <c r="O12" s="20">
        <v>4</v>
      </c>
      <c r="P12" s="20">
        <v>4</v>
      </c>
      <c r="Q12" s="18" t="s">
        <v>66</v>
      </c>
      <c r="R12" s="32"/>
      <c r="S12" s="50"/>
    </row>
    <row r="13" spans="2:19" x14ac:dyDescent="0.25">
      <c r="B13" s="175"/>
      <c r="C13" s="169"/>
      <c r="D13" s="18" t="s">
        <v>82</v>
      </c>
      <c r="E13" s="20">
        <v>5</v>
      </c>
      <c r="F13" s="20">
        <v>5</v>
      </c>
      <c r="G13" s="18" t="s">
        <v>66</v>
      </c>
      <c r="H13" s="32"/>
      <c r="I13" s="50"/>
      <c r="L13" s="175"/>
      <c r="M13" s="169"/>
      <c r="N13" s="18" t="s">
        <v>82</v>
      </c>
      <c r="O13" s="20">
        <v>5</v>
      </c>
      <c r="P13" s="20">
        <v>5</v>
      </c>
      <c r="Q13" s="18" t="s">
        <v>66</v>
      </c>
      <c r="R13" s="32"/>
      <c r="S13" s="50"/>
    </row>
    <row r="14" spans="2:19" ht="15.75" thickBot="1" x14ac:dyDescent="0.3">
      <c r="B14" s="175"/>
      <c r="C14" s="170"/>
      <c r="D14" s="18" t="s">
        <v>83</v>
      </c>
      <c r="E14" s="20">
        <v>6</v>
      </c>
      <c r="F14" s="20">
        <v>6</v>
      </c>
      <c r="G14" s="18" t="s">
        <v>66</v>
      </c>
      <c r="H14" s="32"/>
      <c r="I14" s="50"/>
      <c r="L14" s="175"/>
      <c r="M14" s="170"/>
      <c r="N14" s="18" t="s">
        <v>83</v>
      </c>
      <c r="O14" s="20">
        <v>6</v>
      </c>
      <c r="P14" s="20">
        <v>6</v>
      </c>
      <c r="Q14" s="18" t="s">
        <v>66</v>
      </c>
      <c r="R14" s="32"/>
      <c r="S14" s="50"/>
    </row>
    <row r="15" spans="2:19" x14ac:dyDescent="0.25">
      <c r="B15" s="175"/>
      <c r="C15" s="168" t="s">
        <v>84</v>
      </c>
      <c r="D15" s="18" t="s">
        <v>2</v>
      </c>
      <c r="E15" s="19">
        <v>1</v>
      </c>
      <c r="F15" s="19">
        <v>7</v>
      </c>
      <c r="G15" s="18" t="s">
        <v>78</v>
      </c>
      <c r="H15" s="156" t="s">
        <v>384</v>
      </c>
      <c r="I15" s="165" t="s">
        <v>211</v>
      </c>
      <c r="L15" s="175"/>
      <c r="M15" s="168" t="s">
        <v>84</v>
      </c>
      <c r="N15" s="18" t="s">
        <v>2</v>
      </c>
      <c r="O15" s="19">
        <v>1</v>
      </c>
      <c r="P15" s="19">
        <v>7</v>
      </c>
      <c r="Q15" s="18" t="s">
        <v>66</v>
      </c>
      <c r="R15" s="32"/>
      <c r="S15" s="50"/>
    </row>
    <row r="16" spans="2:19" x14ac:dyDescent="0.25">
      <c r="B16" s="175"/>
      <c r="C16" s="169"/>
      <c r="D16" s="18" t="s">
        <v>3</v>
      </c>
      <c r="E16" s="19">
        <v>2</v>
      </c>
      <c r="F16" s="19">
        <v>8</v>
      </c>
      <c r="G16" s="18" t="s">
        <v>78</v>
      </c>
      <c r="H16" s="157"/>
      <c r="I16" s="166"/>
      <c r="L16" s="175"/>
      <c r="M16" s="169"/>
      <c r="N16" s="18" t="s">
        <v>3</v>
      </c>
      <c r="O16" s="19">
        <v>2</v>
      </c>
      <c r="P16" s="19">
        <v>8</v>
      </c>
      <c r="Q16" s="18" t="s">
        <v>66</v>
      </c>
      <c r="R16" s="32"/>
      <c r="S16" s="50"/>
    </row>
    <row r="17" spans="2:19" x14ac:dyDescent="0.25">
      <c r="B17" s="175"/>
      <c r="C17" s="169"/>
      <c r="D17" s="18" t="s">
        <v>80</v>
      </c>
      <c r="E17" s="20">
        <v>3</v>
      </c>
      <c r="F17" s="20">
        <v>9</v>
      </c>
      <c r="G17" s="18" t="s">
        <v>66</v>
      </c>
      <c r="H17" s="157"/>
      <c r="I17" s="166"/>
      <c r="L17" s="175"/>
      <c r="M17" s="169"/>
      <c r="N17" s="18" t="s">
        <v>80</v>
      </c>
      <c r="O17" s="20">
        <v>3</v>
      </c>
      <c r="P17" s="20">
        <v>9</v>
      </c>
      <c r="Q17" s="18" t="s">
        <v>66</v>
      </c>
      <c r="R17" s="32"/>
      <c r="S17" s="50"/>
    </row>
    <row r="18" spans="2:19" x14ac:dyDescent="0.25">
      <c r="B18" s="175"/>
      <c r="C18" s="169"/>
      <c r="D18" s="18" t="s">
        <v>81</v>
      </c>
      <c r="E18" s="20">
        <v>4</v>
      </c>
      <c r="F18" s="20">
        <v>10</v>
      </c>
      <c r="G18" s="18" t="s">
        <v>66</v>
      </c>
      <c r="H18" s="157"/>
      <c r="I18" s="166"/>
      <c r="L18" s="175"/>
      <c r="M18" s="169"/>
      <c r="N18" s="18" t="s">
        <v>81</v>
      </c>
      <c r="O18" s="20">
        <v>4</v>
      </c>
      <c r="P18" s="20">
        <v>10</v>
      </c>
      <c r="Q18" s="18" t="s">
        <v>66</v>
      </c>
      <c r="R18" s="32"/>
      <c r="S18" s="50"/>
    </row>
    <row r="19" spans="2:19" x14ac:dyDescent="0.25">
      <c r="B19" s="175"/>
      <c r="C19" s="169"/>
      <c r="D19" s="18" t="s">
        <v>82</v>
      </c>
      <c r="E19" s="20">
        <v>5</v>
      </c>
      <c r="F19" s="20">
        <v>11</v>
      </c>
      <c r="G19" s="18" t="s">
        <v>66</v>
      </c>
      <c r="H19" s="157"/>
      <c r="I19" s="166"/>
      <c r="L19" s="175"/>
      <c r="M19" s="169"/>
      <c r="N19" s="18" t="s">
        <v>82</v>
      </c>
      <c r="O19" s="20">
        <v>5</v>
      </c>
      <c r="P19" s="20">
        <v>11</v>
      </c>
      <c r="Q19" s="18" t="s">
        <v>66</v>
      </c>
      <c r="R19" s="32"/>
      <c r="S19" s="50"/>
    </row>
    <row r="20" spans="2:19" ht="15.75" thickBot="1" x14ac:dyDescent="0.3">
      <c r="B20" s="176"/>
      <c r="C20" s="170"/>
      <c r="D20" s="18" t="s">
        <v>83</v>
      </c>
      <c r="E20" s="20">
        <v>6</v>
      </c>
      <c r="F20" s="20">
        <v>12</v>
      </c>
      <c r="G20" s="18" t="s">
        <v>66</v>
      </c>
      <c r="H20" s="158"/>
      <c r="I20" s="167"/>
      <c r="L20" s="176"/>
      <c r="M20" s="170"/>
      <c r="N20" s="18" t="s">
        <v>83</v>
      </c>
      <c r="O20" s="20">
        <v>6</v>
      </c>
      <c r="P20" s="20">
        <v>12</v>
      </c>
      <c r="Q20" s="18" t="s">
        <v>66</v>
      </c>
      <c r="R20" s="32"/>
      <c r="S20" s="50"/>
    </row>
    <row r="21" spans="2:19" x14ac:dyDescent="0.25">
      <c r="B21" s="180" t="s">
        <v>3</v>
      </c>
      <c r="C21" s="177" t="s">
        <v>77</v>
      </c>
      <c r="D21" s="21" t="s">
        <v>2</v>
      </c>
      <c r="E21" s="22">
        <v>1</v>
      </c>
      <c r="F21" s="22">
        <v>13</v>
      </c>
      <c r="G21" s="21" t="s">
        <v>78</v>
      </c>
      <c r="H21" s="159" t="s">
        <v>385</v>
      </c>
      <c r="I21" s="162" t="s">
        <v>221</v>
      </c>
      <c r="L21" s="180" t="s">
        <v>3</v>
      </c>
      <c r="M21" s="177" t="s">
        <v>77</v>
      </c>
      <c r="N21" s="21" t="s">
        <v>2</v>
      </c>
      <c r="O21" s="22">
        <v>1</v>
      </c>
      <c r="P21" s="22">
        <v>13</v>
      </c>
      <c r="Q21" s="21" t="s">
        <v>66</v>
      </c>
      <c r="R21" s="63"/>
      <c r="S21" s="64"/>
    </row>
    <row r="22" spans="2:19" x14ac:dyDescent="0.25">
      <c r="B22" s="181"/>
      <c r="C22" s="178"/>
      <c r="D22" s="23" t="s">
        <v>3</v>
      </c>
      <c r="E22" s="24">
        <v>2</v>
      </c>
      <c r="F22" s="24">
        <v>14</v>
      </c>
      <c r="G22" s="23" t="s">
        <v>78</v>
      </c>
      <c r="H22" s="160"/>
      <c r="I22" s="163"/>
      <c r="L22" s="181"/>
      <c r="M22" s="178"/>
      <c r="N22" s="23" t="s">
        <v>3</v>
      </c>
      <c r="O22" s="24">
        <v>2</v>
      </c>
      <c r="P22" s="24">
        <v>14</v>
      </c>
      <c r="Q22" s="23" t="s">
        <v>66</v>
      </c>
      <c r="R22" s="63"/>
      <c r="S22" s="64"/>
    </row>
    <row r="23" spans="2:19" x14ac:dyDescent="0.25">
      <c r="B23" s="181"/>
      <c r="C23" s="178"/>
      <c r="D23" s="23" t="s">
        <v>80</v>
      </c>
      <c r="E23" s="24">
        <v>3</v>
      </c>
      <c r="F23" s="24">
        <v>15</v>
      </c>
      <c r="G23" s="23" t="s">
        <v>66</v>
      </c>
      <c r="H23" s="160"/>
      <c r="I23" s="163"/>
      <c r="L23" s="181"/>
      <c r="M23" s="178"/>
      <c r="N23" s="23" t="s">
        <v>80</v>
      </c>
      <c r="O23" s="24">
        <v>3</v>
      </c>
      <c r="P23" s="24">
        <v>15</v>
      </c>
      <c r="Q23" s="23" t="s">
        <v>66</v>
      </c>
      <c r="R23" s="63"/>
      <c r="S23" s="64"/>
    </row>
    <row r="24" spans="2:19" x14ac:dyDescent="0.25">
      <c r="B24" s="181"/>
      <c r="C24" s="178"/>
      <c r="D24" s="23" t="s">
        <v>81</v>
      </c>
      <c r="E24" s="24">
        <v>4</v>
      </c>
      <c r="F24" s="24">
        <v>16</v>
      </c>
      <c r="G24" s="23" t="s">
        <v>66</v>
      </c>
      <c r="H24" s="160"/>
      <c r="I24" s="163"/>
      <c r="L24" s="181"/>
      <c r="M24" s="178"/>
      <c r="N24" s="23" t="s">
        <v>81</v>
      </c>
      <c r="O24" s="24">
        <v>4</v>
      </c>
      <c r="P24" s="24">
        <v>16</v>
      </c>
      <c r="Q24" s="23" t="s">
        <v>66</v>
      </c>
      <c r="R24" s="63"/>
      <c r="S24" s="64"/>
    </row>
    <row r="25" spans="2:19" x14ac:dyDescent="0.25">
      <c r="B25" s="181"/>
      <c r="C25" s="178"/>
      <c r="D25" s="23" t="s">
        <v>82</v>
      </c>
      <c r="E25" s="24">
        <v>5</v>
      </c>
      <c r="F25" s="24">
        <v>17</v>
      </c>
      <c r="G25" s="23" t="s">
        <v>66</v>
      </c>
      <c r="H25" s="160"/>
      <c r="I25" s="163"/>
      <c r="L25" s="181"/>
      <c r="M25" s="178"/>
      <c r="N25" s="23" t="s">
        <v>82</v>
      </c>
      <c r="O25" s="24">
        <v>5</v>
      </c>
      <c r="P25" s="24">
        <v>17</v>
      </c>
      <c r="Q25" s="23" t="s">
        <v>66</v>
      </c>
      <c r="R25" s="63"/>
      <c r="S25" s="64"/>
    </row>
    <row r="26" spans="2:19" ht="15.75" thickBot="1" x14ac:dyDescent="0.3">
      <c r="B26" s="181"/>
      <c r="C26" s="179"/>
      <c r="D26" s="23" t="s">
        <v>83</v>
      </c>
      <c r="E26" s="24">
        <v>6</v>
      </c>
      <c r="F26" s="24">
        <v>18</v>
      </c>
      <c r="G26" s="23" t="s">
        <v>66</v>
      </c>
      <c r="H26" s="161"/>
      <c r="I26" s="164"/>
      <c r="L26" s="181"/>
      <c r="M26" s="179"/>
      <c r="N26" s="23" t="s">
        <v>83</v>
      </c>
      <c r="O26" s="24">
        <v>6</v>
      </c>
      <c r="P26" s="24">
        <v>18</v>
      </c>
      <c r="Q26" s="23" t="s">
        <v>66</v>
      </c>
      <c r="R26" s="63"/>
      <c r="S26" s="64"/>
    </row>
    <row r="27" spans="2:19" x14ac:dyDescent="0.25">
      <c r="B27" s="181"/>
      <c r="C27" s="177" t="s">
        <v>84</v>
      </c>
      <c r="D27" s="23" t="s">
        <v>2</v>
      </c>
      <c r="E27" s="24">
        <v>1</v>
      </c>
      <c r="F27" s="24">
        <v>19</v>
      </c>
      <c r="G27" s="21" t="s">
        <v>66</v>
      </c>
      <c r="H27" s="63"/>
      <c r="I27" s="64"/>
      <c r="L27" s="181"/>
      <c r="M27" s="177" t="s">
        <v>84</v>
      </c>
      <c r="N27" s="23" t="s">
        <v>2</v>
      </c>
      <c r="O27" s="24">
        <v>1</v>
      </c>
      <c r="P27" s="24">
        <v>19</v>
      </c>
      <c r="Q27" s="21" t="s">
        <v>66</v>
      </c>
      <c r="R27" s="63"/>
      <c r="S27" s="64"/>
    </row>
    <row r="28" spans="2:19" x14ac:dyDescent="0.25">
      <c r="B28" s="181"/>
      <c r="C28" s="178"/>
      <c r="D28" s="23" t="s">
        <v>3</v>
      </c>
      <c r="E28" s="24">
        <v>2</v>
      </c>
      <c r="F28" s="24">
        <v>20</v>
      </c>
      <c r="G28" s="23" t="s">
        <v>66</v>
      </c>
      <c r="H28" s="63"/>
      <c r="I28" s="64"/>
      <c r="L28" s="181"/>
      <c r="M28" s="178"/>
      <c r="N28" s="23" t="s">
        <v>3</v>
      </c>
      <c r="O28" s="24">
        <v>2</v>
      </c>
      <c r="P28" s="24">
        <v>20</v>
      </c>
      <c r="Q28" s="23" t="s">
        <v>66</v>
      </c>
      <c r="R28" s="63"/>
      <c r="S28" s="64"/>
    </row>
    <row r="29" spans="2:19" x14ac:dyDescent="0.25">
      <c r="B29" s="181"/>
      <c r="C29" s="178"/>
      <c r="D29" s="23" t="s">
        <v>80</v>
      </c>
      <c r="E29" s="26">
        <v>3</v>
      </c>
      <c r="F29" s="24">
        <v>21</v>
      </c>
      <c r="G29" s="23" t="s">
        <v>66</v>
      </c>
      <c r="H29" s="63"/>
      <c r="I29" s="64"/>
      <c r="L29" s="181"/>
      <c r="M29" s="178"/>
      <c r="N29" s="23" t="s">
        <v>80</v>
      </c>
      <c r="O29" s="26">
        <v>3</v>
      </c>
      <c r="P29" s="24">
        <v>21</v>
      </c>
      <c r="Q29" s="23" t="s">
        <v>66</v>
      </c>
      <c r="R29" s="63"/>
      <c r="S29" s="64"/>
    </row>
    <row r="30" spans="2:19" x14ac:dyDescent="0.25">
      <c r="B30" s="181"/>
      <c r="C30" s="178"/>
      <c r="D30" s="23" t="s">
        <v>81</v>
      </c>
      <c r="E30" s="24">
        <v>4</v>
      </c>
      <c r="F30" s="24">
        <v>22</v>
      </c>
      <c r="G30" s="23" t="s">
        <v>66</v>
      </c>
      <c r="H30" s="63"/>
      <c r="I30" s="64"/>
      <c r="L30" s="181"/>
      <c r="M30" s="178"/>
      <c r="N30" s="23" t="s">
        <v>81</v>
      </c>
      <c r="O30" s="24">
        <v>4</v>
      </c>
      <c r="P30" s="24">
        <v>22</v>
      </c>
      <c r="Q30" s="23" t="s">
        <v>66</v>
      </c>
      <c r="R30" s="63"/>
      <c r="S30" s="64"/>
    </row>
    <row r="31" spans="2:19" x14ac:dyDescent="0.25">
      <c r="B31" s="181"/>
      <c r="C31" s="178"/>
      <c r="D31" s="23" t="s">
        <v>82</v>
      </c>
      <c r="E31" s="24">
        <v>5</v>
      </c>
      <c r="F31" s="24">
        <v>23</v>
      </c>
      <c r="G31" s="23" t="s">
        <v>66</v>
      </c>
      <c r="H31" s="63"/>
      <c r="I31" s="64"/>
      <c r="L31" s="181"/>
      <c r="M31" s="178"/>
      <c r="N31" s="23" t="s">
        <v>82</v>
      </c>
      <c r="O31" s="24">
        <v>5</v>
      </c>
      <c r="P31" s="24">
        <v>23</v>
      </c>
      <c r="Q31" s="23" t="s">
        <v>66</v>
      </c>
      <c r="R31" s="63"/>
      <c r="S31" s="64"/>
    </row>
    <row r="32" spans="2:19" ht="15.75" thickBot="1" x14ac:dyDescent="0.3">
      <c r="B32" s="182"/>
      <c r="C32" s="179"/>
      <c r="D32" s="23" t="s">
        <v>83</v>
      </c>
      <c r="E32" s="24">
        <v>6</v>
      </c>
      <c r="F32" s="24">
        <v>24</v>
      </c>
      <c r="G32" s="23" t="s">
        <v>66</v>
      </c>
      <c r="H32" s="63"/>
      <c r="I32" s="64"/>
      <c r="L32" s="182"/>
      <c r="M32" s="179"/>
      <c r="N32" s="23" t="s">
        <v>83</v>
      </c>
      <c r="O32" s="24">
        <v>6</v>
      </c>
      <c r="P32" s="24">
        <v>24</v>
      </c>
      <c r="Q32" s="23" t="s">
        <v>66</v>
      </c>
      <c r="R32" s="63"/>
      <c r="S32" s="64"/>
    </row>
    <row r="33" spans="2:19" x14ac:dyDescent="0.25">
      <c r="B33" s="189" t="s">
        <v>80</v>
      </c>
      <c r="C33" s="192" t="s">
        <v>77</v>
      </c>
      <c r="D33" s="27" t="s">
        <v>2</v>
      </c>
      <c r="E33" s="28">
        <v>1</v>
      </c>
      <c r="F33" s="28">
        <v>25</v>
      </c>
      <c r="G33" s="27" t="s">
        <v>66</v>
      </c>
      <c r="H33" s="27"/>
      <c r="I33" s="48"/>
      <c r="L33" s="189" t="s">
        <v>80</v>
      </c>
      <c r="M33" s="192" t="s">
        <v>77</v>
      </c>
      <c r="N33" s="27" t="s">
        <v>2</v>
      </c>
      <c r="O33" s="28">
        <v>1</v>
      </c>
      <c r="P33" s="28">
        <v>25</v>
      </c>
      <c r="Q33" s="27" t="s">
        <v>66</v>
      </c>
      <c r="R33" s="27"/>
      <c r="S33" s="48"/>
    </row>
    <row r="34" spans="2:19" x14ac:dyDescent="0.25">
      <c r="B34" s="190"/>
      <c r="C34" s="193"/>
      <c r="D34" s="27" t="s">
        <v>3</v>
      </c>
      <c r="E34" s="28">
        <v>2</v>
      </c>
      <c r="F34" s="28">
        <v>26</v>
      </c>
      <c r="G34" s="27" t="s">
        <v>66</v>
      </c>
      <c r="H34" s="27"/>
      <c r="I34" s="48"/>
      <c r="L34" s="190"/>
      <c r="M34" s="193"/>
      <c r="N34" s="27" t="s">
        <v>3</v>
      </c>
      <c r="O34" s="28">
        <v>2</v>
      </c>
      <c r="P34" s="28">
        <v>26</v>
      </c>
      <c r="Q34" s="27" t="s">
        <v>66</v>
      </c>
      <c r="R34" s="27"/>
      <c r="S34" s="48"/>
    </row>
    <row r="35" spans="2:19" x14ac:dyDescent="0.25">
      <c r="B35" s="190"/>
      <c r="C35" s="193"/>
      <c r="D35" s="27" t="s">
        <v>80</v>
      </c>
      <c r="E35" s="28">
        <v>3</v>
      </c>
      <c r="F35" s="28">
        <v>27</v>
      </c>
      <c r="G35" s="27" t="s">
        <v>66</v>
      </c>
      <c r="H35" s="27"/>
      <c r="I35" s="48"/>
      <c r="L35" s="190"/>
      <c r="M35" s="193"/>
      <c r="N35" s="27" t="s">
        <v>80</v>
      </c>
      <c r="O35" s="28">
        <v>3</v>
      </c>
      <c r="P35" s="28">
        <v>27</v>
      </c>
      <c r="Q35" s="27" t="s">
        <v>66</v>
      </c>
      <c r="R35" s="27"/>
      <c r="S35" s="48"/>
    </row>
    <row r="36" spans="2:19" x14ac:dyDescent="0.25">
      <c r="B36" s="190"/>
      <c r="C36" s="193"/>
      <c r="D36" s="27" t="s">
        <v>81</v>
      </c>
      <c r="E36" s="28">
        <v>4</v>
      </c>
      <c r="F36" s="28">
        <v>28</v>
      </c>
      <c r="G36" s="27" t="s">
        <v>66</v>
      </c>
      <c r="H36" s="27"/>
      <c r="I36" s="48"/>
      <c r="L36" s="190"/>
      <c r="M36" s="193"/>
      <c r="N36" s="27" t="s">
        <v>81</v>
      </c>
      <c r="O36" s="28">
        <v>4</v>
      </c>
      <c r="P36" s="28">
        <v>28</v>
      </c>
      <c r="Q36" s="27" t="s">
        <v>66</v>
      </c>
      <c r="R36" s="27"/>
      <c r="S36" s="48"/>
    </row>
    <row r="37" spans="2:19" x14ac:dyDescent="0.25">
      <c r="B37" s="190"/>
      <c r="C37" s="193"/>
      <c r="D37" s="27" t="s">
        <v>82</v>
      </c>
      <c r="E37" s="28">
        <v>5</v>
      </c>
      <c r="F37" s="28">
        <v>29</v>
      </c>
      <c r="G37" s="27" t="s">
        <v>66</v>
      </c>
      <c r="H37" s="27"/>
      <c r="I37" s="48"/>
      <c r="L37" s="190"/>
      <c r="M37" s="193"/>
      <c r="N37" s="27" t="s">
        <v>82</v>
      </c>
      <c r="O37" s="28">
        <v>5</v>
      </c>
      <c r="P37" s="28">
        <v>29</v>
      </c>
      <c r="Q37" s="27" t="s">
        <v>66</v>
      </c>
      <c r="R37" s="27"/>
      <c r="S37" s="48"/>
    </row>
    <row r="38" spans="2:19" ht="15.75" thickBot="1" x14ac:dyDescent="0.3">
      <c r="B38" s="190"/>
      <c r="C38" s="194"/>
      <c r="D38" s="27" t="s">
        <v>83</v>
      </c>
      <c r="E38" s="28">
        <v>6</v>
      </c>
      <c r="F38" s="28">
        <v>30</v>
      </c>
      <c r="G38" s="27" t="s">
        <v>66</v>
      </c>
      <c r="H38" s="27"/>
      <c r="I38" s="48"/>
      <c r="L38" s="190"/>
      <c r="M38" s="194"/>
      <c r="N38" s="27" t="s">
        <v>83</v>
      </c>
      <c r="O38" s="28">
        <v>6</v>
      </c>
      <c r="P38" s="28">
        <v>30</v>
      </c>
      <c r="Q38" s="27" t="s">
        <v>66</v>
      </c>
      <c r="R38" s="27"/>
      <c r="S38" s="48"/>
    </row>
    <row r="39" spans="2:19" x14ac:dyDescent="0.25">
      <c r="B39" s="190"/>
      <c r="C39" s="192" t="s">
        <v>84</v>
      </c>
      <c r="D39" s="27" t="s">
        <v>2</v>
      </c>
      <c r="E39" s="28">
        <v>1</v>
      </c>
      <c r="F39" s="28">
        <v>31</v>
      </c>
      <c r="G39" s="27" t="s">
        <v>66</v>
      </c>
      <c r="H39" s="27"/>
      <c r="I39" s="48"/>
      <c r="L39" s="190"/>
      <c r="M39" s="192" t="s">
        <v>84</v>
      </c>
      <c r="N39" s="27" t="s">
        <v>2</v>
      </c>
      <c r="O39" s="28">
        <v>1</v>
      </c>
      <c r="P39" s="28">
        <v>31</v>
      </c>
      <c r="Q39" s="27" t="s">
        <v>66</v>
      </c>
      <c r="R39" s="27"/>
      <c r="S39" s="48"/>
    </row>
    <row r="40" spans="2:19" x14ac:dyDescent="0.25">
      <c r="B40" s="190"/>
      <c r="C40" s="193"/>
      <c r="D40" s="27" t="s">
        <v>3</v>
      </c>
      <c r="E40" s="28">
        <v>2</v>
      </c>
      <c r="F40" s="28">
        <v>32</v>
      </c>
      <c r="G40" s="27" t="s">
        <v>66</v>
      </c>
      <c r="H40" s="27"/>
      <c r="I40" s="48"/>
      <c r="L40" s="190"/>
      <c r="M40" s="193"/>
      <c r="N40" s="27" t="s">
        <v>3</v>
      </c>
      <c r="O40" s="28">
        <v>2</v>
      </c>
      <c r="P40" s="28">
        <v>32</v>
      </c>
      <c r="Q40" s="27" t="s">
        <v>66</v>
      </c>
      <c r="R40" s="27"/>
      <c r="S40" s="48"/>
    </row>
    <row r="41" spans="2:19" x14ac:dyDescent="0.25">
      <c r="B41" s="190"/>
      <c r="C41" s="193"/>
      <c r="D41" s="27" t="s">
        <v>80</v>
      </c>
      <c r="E41" s="28">
        <v>3</v>
      </c>
      <c r="F41" s="28">
        <v>33</v>
      </c>
      <c r="G41" s="27" t="s">
        <v>66</v>
      </c>
      <c r="H41" s="27"/>
      <c r="I41" s="48"/>
      <c r="L41" s="190"/>
      <c r="M41" s="193"/>
      <c r="N41" s="27" t="s">
        <v>80</v>
      </c>
      <c r="O41" s="28">
        <v>3</v>
      </c>
      <c r="P41" s="28">
        <v>33</v>
      </c>
      <c r="Q41" s="27" t="s">
        <v>66</v>
      </c>
      <c r="R41" s="27"/>
      <c r="S41" s="48"/>
    </row>
    <row r="42" spans="2:19" x14ac:dyDescent="0.25">
      <c r="B42" s="190"/>
      <c r="C42" s="193"/>
      <c r="D42" s="27" t="s">
        <v>81</v>
      </c>
      <c r="E42" s="28">
        <v>4</v>
      </c>
      <c r="F42" s="28">
        <v>34</v>
      </c>
      <c r="G42" s="27" t="s">
        <v>66</v>
      </c>
      <c r="H42" s="27"/>
      <c r="I42" s="48"/>
      <c r="L42" s="190"/>
      <c r="M42" s="193"/>
      <c r="N42" s="27" t="s">
        <v>81</v>
      </c>
      <c r="O42" s="28">
        <v>4</v>
      </c>
      <c r="P42" s="28">
        <v>34</v>
      </c>
      <c r="Q42" s="27" t="s">
        <v>66</v>
      </c>
      <c r="R42" s="27"/>
      <c r="S42" s="48"/>
    </row>
    <row r="43" spans="2:19" x14ac:dyDescent="0.25">
      <c r="B43" s="190"/>
      <c r="C43" s="193"/>
      <c r="D43" s="27" t="s">
        <v>82</v>
      </c>
      <c r="E43" s="28">
        <v>5</v>
      </c>
      <c r="F43" s="28">
        <v>35</v>
      </c>
      <c r="G43" s="27" t="s">
        <v>66</v>
      </c>
      <c r="H43" s="27"/>
      <c r="I43" s="48"/>
      <c r="L43" s="190"/>
      <c r="M43" s="193"/>
      <c r="N43" s="27" t="s">
        <v>82</v>
      </c>
      <c r="O43" s="28">
        <v>5</v>
      </c>
      <c r="P43" s="28">
        <v>35</v>
      </c>
      <c r="Q43" s="27" t="s">
        <v>66</v>
      </c>
      <c r="R43" s="27"/>
      <c r="S43" s="48"/>
    </row>
    <row r="44" spans="2:19" ht="15.75" thickBot="1" x14ac:dyDescent="0.3">
      <c r="B44" s="191"/>
      <c r="C44" s="194"/>
      <c r="D44" s="27" t="s">
        <v>83</v>
      </c>
      <c r="E44" s="28">
        <v>6</v>
      </c>
      <c r="F44" s="28">
        <v>36</v>
      </c>
      <c r="G44" s="27" t="s">
        <v>66</v>
      </c>
      <c r="H44" s="27"/>
      <c r="I44" s="48"/>
      <c r="L44" s="191"/>
      <c r="M44" s="194"/>
      <c r="N44" s="27" t="s">
        <v>83</v>
      </c>
      <c r="O44" s="28">
        <v>6</v>
      </c>
      <c r="P44" s="28">
        <v>36</v>
      </c>
      <c r="Q44" s="27" t="s">
        <v>66</v>
      </c>
      <c r="R44" s="27"/>
      <c r="S44" s="48"/>
    </row>
    <row r="45" spans="2:19" ht="15" customHeight="1" x14ac:dyDescent="0.25">
      <c r="B45" s="183" t="s">
        <v>81</v>
      </c>
      <c r="C45" s="186" t="s">
        <v>77</v>
      </c>
      <c r="D45" s="29" t="s">
        <v>2</v>
      </c>
      <c r="E45" s="30">
        <v>1</v>
      </c>
      <c r="F45" s="30">
        <v>37</v>
      </c>
      <c r="G45" s="29" t="s">
        <v>66</v>
      </c>
      <c r="H45" s="31"/>
      <c r="I45" s="60"/>
      <c r="L45" s="183" t="s">
        <v>81</v>
      </c>
      <c r="M45" s="186" t="s">
        <v>77</v>
      </c>
      <c r="N45" s="29" t="s">
        <v>2</v>
      </c>
      <c r="O45" s="30">
        <v>1</v>
      </c>
      <c r="P45" s="30">
        <v>37</v>
      </c>
      <c r="Q45" s="29" t="s">
        <v>66</v>
      </c>
      <c r="R45" s="31"/>
      <c r="S45" s="60"/>
    </row>
    <row r="46" spans="2:19" x14ac:dyDescent="0.25">
      <c r="B46" s="184"/>
      <c r="C46" s="187"/>
      <c r="D46" s="29" t="s">
        <v>3</v>
      </c>
      <c r="E46" s="30">
        <v>2</v>
      </c>
      <c r="F46" s="30">
        <v>38</v>
      </c>
      <c r="G46" s="29" t="s">
        <v>66</v>
      </c>
      <c r="H46" s="31"/>
      <c r="I46" s="60"/>
      <c r="L46" s="184"/>
      <c r="M46" s="187"/>
      <c r="N46" s="29" t="s">
        <v>3</v>
      </c>
      <c r="O46" s="30">
        <v>2</v>
      </c>
      <c r="P46" s="30">
        <v>38</v>
      </c>
      <c r="Q46" s="29" t="s">
        <v>66</v>
      </c>
      <c r="R46" s="31"/>
      <c r="S46" s="60"/>
    </row>
    <row r="47" spans="2:19" x14ac:dyDescent="0.25">
      <c r="B47" s="184"/>
      <c r="C47" s="187"/>
      <c r="D47" s="29" t="s">
        <v>80</v>
      </c>
      <c r="E47" s="30">
        <v>3</v>
      </c>
      <c r="F47" s="30">
        <v>39</v>
      </c>
      <c r="G47" s="29" t="s">
        <v>66</v>
      </c>
      <c r="H47" s="31"/>
      <c r="I47" s="60"/>
      <c r="L47" s="184"/>
      <c r="M47" s="187"/>
      <c r="N47" s="29" t="s">
        <v>80</v>
      </c>
      <c r="O47" s="30">
        <v>3</v>
      </c>
      <c r="P47" s="30">
        <v>39</v>
      </c>
      <c r="Q47" s="29" t="s">
        <v>66</v>
      </c>
      <c r="R47" s="31"/>
      <c r="S47" s="60"/>
    </row>
    <row r="48" spans="2:19" x14ac:dyDescent="0.25">
      <c r="B48" s="184"/>
      <c r="C48" s="187"/>
      <c r="D48" s="29" t="s">
        <v>81</v>
      </c>
      <c r="E48" s="30">
        <v>4</v>
      </c>
      <c r="F48" s="30">
        <v>40</v>
      </c>
      <c r="G48" s="29" t="s">
        <v>66</v>
      </c>
      <c r="H48" s="31"/>
      <c r="I48" s="60"/>
      <c r="L48" s="184"/>
      <c r="M48" s="187"/>
      <c r="N48" s="29" t="s">
        <v>81</v>
      </c>
      <c r="O48" s="30">
        <v>4</v>
      </c>
      <c r="P48" s="30">
        <v>40</v>
      </c>
      <c r="Q48" s="29" t="s">
        <v>66</v>
      </c>
      <c r="R48" s="31"/>
      <c r="S48" s="60"/>
    </row>
    <row r="49" spans="2:19" x14ac:dyDescent="0.25">
      <c r="B49" s="184"/>
      <c r="C49" s="187"/>
      <c r="D49" s="29" t="s">
        <v>82</v>
      </c>
      <c r="E49" s="30">
        <v>5</v>
      </c>
      <c r="F49" s="30">
        <v>41</v>
      </c>
      <c r="G49" s="29" t="s">
        <v>66</v>
      </c>
      <c r="H49" s="31"/>
      <c r="I49" s="60"/>
      <c r="L49" s="184"/>
      <c r="M49" s="187"/>
      <c r="N49" s="29" t="s">
        <v>82</v>
      </c>
      <c r="O49" s="30">
        <v>5</v>
      </c>
      <c r="P49" s="30">
        <v>41</v>
      </c>
      <c r="Q49" s="29" t="s">
        <v>66</v>
      </c>
      <c r="R49" s="31"/>
      <c r="S49" s="60"/>
    </row>
    <row r="50" spans="2:19" ht="15.75" thickBot="1" x14ac:dyDescent="0.3">
      <c r="B50" s="184"/>
      <c r="C50" s="188"/>
      <c r="D50" s="29" t="s">
        <v>83</v>
      </c>
      <c r="E50" s="30">
        <v>6</v>
      </c>
      <c r="F50" s="30">
        <v>42</v>
      </c>
      <c r="G50" s="29" t="s">
        <v>66</v>
      </c>
      <c r="H50" s="31"/>
      <c r="I50" s="60"/>
      <c r="L50" s="184"/>
      <c r="M50" s="188"/>
      <c r="N50" s="29" t="s">
        <v>83</v>
      </c>
      <c r="O50" s="30">
        <v>6</v>
      </c>
      <c r="P50" s="30">
        <v>42</v>
      </c>
      <c r="Q50" s="29" t="s">
        <v>66</v>
      </c>
      <c r="R50" s="31"/>
      <c r="S50" s="60"/>
    </row>
    <row r="51" spans="2:19" x14ac:dyDescent="0.25">
      <c r="B51" s="184"/>
      <c r="C51" s="186" t="s">
        <v>84</v>
      </c>
      <c r="D51" s="29" t="s">
        <v>2</v>
      </c>
      <c r="E51" s="30">
        <v>1</v>
      </c>
      <c r="F51" s="30">
        <v>43</v>
      </c>
      <c r="G51" s="29" t="s">
        <v>66</v>
      </c>
      <c r="H51" s="29"/>
      <c r="I51" s="49"/>
      <c r="L51" s="184"/>
      <c r="M51" s="186" t="s">
        <v>84</v>
      </c>
      <c r="N51" s="29" t="s">
        <v>2</v>
      </c>
      <c r="O51" s="30">
        <v>1</v>
      </c>
      <c r="P51" s="30">
        <v>43</v>
      </c>
      <c r="Q51" s="29" t="s">
        <v>66</v>
      </c>
      <c r="R51" s="29"/>
      <c r="S51" s="49"/>
    </row>
    <row r="52" spans="2:19" x14ac:dyDescent="0.25">
      <c r="B52" s="184"/>
      <c r="C52" s="187"/>
      <c r="D52" s="29" t="s">
        <v>3</v>
      </c>
      <c r="E52" s="30">
        <v>2</v>
      </c>
      <c r="F52" s="30">
        <v>44</v>
      </c>
      <c r="G52" s="29" t="s">
        <v>66</v>
      </c>
      <c r="H52" s="29"/>
      <c r="I52" s="49"/>
      <c r="L52" s="184"/>
      <c r="M52" s="187"/>
      <c r="N52" s="29" t="s">
        <v>3</v>
      </c>
      <c r="O52" s="30">
        <v>2</v>
      </c>
      <c r="P52" s="30">
        <v>44</v>
      </c>
      <c r="Q52" s="29" t="s">
        <v>66</v>
      </c>
      <c r="R52" s="29"/>
      <c r="S52" s="49"/>
    </row>
    <row r="53" spans="2:19" x14ac:dyDescent="0.25">
      <c r="B53" s="184"/>
      <c r="C53" s="187"/>
      <c r="D53" s="29" t="s">
        <v>80</v>
      </c>
      <c r="E53" s="30">
        <v>3</v>
      </c>
      <c r="F53" s="30">
        <v>45</v>
      </c>
      <c r="G53" s="29" t="s">
        <v>66</v>
      </c>
      <c r="H53" s="29"/>
      <c r="I53" s="49"/>
      <c r="L53" s="184"/>
      <c r="M53" s="187"/>
      <c r="N53" s="29" t="s">
        <v>80</v>
      </c>
      <c r="O53" s="30">
        <v>3</v>
      </c>
      <c r="P53" s="30">
        <v>45</v>
      </c>
      <c r="Q53" s="29" t="s">
        <v>66</v>
      </c>
      <c r="R53" s="29"/>
      <c r="S53" s="49"/>
    </row>
    <row r="54" spans="2:19" x14ac:dyDescent="0.25">
      <c r="B54" s="184"/>
      <c r="C54" s="187"/>
      <c r="D54" s="29" t="s">
        <v>81</v>
      </c>
      <c r="E54" s="30">
        <v>4</v>
      </c>
      <c r="F54" s="30">
        <v>46</v>
      </c>
      <c r="G54" s="29" t="s">
        <v>66</v>
      </c>
      <c r="H54" s="29"/>
      <c r="I54" s="49"/>
      <c r="L54" s="184"/>
      <c r="M54" s="187"/>
      <c r="N54" s="29" t="s">
        <v>81</v>
      </c>
      <c r="O54" s="30">
        <v>4</v>
      </c>
      <c r="P54" s="30">
        <v>46</v>
      </c>
      <c r="Q54" s="29" t="s">
        <v>66</v>
      </c>
      <c r="R54" s="29"/>
      <c r="S54" s="49"/>
    </row>
    <row r="55" spans="2:19" x14ac:dyDescent="0.25">
      <c r="B55" s="184"/>
      <c r="C55" s="187"/>
      <c r="D55" s="29" t="s">
        <v>82</v>
      </c>
      <c r="E55" s="30">
        <v>5</v>
      </c>
      <c r="F55" s="30">
        <v>47</v>
      </c>
      <c r="G55" s="29" t="s">
        <v>66</v>
      </c>
      <c r="H55" s="29"/>
      <c r="I55" s="49"/>
      <c r="L55" s="184"/>
      <c r="M55" s="187"/>
      <c r="N55" s="29" t="s">
        <v>82</v>
      </c>
      <c r="O55" s="30">
        <v>5</v>
      </c>
      <c r="P55" s="30">
        <v>47</v>
      </c>
      <c r="Q55" s="29" t="s">
        <v>66</v>
      </c>
      <c r="R55" s="29"/>
      <c r="S55" s="49"/>
    </row>
    <row r="56" spans="2:19" ht="15.75" thickBot="1" x14ac:dyDescent="0.3">
      <c r="B56" s="185"/>
      <c r="C56" s="188"/>
      <c r="D56" s="29" t="s">
        <v>83</v>
      </c>
      <c r="E56" s="30">
        <v>6</v>
      </c>
      <c r="F56" s="30">
        <v>48</v>
      </c>
      <c r="G56" s="29" t="s">
        <v>66</v>
      </c>
      <c r="H56" s="29"/>
      <c r="I56" s="49"/>
      <c r="L56" s="185"/>
      <c r="M56" s="188"/>
      <c r="N56" s="29" t="s">
        <v>83</v>
      </c>
      <c r="O56" s="30">
        <v>6</v>
      </c>
      <c r="P56" s="30">
        <v>48</v>
      </c>
      <c r="Q56" s="29" t="s">
        <v>66</v>
      </c>
      <c r="R56" s="29"/>
      <c r="S56" s="49"/>
    </row>
    <row r="57" spans="2:19" ht="15.75" thickBot="1" x14ac:dyDescent="0.3"/>
    <row r="58" spans="2:19" ht="15.75" thickBot="1" x14ac:dyDescent="0.3">
      <c r="B58" s="171" t="s">
        <v>386</v>
      </c>
      <c r="C58" s="172"/>
      <c r="D58" s="172"/>
      <c r="E58" s="172"/>
      <c r="F58" s="172"/>
      <c r="G58" s="172"/>
      <c r="H58" s="172"/>
      <c r="I58" s="173"/>
      <c r="L58" s="171" t="s">
        <v>387</v>
      </c>
      <c r="M58" s="172"/>
      <c r="N58" s="172"/>
      <c r="O58" s="172"/>
      <c r="P58" s="172"/>
      <c r="Q58" s="172"/>
      <c r="R58" s="172"/>
      <c r="S58" s="173"/>
    </row>
    <row r="60" spans="2:19" ht="26.25" thickBot="1" x14ac:dyDescent="0.3">
      <c r="B60" s="15" t="s">
        <v>70</v>
      </c>
      <c r="C60" s="16" t="s">
        <v>71</v>
      </c>
      <c r="D60" s="15" t="s">
        <v>72</v>
      </c>
      <c r="E60" s="17" t="s">
        <v>73</v>
      </c>
      <c r="F60" s="17" t="s">
        <v>74</v>
      </c>
      <c r="G60" s="15" t="s">
        <v>75</v>
      </c>
      <c r="H60" s="15" t="s">
        <v>55</v>
      </c>
      <c r="I60" s="15" t="s">
        <v>76</v>
      </c>
      <c r="L60" s="15" t="s">
        <v>70</v>
      </c>
      <c r="M60" s="16" t="s">
        <v>71</v>
      </c>
      <c r="N60" s="15" t="s">
        <v>72</v>
      </c>
      <c r="O60" s="17" t="s">
        <v>73</v>
      </c>
      <c r="P60" s="17" t="s">
        <v>74</v>
      </c>
      <c r="Q60" s="15" t="s">
        <v>75</v>
      </c>
      <c r="R60" s="15" t="s">
        <v>55</v>
      </c>
      <c r="S60" s="15" t="s">
        <v>76</v>
      </c>
    </row>
    <row r="61" spans="2:19" x14ac:dyDescent="0.25">
      <c r="B61" s="174" t="s">
        <v>2</v>
      </c>
      <c r="C61" s="168" t="s">
        <v>77</v>
      </c>
      <c r="D61" s="18" t="s">
        <v>2</v>
      </c>
      <c r="E61" s="19">
        <v>1</v>
      </c>
      <c r="F61" s="19">
        <v>1</v>
      </c>
      <c r="G61" s="18" t="s">
        <v>66</v>
      </c>
      <c r="H61" s="32"/>
      <c r="I61" s="50"/>
      <c r="L61" s="174" t="s">
        <v>2</v>
      </c>
      <c r="M61" s="168" t="s">
        <v>77</v>
      </c>
      <c r="N61" s="18" t="s">
        <v>2</v>
      </c>
      <c r="O61" s="19">
        <v>1</v>
      </c>
      <c r="P61" s="19">
        <v>1</v>
      </c>
      <c r="Q61" s="18" t="s">
        <v>66</v>
      </c>
      <c r="R61" s="32"/>
      <c r="S61" s="50"/>
    </row>
    <row r="62" spans="2:19" x14ac:dyDescent="0.25">
      <c r="B62" s="175"/>
      <c r="C62" s="169"/>
      <c r="D62" s="18" t="s">
        <v>3</v>
      </c>
      <c r="E62" s="19">
        <v>2</v>
      </c>
      <c r="F62" s="19">
        <v>2</v>
      </c>
      <c r="G62" s="18" t="s">
        <v>66</v>
      </c>
      <c r="H62" s="32"/>
      <c r="I62" s="50"/>
      <c r="L62" s="175"/>
      <c r="M62" s="169"/>
      <c r="N62" s="18" t="s">
        <v>3</v>
      </c>
      <c r="O62" s="19">
        <v>2</v>
      </c>
      <c r="P62" s="19">
        <v>2</v>
      </c>
      <c r="Q62" s="18" t="s">
        <v>66</v>
      </c>
      <c r="R62" s="32"/>
      <c r="S62" s="50"/>
    </row>
    <row r="63" spans="2:19" x14ac:dyDescent="0.25">
      <c r="B63" s="175"/>
      <c r="C63" s="169"/>
      <c r="D63" s="18" t="s">
        <v>80</v>
      </c>
      <c r="E63" s="20">
        <v>3</v>
      </c>
      <c r="F63" s="20">
        <v>3</v>
      </c>
      <c r="G63" s="18" t="s">
        <v>66</v>
      </c>
      <c r="H63" s="32"/>
      <c r="I63" s="50"/>
      <c r="L63" s="175"/>
      <c r="M63" s="169"/>
      <c r="N63" s="18" t="s">
        <v>80</v>
      </c>
      <c r="O63" s="20">
        <v>3</v>
      </c>
      <c r="P63" s="20">
        <v>3</v>
      </c>
      <c r="Q63" s="18" t="s">
        <v>66</v>
      </c>
      <c r="R63" s="32"/>
      <c r="S63" s="50"/>
    </row>
    <row r="64" spans="2:19" x14ac:dyDescent="0.25">
      <c r="B64" s="175"/>
      <c r="C64" s="169"/>
      <c r="D64" s="18" t="s">
        <v>81</v>
      </c>
      <c r="E64" s="20">
        <v>4</v>
      </c>
      <c r="F64" s="20">
        <v>4</v>
      </c>
      <c r="G64" s="18" t="s">
        <v>66</v>
      </c>
      <c r="H64" s="32"/>
      <c r="I64" s="50"/>
      <c r="L64" s="175"/>
      <c r="M64" s="169"/>
      <c r="N64" s="18" t="s">
        <v>81</v>
      </c>
      <c r="O64" s="20">
        <v>4</v>
      </c>
      <c r="P64" s="20">
        <v>4</v>
      </c>
      <c r="Q64" s="18" t="s">
        <v>66</v>
      </c>
      <c r="R64" s="32"/>
      <c r="S64" s="50"/>
    </row>
    <row r="65" spans="2:19" x14ac:dyDescent="0.25">
      <c r="B65" s="175"/>
      <c r="C65" s="169"/>
      <c r="D65" s="18" t="s">
        <v>82</v>
      </c>
      <c r="E65" s="20">
        <v>5</v>
      </c>
      <c r="F65" s="20">
        <v>5</v>
      </c>
      <c r="G65" s="18" t="s">
        <v>66</v>
      </c>
      <c r="H65" s="32"/>
      <c r="I65" s="50"/>
      <c r="L65" s="175"/>
      <c r="M65" s="169"/>
      <c r="N65" s="18" t="s">
        <v>82</v>
      </c>
      <c r="O65" s="20">
        <v>5</v>
      </c>
      <c r="P65" s="20">
        <v>5</v>
      </c>
      <c r="Q65" s="18" t="s">
        <v>66</v>
      </c>
      <c r="R65" s="32"/>
      <c r="S65" s="50"/>
    </row>
    <row r="66" spans="2:19" ht="15.75" thickBot="1" x14ac:dyDescent="0.3">
      <c r="B66" s="175"/>
      <c r="C66" s="170"/>
      <c r="D66" s="18" t="s">
        <v>83</v>
      </c>
      <c r="E66" s="20">
        <v>6</v>
      </c>
      <c r="F66" s="20">
        <v>6</v>
      </c>
      <c r="G66" s="18" t="s">
        <v>66</v>
      </c>
      <c r="H66" s="32"/>
      <c r="I66" s="50"/>
      <c r="L66" s="175"/>
      <c r="M66" s="170"/>
      <c r="N66" s="18" t="s">
        <v>83</v>
      </c>
      <c r="O66" s="20">
        <v>6</v>
      </c>
      <c r="P66" s="20">
        <v>6</v>
      </c>
      <c r="Q66" s="18" t="s">
        <v>66</v>
      </c>
      <c r="R66" s="32"/>
      <c r="S66" s="50"/>
    </row>
    <row r="67" spans="2:19" x14ac:dyDescent="0.25">
      <c r="B67" s="175"/>
      <c r="C67" s="168" t="s">
        <v>84</v>
      </c>
      <c r="D67" s="18" t="s">
        <v>2</v>
      </c>
      <c r="E67" s="19">
        <v>1</v>
      </c>
      <c r="F67" s="19">
        <v>7</v>
      </c>
      <c r="G67" s="18" t="s">
        <v>78</v>
      </c>
      <c r="H67" s="156" t="s">
        <v>384</v>
      </c>
      <c r="I67" s="165" t="s">
        <v>156</v>
      </c>
      <c r="L67" s="175"/>
      <c r="M67" s="168" t="s">
        <v>84</v>
      </c>
      <c r="N67" s="18" t="s">
        <v>2</v>
      </c>
      <c r="O67" s="19">
        <v>1</v>
      </c>
      <c r="P67" s="19">
        <v>7</v>
      </c>
      <c r="Q67" s="18" t="s">
        <v>78</v>
      </c>
      <c r="R67" s="156" t="s">
        <v>384</v>
      </c>
      <c r="S67" s="165" t="s">
        <v>212</v>
      </c>
    </row>
    <row r="68" spans="2:19" x14ac:dyDescent="0.25">
      <c r="B68" s="175"/>
      <c r="C68" s="169"/>
      <c r="D68" s="18" t="s">
        <v>3</v>
      </c>
      <c r="E68" s="19">
        <v>2</v>
      </c>
      <c r="F68" s="19">
        <v>8</v>
      </c>
      <c r="G68" s="18" t="s">
        <v>78</v>
      </c>
      <c r="H68" s="157"/>
      <c r="I68" s="166"/>
      <c r="L68" s="175"/>
      <c r="M68" s="169"/>
      <c r="N68" s="18" t="s">
        <v>3</v>
      </c>
      <c r="O68" s="19">
        <v>2</v>
      </c>
      <c r="P68" s="19">
        <v>8</v>
      </c>
      <c r="Q68" s="18" t="s">
        <v>78</v>
      </c>
      <c r="R68" s="157"/>
      <c r="S68" s="166"/>
    </row>
    <row r="69" spans="2:19" x14ac:dyDescent="0.25">
      <c r="B69" s="175"/>
      <c r="C69" s="169"/>
      <c r="D69" s="18" t="s">
        <v>80</v>
      </c>
      <c r="E69" s="20">
        <v>3</v>
      </c>
      <c r="F69" s="20">
        <v>9</v>
      </c>
      <c r="G69" s="18" t="s">
        <v>66</v>
      </c>
      <c r="H69" s="157"/>
      <c r="I69" s="166"/>
      <c r="L69" s="175"/>
      <c r="M69" s="169"/>
      <c r="N69" s="18" t="s">
        <v>80</v>
      </c>
      <c r="O69" s="20">
        <v>3</v>
      </c>
      <c r="P69" s="20">
        <v>9</v>
      </c>
      <c r="Q69" s="18" t="s">
        <v>66</v>
      </c>
      <c r="R69" s="157"/>
      <c r="S69" s="166"/>
    </row>
    <row r="70" spans="2:19" x14ac:dyDescent="0.25">
      <c r="B70" s="175"/>
      <c r="C70" s="169"/>
      <c r="D70" s="18" t="s">
        <v>81</v>
      </c>
      <c r="E70" s="20">
        <v>4</v>
      </c>
      <c r="F70" s="20">
        <v>10</v>
      </c>
      <c r="G70" s="18" t="s">
        <v>66</v>
      </c>
      <c r="H70" s="157"/>
      <c r="I70" s="166"/>
      <c r="L70" s="175"/>
      <c r="M70" s="169"/>
      <c r="N70" s="18" t="s">
        <v>81</v>
      </c>
      <c r="O70" s="20">
        <v>4</v>
      </c>
      <c r="P70" s="20">
        <v>10</v>
      </c>
      <c r="Q70" s="18" t="s">
        <v>66</v>
      </c>
      <c r="R70" s="157"/>
      <c r="S70" s="166"/>
    </row>
    <row r="71" spans="2:19" x14ac:dyDescent="0.25">
      <c r="B71" s="175"/>
      <c r="C71" s="169"/>
      <c r="D71" s="18" t="s">
        <v>82</v>
      </c>
      <c r="E71" s="20">
        <v>5</v>
      </c>
      <c r="F71" s="20">
        <v>11</v>
      </c>
      <c r="G71" s="18" t="s">
        <v>66</v>
      </c>
      <c r="H71" s="157"/>
      <c r="I71" s="166"/>
      <c r="L71" s="175"/>
      <c r="M71" s="169"/>
      <c r="N71" s="18" t="s">
        <v>82</v>
      </c>
      <c r="O71" s="20">
        <v>5</v>
      </c>
      <c r="P71" s="20">
        <v>11</v>
      </c>
      <c r="Q71" s="18" t="s">
        <v>66</v>
      </c>
      <c r="R71" s="157"/>
      <c r="S71" s="166"/>
    </row>
    <row r="72" spans="2:19" ht="15.75" thickBot="1" x14ac:dyDescent="0.3">
      <c r="B72" s="176"/>
      <c r="C72" s="170"/>
      <c r="D72" s="18" t="s">
        <v>83</v>
      </c>
      <c r="E72" s="20">
        <v>6</v>
      </c>
      <c r="F72" s="20">
        <v>12</v>
      </c>
      <c r="G72" s="18" t="s">
        <v>66</v>
      </c>
      <c r="H72" s="158"/>
      <c r="I72" s="167"/>
      <c r="L72" s="176"/>
      <c r="M72" s="170"/>
      <c r="N72" s="18" t="s">
        <v>83</v>
      </c>
      <c r="O72" s="20">
        <v>6</v>
      </c>
      <c r="P72" s="20">
        <v>12</v>
      </c>
      <c r="Q72" s="18" t="s">
        <v>66</v>
      </c>
      <c r="R72" s="158"/>
      <c r="S72" s="167"/>
    </row>
    <row r="73" spans="2:19" x14ac:dyDescent="0.25">
      <c r="B73" s="180" t="s">
        <v>3</v>
      </c>
      <c r="C73" s="177" t="s">
        <v>77</v>
      </c>
      <c r="D73" s="21" t="s">
        <v>2</v>
      </c>
      <c r="E73" s="22">
        <v>1</v>
      </c>
      <c r="F73" s="22">
        <v>13</v>
      </c>
      <c r="G73" s="21" t="s">
        <v>66</v>
      </c>
      <c r="H73" s="21"/>
      <c r="I73" s="51"/>
      <c r="L73" s="180" t="s">
        <v>3</v>
      </c>
      <c r="M73" s="177" t="s">
        <v>77</v>
      </c>
      <c r="N73" s="21" t="s">
        <v>2</v>
      </c>
      <c r="O73" s="22">
        <v>1</v>
      </c>
      <c r="P73" s="22">
        <v>13</v>
      </c>
      <c r="Q73" s="21" t="s">
        <v>66</v>
      </c>
      <c r="R73" s="21"/>
      <c r="S73" s="51"/>
    </row>
    <row r="74" spans="2:19" x14ac:dyDescent="0.25">
      <c r="B74" s="181"/>
      <c r="C74" s="178"/>
      <c r="D74" s="23" t="s">
        <v>3</v>
      </c>
      <c r="E74" s="24">
        <v>2</v>
      </c>
      <c r="F74" s="24">
        <v>14</v>
      </c>
      <c r="G74" s="23" t="s">
        <v>66</v>
      </c>
      <c r="H74" s="23"/>
      <c r="I74" s="47"/>
      <c r="L74" s="181"/>
      <c r="M74" s="178"/>
      <c r="N74" s="23" t="s">
        <v>3</v>
      </c>
      <c r="O74" s="24">
        <v>2</v>
      </c>
      <c r="P74" s="24">
        <v>14</v>
      </c>
      <c r="Q74" s="23" t="s">
        <v>66</v>
      </c>
      <c r="R74" s="23"/>
      <c r="S74" s="47"/>
    </row>
    <row r="75" spans="2:19" x14ac:dyDescent="0.25">
      <c r="B75" s="181"/>
      <c r="C75" s="178"/>
      <c r="D75" s="23" t="s">
        <v>80</v>
      </c>
      <c r="E75" s="24">
        <v>3</v>
      </c>
      <c r="F75" s="24">
        <v>15</v>
      </c>
      <c r="G75" s="23" t="s">
        <v>66</v>
      </c>
      <c r="H75" s="23"/>
      <c r="I75" s="47"/>
      <c r="L75" s="181"/>
      <c r="M75" s="178"/>
      <c r="N75" s="23" t="s">
        <v>80</v>
      </c>
      <c r="O75" s="24">
        <v>3</v>
      </c>
      <c r="P75" s="24">
        <v>15</v>
      </c>
      <c r="Q75" s="23" t="s">
        <v>66</v>
      </c>
      <c r="R75" s="23"/>
      <c r="S75" s="47"/>
    </row>
    <row r="76" spans="2:19" x14ac:dyDescent="0.25">
      <c r="B76" s="181"/>
      <c r="C76" s="178"/>
      <c r="D76" s="23" t="s">
        <v>81</v>
      </c>
      <c r="E76" s="24">
        <v>4</v>
      </c>
      <c r="F76" s="24">
        <v>16</v>
      </c>
      <c r="G76" s="23" t="s">
        <v>66</v>
      </c>
      <c r="H76" s="23"/>
      <c r="I76" s="47"/>
      <c r="L76" s="181"/>
      <c r="M76" s="178"/>
      <c r="N76" s="23" t="s">
        <v>81</v>
      </c>
      <c r="O76" s="24">
        <v>4</v>
      </c>
      <c r="P76" s="24">
        <v>16</v>
      </c>
      <c r="Q76" s="23" t="s">
        <v>66</v>
      </c>
      <c r="R76" s="23"/>
      <c r="S76" s="47"/>
    </row>
    <row r="77" spans="2:19" x14ac:dyDescent="0.25">
      <c r="B77" s="181"/>
      <c r="C77" s="178"/>
      <c r="D77" s="23" t="s">
        <v>82</v>
      </c>
      <c r="E77" s="24">
        <v>5</v>
      </c>
      <c r="F77" s="24">
        <v>17</v>
      </c>
      <c r="G77" s="23" t="s">
        <v>66</v>
      </c>
      <c r="H77" s="23"/>
      <c r="I77" s="47"/>
      <c r="L77" s="181"/>
      <c r="M77" s="178"/>
      <c r="N77" s="23" t="s">
        <v>82</v>
      </c>
      <c r="O77" s="24">
        <v>5</v>
      </c>
      <c r="P77" s="24">
        <v>17</v>
      </c>
      <c r="Q77" s="23" t="s">
        <v>66</v>
      </c>
      <c r="R77" s="23"/>
      <c r="S77" s="47"/>
    </row>
    <row r="78" spans="2:19" ht="15.75" thickBot="1" x14ac:dyDescent="0.3">
      <c r="B78" s="181"/>
      <c r="C78" s="179"/>
      <c r="D78" s="23" t="s">
        <v>83</v>
      </c>
      <c r="E78" s="24">
        <v>6</v>
      </c>
      <c r="F78" s="24">
        <v>18</v>
      </c>
      <c r="G78" s="23" t="s">
        <v>66</v>
      </c>
      <c r="H78" s="23"/>
      <c r="I78" s="47"/>
      <c r="L78" s="181"/>
      <c r="M78" s="179"/>
      <c r="N78" s="23" t="s">
        <v>83</v>
      </c>
      <c r="O78" s="24">
        <v>6</v>
      </c>
      <c r="P78" s="24">
        <v>18</v>
      </c>
      <c r="Q78" s="23" t="s">
        <v>66</v>
      </c>
      <c r="R78" s="23"/>
      <c r="S78" s="47"/>
    </row>
    <row r="79" spans="2:19" x14ac:dyDescent="0.25">
      <c r="B79" s="181"/>
      <c r="C79" s="177" t="s">
        <v>84</v>
      </c>
      <c r="D79" s="23" t="s">
        <v>2</v>
      </c>
      <c r="E79" s="24">
        <v>1</v>
      </c>
      <c r="F79" s="24">
        <v>19</v>
      </c>
      <c r="G79" s="23" t="s">
        <v>66</v>
      </c>
      <c r="H79" s="23"/>
      <c r="I79" s="47"/>
      <c r="L79" s="181"/>
      <c r="M79" s="177" t="s">
        <v>84</v>
      </c>
      <c r="N79" s="23" t="s">
        <v>2</v>
      </c>
      <c r="O79" s="24">
        <v>1</v>
      </c>
      <c r="P79" s="24">
        <v>19</v>
      </c>
      <c r="Q79" s="23" t="s">
        <v>66</v>
      </c>
      <c r="R79" s="23"/>
      <c r="S79" s="47"/>
    </row>
    <row r="80" spans="2:19" x14ac:dyDescent="0.25">
      <c r="B80" s="181"/>
      <c r="C80" s="178"/>
      <c r="D80" s="23" t="s">
        <v>3</v>
      </c>
      <c r="E80" s="24">
        <v>2</v>
      </c>
      <c r="F80" s="24">
        <v>20</v>
      </c>
      <c r="G80" s="23" t="s">
        <v>66</v>
      </c>
      <c r="H80" s="23"/>
      <c r="I80" s="47"/>
      <c r="L80" s="181"/>
      <c r="M80" s="178"/>
      <c r="N80" s="23" t="s">
        <v>3</v>
      </c>
      <c r="O80" s="24">
        <v>2</v>
      </c>
      <c r="P80" s="24">
        <v>20</v>
      </c>
      <c r="Q80" s="23" t="s">
        <v>66</v>
      </c>
      <c r="R80" s="23"/>
      <c r="S80" s="47"/>
    </row>
    <row r="81" spans="2:19" x14ac:dyDescent="0.25">
      <c r="B81" s="181"/>
      <c r="C81" s="178"/>
      <c r="D81" s="23" t="s">
        <v>80</v>
      </c>
      <c r="E81" s="26">
        <v>3</v>
      </c>
      <c r="F81" s="24">
        <v>21</v>
      </c>
      <c r="G81" s="23" t="s">
        <v>66</v>
      </c>
      <c r="H81" s="23"/>
      <c r="I81" s="47"/>
      <c r="L81" s="181"/>
      <c r="M81" s="178"/>
      <c r="N81" s="23" t="s">
        <v>80</v>
      </c>
      <c r="O81" s="26">
        <v>3</v>
      </c>
      <c r="P81" s="24">
        <v>21</v>
      </c>
      <c r="Q81" s="23" t="s">
        <v>66</v>
      </c>
      <c r="R81" s="23"/>
      <c r="S81" s="47"/>
    </row>
    <row r="82" spans="2:19" x14ac:dyDescent="0.25">
      <c r="B82" s="181"/>
      <c r="C82" s="178"/>
      <c r="D82" s="23" t="s">
        <v>81</v>
      </c>
      <c r="E82" s="24">
        <v>4</v>
      </c>
      <c r="F82" s="24">
        <v>22</v>
      </c>
      <c r="G82" s="23" t="s">
        <v>66</v>
      </c>
      <c r="H82" s="23"/>
      <c r="I82" s="47"/>
      <c r="L82" s="181"/>
      <c r="M82" s="178"/>
      <c r="N82" s="23" t="s">
        <v>81</v>
      </c>
      <c r="O82" s="24">
        <v>4</v>
      </c>
      <c r="P82" s="24">
        <v>22</v>
      </c>
      <c r="Q82" s="23" t="s">
        <v>66</v>
      </c>
      <c r="R82" s="23"/>
      <c r="S82" s="47"/>
    </row>
    <row r="83" spans="2:19" x14ac:dyDescent="0.25">
      <c r="B83" s="181"/>
      <c r="C83" s="178"/>
      <c r="D83" s="23" t="s">
        <v>82</v>
      </c>
      <c r="E83" s="24">
        <v>5</v>
      </c>
      <c r="F83" s="24">
        <v>23</v>
      </c>
      <c r="G83" s="23" t="s">
        <v>66</v>
      </c>
      <c r="H83" s="23"/>
      <c r="I83" s="47"/>
      <c r="L83" s="181"/>
      <c r="M83" s="178"/>
      <c r="N83" s="23" t="s">
        <v>82</v>
      </c>
      <c r="O83" s="24">
        <v>5</v>
      </c>
      <c r="P83" s="24">
        <v>23</v>
      </c>
      <c r="Q83" s="23" t="s">
        <v>66</v>
      </c>
      <c r="R83" s="23"/>
      <c r="S83" s="47"/>
    </row>
    <row r="84" spans="2:19" ht="15.75" thickBot="1" x14ac:dyDescent="0.3">
      <c r="B84" s="182"/>
      <c r="C84" s="179"/>
      <c r="D84" s="23" t="s">
        <v>83</v>
      </c>
      <c r="E84" s="24">
        <v>6</v>
      </c>
      <c r="F84" s="24">
        <v>24</v>
      </c>
      <c r="G84" s="23" t="s">
        <v>66</v>
      </c>
      <c r="H84" s="23"/>
      <c r="I84" s="47"/>
      <c r="L84" s="182"/>
      <c r="M84" s="179"/>
      <c r="N84" s="23" t="s">
        <v>83</v>
      </c>
      <c r="O84" s="24">
        <v>6</v>
      </c>
      <c r="P84" s="24">
        <v>24</v>
      </c>
      <c r="Q84" s="23" t="s">
        <v>66</v>
      </c>
      <c r="R84" s="23"/>
      <c r="S84" s="47"/>
    </row>
    <row r="85" spans="2:19" x14ac:dyDescent="0.25">
      <c r="B85" s="189" t="s">
        <v>80</v>
      </c>
      <c r="C85" s="192" t="s">
        <v>77</v>
      </c>
      <c r="D85" s="27" t="s">
        <v>2</v>
      </c>
      <c r="E85" s="28">
        <v>1</v>
      </c>
      <c r="F85" s="28">
        <v>25</v>
      </c>
      <c r="G85" s="27" t="s">
        <v>66</v>
      </c>
      <c r="H85" s="27"/>
      <c r="I85" s="48"/>
      <c r="L85" s="189" t="s">
        <v>80</v>
      </c>
      <c r="M85" s="192" t="s">
        <v>77</v>
      </c>
      <c r="N85" s="27" t="s">
        <v>2</v>
      </c>
      <c r="O85" s="28">
        <v>1</v>
      </c>
      <c r="P85" s="28">
        <v>25</v>
      </c>
      <c r="Q85" s="27" t="s">
        <v>66</v>
      </c>
      <c r="R85" s="27"/>
      <c r="S85" s="48"/>
    </row>
    <row r="86" spans="2:19" x14ac:dyDescent="0.25">
      <c r="B86" s="190"/>
      <c r="C86" s="193"/>
      <c r="D86" s="27" t="s">
        <v>3</v>
      </c>
      <c r="E86" s="28">
        <v>2</v>
      </c>
      <c r="F86" s="28">
        <v>26</v>
      </c>
      <c r="G86" s="27" t="s">
        <v>66</v>
      </c>
      <c r="H86" s="27"/>
      <c r="I86" s="48"/>
      <c r="L86" s="190"/>
      <c r="M86" s="193"/>
      <c r="N86" s="27" t="s">
        <v>3</v>
      </c>
      <c r="O86" s="28">
        <v>2</v>
      </c>
      <c r="P86" s="28">
        <v>26</v>
      </c>
      <c r="Q86" s="27" t="s">
        <v>66</v>
      </c>
      <c r="R86" s="27"/>
      <c r="S86" s="48"/>
    </row>
    <row r="87" spans="2:19" x14ac:dyDescent="0.25">
      <c r="B87" s="190"/>
      <c r="C87" s="193"/>
      <c r="D87" s="27" t="s">
        <v>80</v>
      </c>
      <c r="E87" s="28">
        <v>3</v>
      </c>
      <c r="F87" s="28">
        <v>27</v>
      </c>
      <c r="G87" s="27" t="s">
        <v>66</v>
      </c>
      <c r="H87" s="27"/>
      <c r="I87" s="48"/>
      <c r="L87" s="190"/>
      <c r="M87" s="193"/>
      <c r="N87" s="27" t="s">
        <v>80</v>
      </c>
      <c r="O87" s="28">
        <v>3</v>
      </c>
      <c r="P87" s="28">
        <v>27</v>
      </c>
      <c r="Q87" s="27" t="s">
        <v>66</v>
      </c>
      <c r="R87" s="27"/>
      <c r="S87" s="48"/>
    </row>
    <row r="88" spans="2:19" x14ac:dyDescent="0.25">
      <c r="B88" s="190"/>
      <c r="C88" s="193"/>
      <c r="D88" s="27" t="s">
        <v>81</v>
      </c>
      <c r="E88" s="28">
        <v>4</v>
      </c>
      <c r="F88" s="28">
        <v>28</v>
      </c>
      <c r="G88" s="27" t="s">
        <v>66</v>
      </c>
      <c r="H88" s="27"/>
      <c r="I88" s="48"/>
      <c r="L88" s="190"/>
      <c r="M88" s="193"/>
      <c r="N88" s="27" t="s">
        <v>81</v>
      </c>
      <c r="O88" s="28">
        <v>4</v>
      </c>
      <c r="P88" s="28">
        <v>28</v>
      </c>
      <c r="Q88" s="27" t="s">
        <v>66</v>
      </c>
      <c r="R88" s="27"/>
      <c r="S88" s="48"/>
    </row>
    <row r="89" spans="2:19" x14ac:dyDescent="0.25">
      <c r="B89" s="190"/>
      <c r="C89" s="193"/>
      <c r="D89" s="27" t="s">
        <v>82</v>
      </c>
      <c r="E89" s="28">
        <v>5</v>
      </c>
      <c r="F89" s="28">
        <v>29</v>
      </c>
      <c r="G89" s="27" t="s">
        <v>66</v>
      </c>
      <c r="H89" s="27"/>
      <c r="I89" s="48"/>
      <c r="L89" s="190"/>
      <c r="M89" s="193"/>
      <c r="N89" s="27" t="s">
        <v>82</v>
      </c>
      <c r="O89" s="28">
        <v>5</v>
      </c>
      <c r="P89" s="28">
        <v>29</v>
      </c>
      <c r="Q89" s="27" t="s">
        <v>66</v>
      </c>
      <c r="R89" s="27"/>
      <c r="S89" s="48"/>
    </row>
    <row r="90" spans="2:19" ht="15.75" thickBot="1" x14ac:dyDescent="0.3">
      <c r="B90" s="190"/>
      <c r="C90" s="194"/>
      <c r="D90" s="27" t="s">
        <v>83</v>
      </c>
      <c r="E90" s="28">
        <v>6</v>
      </c>
      <c r="F90" s="28">
        <v>30</v>
      </c>
      <c r="G90" s="27" t="s">
        <v>66</v>
      </c>
      <c r="H90" s="27"/>
      <c r="I90" s="48"/>
      <c r="L90" s="190"/>
      <c r="M90" s="194"/>
      <c r="N90" s="27" t="s">
        <v>83</v>
      </c>
      <c r="O90" s="28">
        <v>6</v>
      </c>
      <c r="P90" s="28">
        <v>30</v>
      </c>
      <c r="Q90" s="27" t="s">
        <v>66</v>
      </c>
      <c r="R90" s="27"/>
      <c r="S90" s="48"/>
    </row>
    <row r="91" spans="2:19" x14ac:dyDescent="0.25">
      <c r="B91" s="190"/>
      <c r="C91" s="192" t="s">
        <v>84</v>
      </c>
      <c r="D91" s="27" t="s">
        <v>2</v>
      </c>
      <c r="E91" s="28">
        <v>1</v>
      </c>
      <c r="F91" s="28">
        <v>31</v>
      </c>
      <c r="G91" s="27" t="s">
        <v>66</v>
      </c>
      <c r="H91" s="27"/>
      <c r="I91" s="48"/>
      <c r="L91" s="190"/>
      <c r="M91" s="192" t="s">
        <v>84</v>
      </c>
      <c r="N91" s="27" t="s">
        <v>2</v>
      </c>
      <c r="O91" s="28">
        <v>1</v>
      </c>
      <c r="P91" s="28">
        <v>31</v>
      </c>
      <c r="Q91" s="27" t="s">
        <v>66</v>
      </c>
      <c r="R91" s="27"/>
      <c r="S91" s="48"/>
    </row>
    <row r="92" spans="2:19" x14ac:dyDescent="0.25">
      <c r="B92" s="190"/>
      <c r="C92" s="193"/>
      <c r="D92" s="27" t="s">
        <v>3</v>
      </c>
      <c r="E92" s="28">
        <v>2</v>
      </c>
      <c r="F92" s="28">
        <v>32</v>
      </c>
      <c r="G92" s="27" t="s">
        <v>66</v>
      </c>
      <c r="H92" s="27"/>
      <c r="I92" s="48"/>
      <c r="L92" s="190"/>
      <c r="M92" s="193"/>
      <c r="N92" s="27" t="s">
        <v>3</v>
      </c>
      <c r="O92" s="28">
        <v>2</v>
      </c>
      <c r="P92" s="28">
        <v>32</v>
      </c>
      <c r="Q92" s="27" t="s">
        <v>66</v>
      </c>
      <c r="R92" s="27"/>
      <c r="S92" s="48"/>
    </row>
    <row r="93" spans="2:19" x14ac:dyDescent="0.25">
      <c r="B93" s="190"/>
      <c r="C93" s="193"/>
      <c r="D93" s="27" t="s">
        <v>80</v>
      </c>
      <c r="E93" s="28">
        <v>3</v>
      </c>
      <c r="F93" s="28">
        <v>33</v>
      </c>
      <c r="G93" s="27" t="s">
        <v>66</v>
      </c>
      <c r="H93" s="27"/>
      <c r="I93" s="48"/>
      <c r="L93" s="190"/>
      <c r="M93" s="193"/>
      <c r="N93" s="27" t="s">
        <v>80</v>
      </c>
      <c r="O93" s="28">
        <v>3</v>
      </c>
      <c r="P93" s="28">
        <v>33</v>
      </c>
      <c r="Q93" s="27" t="s">
        <v>66</v>
      </c>
      <c r="R93" s="27"/>
      <c r="S93" s="48"/>
    </row>
    <row r="94" spans="2:19" x14ac:dyDescent="0.25">
      <c r="B94" s="190"/>
      <c r="C94" s="193"/>
      <c r="D94" s="27" t="s">
        <v>81</v>
      </c>
      <c r="E94" s="28">
        <v>4</v>
      </c>
      <c r="F94" s="28">
        <v>34</v>
      </c>
      <c r="G94" s="27" t="s">
        <v>66</v>
      </c>
      <c r="H94" s="27"/>
      <c r="I94" s="48"/>
      <c r="L94" s="190"/>
      <c r="M94" s="193"/>
      <c r="N94" s="27" t="s">
        <v>81</v>
      </c>
      <c r="O94" s="28">
        <v>4</v>
      </c>
      <c r="P94" s="28">
        <v>34</v>
      </c>
      <c r="Q94" s="27" t="s">
        <v>66</v>
      </c>
      <c r="R94" s="27"/>
      <c r="S94" s="48"/>
    </row>
    <row r="95" spans="2:19" x14ac:dyDescent="0.25">
      <c r="B95" s="190"/>
      <c r="C95" s="193"/>
      <c r="D95" s="27" t="s">
        <v>82</v>
      </c>
      <c r="E95" s="28">
        <v>5</v>
      </c>
      <c r="F95" s="28">
        <v>35</v>
      </c>
      <c r="G95" s="27" t="s">
        <v>66</v>
      </c>
      <c r="H95" s="27"/>
      <c r="I95" s="48"/>
      <c r="L95" s="190"/>
      <c r="M95" s="193"/>
      <c r="N95" s="27" t="s">
        <v>82</v>
      </c>
      <c r="O95" s="28">
        <v>5</v>
      </c>
      <c r="P95" s="28">
        <v>35</v>
      </c>
      <c r="Q95" s="27" t="s">
        <v>66</v>
      </c>
      <c r="R95" s="27"/>
      <c r="S95" s="48"/>
    </row>
    <row r="96" spans="2:19" ht="15.75" thickBot="1" x14ac:dyDescent="0.3">
      <c r="B96" s="191"/>
      <c r="C96" s="194"/>
      <c r="D96" s="27" t="s">
        <v>83</v>
      </c>
      <c r="E96" s="28">
        <v>6</v>
      </c>
      <c r="F96" s="28">
        <v>36</v>
      </c>
      <c r="G96" s="27" t="s">
        <v>66</v>
      </c>
      <c r="H96" s="27"/>
      <c r="I96" s="48"/>
      <c r="L96" s="191"/>
      <c r="M96" s="194"/>
      <c r="N96" s="27" t="s">
        <v>83</v>
      </c>
      <c r="O96" s="28">
        <v>6</v>
      </c>
      <c r="P96" s="28">
        <v>36</v>
      </c>
      <c r="Q96" s="27" t="s">
        <v>66</v>
      </c>
      <c r="R96" s="27"/>
      <c r="S96" s="48"/>
    </row>
    <row r="97" spans="2:19" x14ac:dyDescent="0.25">
      <c r="B97" s="183" t="s">
        <v>81</v>
      </c>
      <c r="C97" s="186" t="s">
        <v>77</v>
      </c>
      <c r="D97" s="29" t="s">
        <v>2</v>
      </c>
      <c r="E97" s="30">
        <v>1</v>
      </c>
      <c r="F97" s="30">
        <v>37</v>
      </c>
      <c r="G97" s="29" t="s">
        <v>66</v>
      </c>
      <c r="H97" s="29"/>
      <c r="I97" s="49"/>
      <c r="L97" s="183" t="s">
        <v>81</v>
      </c>
      <c r="M97" s="186" t="s">
        <v>77</v>
      </c>
      <c r="N97" s="29" t="s">
        <v>2</v>
      </c>
      <c r="O97" s="30">
        <v>1</v>
      </c>
      <c r="P97" s="30">
        <v>37</v>
      </c>
      <c r="Q97" s="29" t="s">
        <v>66</v>
      </c>
      <c r="R97" s="29"/>
      <c r="S97" s="49"/>
    </row>
    <row r="98" spans="2:19" x14ac:dyDescent="0.25">
      <c r="B98" s="184"/>
      <c r="C98" s="187"/>
      <c r="D98" s="29" t="s">
        <v>3</v>
      </c>
      <c r="E98" s="30">
        <v>2</v>
      </c>
      <c r="F98" s="30">
        <v>38</v>
      </c>
      <c r="G98" s="29" t="s">
        <v>66</v>
      </c>
      <c r="H98" s="29"/>
      <c r="I98" s="49"/>
      <c r="L98" s="184"/>
      <c r="M98" s="187"/>
      <c r="N98" s="29" t="s">
        <v>3</v>
      </c>
      <c r="O98" s="30">
        <v>2</v>
      </c>
      <c r="P98" s="30">
        <v>38</v>
      </c>
      <c r="Q98" s="29" t="s">
        <v>66</v>
      </c>
      <c r="R98" s="29"/>
      <c r="S98" s="49"/>
    </row>
    <row r="99" spans="2:19" x14ac:dyDescent="0.25">
      <c r="B99" s="184"/>
      <c r="C99" s="187"/>
      <c r="D99" s="29" t="s">
        <v>80</v>
      </c>
      <c r="E99" s="30">
        <v>3</v>
      </c>
      <c r="F99" s="30">
        <v>39</v>
      </c>
      <c r="G99" s="29" t="s">
        <v>66</v>
      </c>
      <c r="H99" s="29"/>
      <c r="I99" s="49"/>
      <c r="L99" s="184"/>
      <c r="M99" s="187"/>
      <c r="N99" s="29" t="s">
        <v>80</v>
      </c>
      <c r="O99" s="30">
        <v>3</v>
      </c>
      <c r="P99" s="30">
        <v>39</v>
      </c>
      <c r="Q99" s="29" t="s">
        <v>66</v>
      </c>
      <c r="R99" s="29"/>
      <c r="S99" s="49"/>
    </row>
    <row r="100" spans="2:19" x14ac:dyDescent="0.25">
      <c r="B100" s="184"/>
      <c r="C100" s="187"/>
      <c r="D100" s="29" t="s">
        <v>81</v>
      </c>
      <c r="E100" s="30">
        <v>4</v>
      </c>
      <c r="F100" s="30">
        <v>40</v>
      </c>
      <c r="G100" s="29" t="s">
        <v>66</v>
      </c>
      <c r="H100" s="29"/>
      <c r="I100" s="49"/>
      <c r="L100" s="184"/>
      <c r="M100" s="187"/>
      <c r="N100" s="29" t="s">
        <v>81</v>
      </c>
      <c r="O100" s="30">
        <v>4</v>
      </c>
      <c r="P100" s="30">
        <v>40</v>
      </c>
      <c r="Q100" s="29" t="s">
        <v>66</v>
      </c>
      <c r="R100" s="29"/>
      <c r="S100" s="49"/>
    </row>
    <row r="101" spans="2:19" x14ac:dyDescent="0.25">
      <c r="B101" s="184"/>
      <c r="C101" s="187"/>
      <c r="D101" s="29" t="s">
        <v>82</v>
      </c>
      <c r="E101" s="30">
        <v>5</v>
      </c>
      <c r="F101" s="30">
        <v>41</v>
      </c>
      <c r="G101" s="29" t="s">
        <v>66</v>
      </c>
      <c r="H101" s="29"/>
      <c r="I101" s="49"/>
      <c r="L101" s="184"/>
      <c r="M101" s="187"/>
      <c r="N101" s="29" t="s">
        <v>82</v>
      </c>
      <c r="O101" s="30">
        <v>5</v>
      </c>
      <c r="P101" s="30">
        <v>41</v>
      </c>
      <c r="Q101" s="29" t="s">
        <v>66</v>
      </c>
      <c r="R101" s="29"/>
      <c r="S101" s="49"/>
    </row>
    <row r="102" spans="2:19" ht="15.75" thickBot="1" x14ac:dyDescent="0.3">
      <c r="B102" s="184"/>
      <c r="C102" s="188"/>
      <c r="D102" s="29" t="s">
        <v>83</v>
      </c>
      <c r="E102" s="30">
        <v>6</v>
      </c>
      <c r="F102" s="30">
        <v>42</v>
      </c>
      <c r="G102" s="29" t="s">
        <v>66</v>
      </c>
      <c r="H102" s="29"/>
      <c r="I102" s="49"/>
      <c r="L102" s="184"/>
      <c r="M102" s="188"/>
      <c r="N102" s="29" t="s">
        <v>83</v>
      </c>
      <c r="O102" s="30">
        <v>6</v>
      </c>
      <c r="P102" s="30">
        <v>42</v>
      </c>
      <c r="Q102" s="29" t="s">
        <v>66</v>
      </c>
      <c r="R102" s="29"/>
      <c r="S102" s="49"/>
    </row>
    <row r="103" spans="2:19" x14ac:dyDescent="0.25">
      <c r="B103" s="184"/>
      <c r="C103" s="186" t="s">
        <v>84</v>
      </c>
      <c r="D103" s="29" t="s">
        <v>2</v>
      </c>
      <c r="E103" s="30">
        <v>1</v>
      </c>
      <c r="F103" s="30">
        <v>43</v>
      </c>
      <c r="G103" s="29" t="s">
        <v>66</v>
      </c>
      <c r="H103" s="29"/>
      <c r="I103" s="49"/>
      <c r="L103" s="184"/>
      <c r="M103" s="186" t="s">
        <v>84</v>
      </c>
      <c r="N103" s="29" t="s">
        <v>2</v>
      </c>
      <c r="O103" s="30">
        <v>1</v>
      </c>
      <c r="P103" s="30">
        <v>43</v>
      </c>
      <c r="Q103" s="29" t="s">
        <v>66</v>
      </c>
      <c r="R103" s="29"/>
      <c r="S103" s="49"/>
    </row>
    <row r="104" spans="2:19" x14ac:dyDescent="0.25">
      <c r="B104" s="184"/>
      <c r="C104" s="187"/>
      <c r="D104" s="29" t="s">
        <v>3</v>
      </c>
      <c r="E104" s="30">
        <v>2</v>
      </c>
      <c r="F104" s="30">
        <v>44</v>
      </c>
      <c r="G104" s="29" t="s">
        <v>66</v>
      </c>
      <c r="H104" s="29"/>
      <c r="I104" s="49"/>
      <c r="L104" s="184"/>
      <c r="M104" s="187"/>
      <c r="N104" s="29" t="s">
        <v>3</v>
      </c>
      <c r="O104" s="30">
        <v>2</v>
      </c>
      <c r="P104" s="30">
        <v>44</v>
      </c>
      <c r="Q104" s="29" t="s">
        <v>66</v>
      </c>
      <c r="R104" s="29"/>
      <c r="S104" s="49"/>
    </row>
    <row r="105" spans="2:19" x14ac:dyDescent="0.25">
      <c r="B105" s="184"/>
      <c r="C105" s="187"/>
      <c r="D105" s="29" t="s">
        <v>80</v>
      </c>
      <c r="E105" s="30">
        <v>3</v>
      </c>
      <c r="F105" s="30">
        <v>45</v>
      </c>
      <c r="G105" s="29" t="s">
        <v>66</v>
      </c>
      <c r="H105" s="29"/>
      <c r="I105" s="49"/>
      <c r="L105" s="184"/>
      <c r="M105" s="187"/>
      <c r="N105" s="29" t="s">
        <v>80</v>
      </c>
      <c r="O105" s="30">
        <v>3</v>
      </c>
      <c r="P105" s="30">
        <v>45</v>
      </c>
      <c r="Q105" s="29" t="s">
        <v>66</v>
      </c>
      <c r="R105" s="29"/>
      <c r="S105" s="49"/>
    </row>
    <row r="106" spans="2:19" x14ac:dyDescent="0.25">
      <c r="B106" s="184"/>
      <c r="C106" s="187"/>
      <c r="D106" s="29" t="s">
        <v>81</v>
      </c>
      <c r="E106" s="30">
        <v>4</v>
      </c>
      <c r="F106" s="30">
        <v>46</v>
      </c>
      <c r="G106" s="29" t="s">
        <v>66</v>
      </c>
      <c r="H106" s="29"/>
      <c r="I106" s="49"/>
      <c r="L106" s="184"/>
      <c r="M106" s="187"/>
      <c r="N106" s="29" t="s">
        <v>81</v>
      </c>
      <c r="O106" s="30">
        <v>4</v>
      </c>
      <c r="P106" s="30">
        <v>46</v>
      </c>
      <c r="Q106" s="29" t="s">
        <v>66</v>
      </c>
      <c r="R106" s="29"/>
      <c r="S106" s="49"/>
    </row>
    <row r="107" spans="2:19" x14ac:dyDescent="0.25">
      <c r="B107" s="184"/>
      <c r="C107" s="187"/>
      <c r="D107" s="29" t="s">
        <v>82</v>
      </c>
      <c r="E107" s="30">
        <v>5</v>
      </c>
      <c r="F107" s="30">
        <v>47</v>
      </c>
      <c r="G107" s="29" t="s">
        <v>66</v>
      </c>
      <c r="H107" s="29"/>
      <c r="I107" s="49"/>
      <c r="L107" s="184"/>
      <c r="M107" s="187"/>
      <c r="N107" s="29" t="s">
        <v>82</v>
      </c>
      <c r="O107" s="30">
        <v>5</v>
      </c>
      <c r="P107" s="30">
        <v>47</v>
      </c>
      <c r="Q107" s="29" t="s">
        <v>66</v>
      </c>
      <c r="R107" s="29"/>
      <c r="S107" s="49"/>
    </row>
    <row r="108" spans="2:19" ht="15.75" thickBot="1" x14ac:dyDescent="0.3">
      <c r="B108" s="185"/>
      <c r="C108" s="188"/>
      <c r="D108" s="29" t="s">
        <v>83</v>
      </c>
      <c r="E108" s="30">
        <v>6</v>
      </c>
      <c r="F108" s="30">
        <v>48</v>
      </c>
      <c r="G108" s="29" t="s">
        <v>66</v>
      </c>
      <c r="H108" s="29"/>
      <c r="I108" s="49"/>
      <c r="L108" s="185"/>
      <c r="M108" s="188"/>
      <c r="N108" s="29" t="s">
        <v>83</v>
      </c>
      <c r="O108" s="30">
        <v>6</v>
      </c>
      <c r="P108" s="30">
        <v>48</v>
      </c>
      <c r="Q108" s="29" t="s">
        <v>66</v>
      </c>
      <c r="R108" s="29"/>
      <c r="S108" s="49"/>
    </row>
    <row r="109" spans="2:19" ht="15.75" thickBot="1" x14ac:dyDescent="0.3"/>
    <row r="110" spans="2:19" ht="15.75" thickBot="1" x14ac:dyDescent="0.3">
      <c r="B110" s="171" t="s">
        <v>388</v>
      </c>
      <c r="C110" s="172"/>
      <c r="D110" s="172"/>
      <c r="E110" s="172"/>
      <c r="F110" s="172"/>
      <c r="G110" s="172"/>
      <c r="H110" s="172"/>
      <c r="I110" s="173"/>
      <c r="L110" s="171" t="s">
        <v>389</v>
      </c>
      <c r="M110" s="172"/>
      <c r="N110" s="172"/>
      <c r="O110" s="172"/>
      <c r="P110" s="172"/>
      <c r="Q110" s="172"/>
      <c r="R110" s="172"/>
      <c r="S110" s="173"/>
    </row>
    <row r="112" spans="2:19" ht="26.25" thickBot="1" x14ac:dyDescent="0.3">
      <c r="B112" s="15" t="s">
        <v>70</v>
      </c>
      <c r="C112" s="16" t="s">
        <v>71</v>
      </c>
      <c r="D112" s="15" t="s">
        <v>72</v>
      </c>
      <c r="E112" s="17" t="s">
        <v>73</v>
      </c>
      <c r="F112" s="17" t="s">
        <v>74</v>
      </c>
      <c r="G112" s="15" t="s">
        <v>75</v>
      </c>
      <c r="H112" s="15" t="s">
        <v>55</v>
      </c>
      <c r="I112" s="15" t="s">
        <v>76</v>
      </c>
      <c r="L112" s="15" t="s">
        <v>70</v>
      </c>
      <c r="M112" s="16" t="s">
        <v>71</v>
      </c>
      <c r="N112" s="15" t="s">
        <v>72</v>
      </c>
      <c r="O112" s="17" t="s">
        <v>73</v>
      </c>
      <c r="P112" s="17" t="s">
        <v>74</v>
      </c>
      <c r="Q112" s="15" t="s">
        <v>75</v>
      </c>
      <c r="R112" s="15" t="s">
        <v>55</v>
      </c>
      <c r="S112" s="15" t="s">
        <v>76</v>
      </c>
    </row>
    <row r="113" spans="2:19" x14ac:dyDescent="0.25">
      <c r="B113" s="174" t="s">
        <v>2</v>
      </c>
      <c r="C113" s="168" t="s">
        <v>77</v>
      </c>
      <c r="D113" s="18" t="s">
        <v>2</v>
      </c>
      <c r="E113" s="19">
        <v>1</v>
      </c>
      <c r="F113" s="19">
        <v>1</v>
      </c>
      <c r="G113" s="18" t="s">
        <v>66</v>
      </c>
      <c r="H113" s="32"/>
      <c r="I113" s="50"/>
      <c r="L113" s="174" t="s">
        <v>2</v>
      </c>
      <c r="M113" s="168" t="s">
        <v>77</v>
      </c>
      <c r="N113" s="18" t="s">
        <v>2</v>
      </c>
      <c r="O113" s="19">
        <v>1</v>
      </c>
      <c r="P113" s="19">
        <v>1</v>
      </c>
      <c r="Q113" s="18" t="s">
        <v>66</v>
      </c>
      <c r="R113" s="32"/>
      <c r="S113" s="50"/>
    </row>
    <row r="114" spans="2:19" x14ac:dyDescent="0.25">
      <c r="B114" s="175"/>
      <c r="C114" s="169"/>
      <c r="D114" s="18" t="s">
        <v>3</v>
      </c>
      <c r="E114" s="19">
        <v>2</v>
      </c>
      <c r="F114" s="19">
        <v>2</v>
      </c>
      <c r="G114" s="18" t="s">
        <v>66</v>
      </c>
      <c r="H114" s="32"/>
      <c r="I114" s="50"/>
      <c r="L114" s="175"/>
      <c r="M114" s="169"/>
      <c r="N114" s="18" t="s">
        <v>3</v>
      </c>
      <c r="O114" s="19">
        <v>2</v>
      </c>
      <c r="P114" s="19">
        <v>2</v>
      </c>
      <c r="Q114" s="18" t="s">
        <v>66</v>
      </c>
      <c r="R114" s="32"/>
      <c r="S114" s="50"/>
    </row>
    <row r="115" spans="2:19" x14ac:dyDescent="0.25">
      <c r="B115" s="175"/>
      <c r="C115" s="169"/>
      <c r="D115" s="18" t="s">
        <v>80</v>
      </c>
      <c r="E115" s="20">
        <v>3</v>
      </c>
      <c r="F115" s="20">
        <v>3</v>
      </c>
      <c r="G115" s="18" t="s">
        <v>66</v>
      </c>
      <c r="H115" s="32"/>
      <c r="I115" s="50"/>
      <c r="L115" s="175"/>
      <c r="M115" s="169"/>
      <c r="N115" s="18" t="s">
        <v>80</v>
      </c>
      <c r="O115" s="20">
        <v>3</v>
      </c>
      <c r="P115" s="20">
        <v>3</v>
      </c>
      <c r="Q115" s="18" t="s">
        <v>66</v>
      </c>
      <c r="R115" s="32"/>
      <c r="S115" s="50"/>
    </row>
    <row r="116" spans="2:19" x14ac:dyDescent="0.25">
      <c r="B116" s="175"/>
      <c r="C116" s="169"/>
      <c r="D116" s="18" t="s">
        <v>81</v>
      </c>
      <c r="E116" s="20">
        <v>4</v>
      </c>
      <c r="F116" s="20">
        <v>4</v>
      </c>
      <c r="G116" s="18" t="s">
        <v>66</v>
      </c>
      <c r="H116" s="32"/>
      <c r="I116" s="50"/>
      <c r="L116" s="175"/>
      <c r="M116" s="169"/>
      <c r="N116" s="18" t="s">
        <v>81</v>
      </c>
      <c r="O116" s="20">
        <v>4</v>
      </c>
      <c r="P116" s="20">
        <v>4</v>
      </c>
      <c r="Q116" s="18" t="s">
        <v>66</v>
      </c>
      <c r="R116" s="32"/>
      <c r="S116" s="50"/>
    </row>
    <row r="117" spans="2:19" x14ac:dyDescent="0.25">
      <c r="B117" s="175"/>
      <c r="C117" s="169"/>
      <c r="D117" s="18" t="s">
        <v>82</v>
      </c>
      <c r="E117" s="20">
        <v>5</v>
      </c>
      <c r="F117" s="20">
        <v>5</v>
      </c>
      <c r="G117" s="18" t="s">
        <v>66</v>
      </c>
      <c r="H117" s="32"/>
      <c r="I117" s="50"/>
      <c r="L117" s="175"/>
      <c r="M117" s="169"/>
      <c r="N117" s="18" t="s">
        <v>82</v>
      </c>
      <c r="O117" s="20">
        <v>5</v>
      </c>
      <c r="P117" s="20">
        <v>5</v>
      </c>
      <c r="Q117" s="18" t="s">
        <v>66</v>
      </c>
      <c r="R117" s="32"/>
      <c r="S117" s="50"/>
    </row>
    <row r="118" spans="2:19" ht="15.75" thickBot="1" x14ac:dyDescent="0.3">
      <c r="B118" s="175"/>
      <c r="C118" s="170"/>
      <c r="D118" s="18" t="s">
        <v>83</v>
      </c>
      <c r="E118" s="20">
        <v>6</v>
      </c>
      <c r="F118" s="20">
        <v>6</v>
      </c>
      <c r="G118" s="18" t="s">
        <v>66</v>
      </c>
      <c r="H118" s="32"/>
      <c r="I118" s="50"/>
      <c r="L118" s="175"/>
      <c r="M118" s="170"/>
      <c r="N118" s="18" t="s">
        <v>83</v>
      </c>
      <c r="O118" s="20">
        <v>6</v>
      </c>
      <c r="P118" s="20">
        <v>6</v>
      </c>
      <c r="Q118" s="18" t="s">
        <v>66</v>
      </c>
      <c r="R118" s="32"/>
      <c r="S118" s="50"/>
    </row>
    <row r="119" spans="2:19" x14ac:dyDescent="0.25">
      <c r="B119" s="175"/>
      <c r="C119" s="168" t="s">
        <v>84</v>
      </c>
      <c r="D119" s="18" t="s">
        <v>2</v>
      </c>
      <c r="E119" s="19">
        <v>1</v>
      </c>
      <c r="F119" s="19">
        <v>7</v>
      </c>
      <c r="G119" s="18" t="s">
        <v>78</v>
      </c>
      <c r="H119" s="156" t="s">
        <v>384</v>
      </c>
      <c r="I119" s="165" t="s">
        <v>211</v>
      </c>
      <c r="L119" s="175"/>
      <c r="M119" s="168" t="s">
        <v>84</v>
      </c>
      <c r="N119" s="18" t="s">
        <v>2</v>
      </c>
      <c r="O119" s="19">
        <v>1</v>
      </c>
      <c r="P119" s="19">
        <v>7</v>
      </c>
      <c r="Q119" s="18" t="s">
        <v>78</v>
      </c>
      <c r="R119" s="156" t="s">
        <v>384</v>
      </c>
      <c r="S119" s="165" t="s">
        <v>213</v>
      </c>
    </row>
    <row r="120" spans="2:19" x14ac:dyDescent="0.25">
      <c r="B120" s="175"/>
      <c r="C120" s="169"/>
      <c r="D120" s="18" t="s">
        <v>3</v>
      </c>
      <c r="E120" s="19">
        <v>2</v>
      </c>
      <c r="F120" s="19">
        <v>8</v>
      </c>
      <c r="G120" s="18" t="s">
        <v>78</v>
      </c>
      <c r="H120" s="157"/>
      <c r="I120" s="166"/>
      <c r="L120" s="175"/>
      <c r="M120" s="169"/>
      <c r="N120" s="18" t="s">
        <v>3</v>
      </c>
      <c r="O120" s="19">
        <v>2</v>
      </c>
      <c r="P120" s="19">
        <v>8</v>
      </c>
      <c r="Q120" s="18" t="s">
        <v>78</v>
      </c>
      <c r="R120" s="157"/>
      <c r="S120" s="166"/>
    </row>
    <row r="121" spans="2:19" x14ac:dyDescent="0.25">
      <c r="B121" s="175"/>
      <c r="C121" s="169"/>
      <c r="D121" s="18" t="s">
        <v>80</v>
      </c>
      <c r="E121" s="20">
        <v>3</v>
      </c>
      <c r="F121" s="20">
        <v>9</v>
      </c>
      <c r="G121" s="18" t="s">
        <v>66</v>
      </c>
      <c r="H121" s="157"/>
      <c r="I121" s="166"/>
      <c r="L121" s="175"/>
      <c r="M121" s="169"/>
      <c r="N121" s="18" t="s">
        <v>80</v>
      </c>
      <c r="O121" s="20">
        <v>3</v>
      </c>
      <c r="P121" s="20">
        <v>9</v>
      </c>
      <c r="Q121" s="18" t="s">
        <v>66</v>
      </c>
      <c r="R121" s="157"/>
      <c r="S121" s="166"/>
    </row>
    <row r="122" spans="2:19" x14ac:dyDescent="0.25">
      <c r="B122" s="175"/>
      <c r="C122" s="169"/>
      <c r="D122" s="18" t="s">
        <v>81</v>
      </c>
      <c r="E122" s="20">
        <v>4</v>
      </c>
      <c r="F122" s="20">
        <v>10</v>
      </c>
      <c r="G122" s="18" t="s">
        <v>66</v>
      </c>
      <c r="H122" s="157"/>
      <c r="I122" s="166"/>
      <c r="L122" s="175"/>
      <c r="M122" s="169"/>
      <c r="N122" s="18" t="s">
        <v>81</v>
      </c>
      <c r="O122" s="20">
        <v>4</v>
      </c>
      <c r="P122" s="20">
        <v>10</v>
      </c>
      <c r="Q122" s="18" t="s">
        <v>66</v>
      </c>
      <c r="R122" s="157"/>
      <c r="S122" s="166"/>
    </row>
    <row r="123" spans="2:19" x14ac:dyDescent="0.25">
      <c r="B123" s="175"/>
      <c r="C123" s="169"/>
      <c r="D123" s="18" t="s">
        <v>82</v>
      </c>
      <c r="E123" s="20">
        <v>5</v>
      </c>
      <c r="F123" s="20">
        <v>11</v>
      </c>
      <c r="G123" s="18" t="s">
        <v>66</v>
      </c>
      <c r="H123" s="157"/>
      <c r="I123" s="166"/>
      <c r="L123" s="175"/>
      <c r="M123" s="169"/>
      <c r="N123" s="18" t="s">
        <v>82</v>
      </c>
      <c r="O123" s="20">
        <v>5</v>
      </c>
      <c r="P123" s="20">
        <v>11</v>
      </c>
      <c r="Q123" s="18" t="s">
        <v>66</v>
      </c>
      <c r="R123" s="157"/>
      <c r="S123" s="166"/>
    </row>
    <row r="124" spans="2:19" ht="15.75" thickBot="1" x14ac:dyDescent="0.3">
      <c r="B124" s="176"/>
      <c r="C124" s="170"/>
      <c r="D124" s="18" t="s">
        <v>83</v>
      </c>
      <c r="E124" s="20">
        <v>6</v>
      </c>
      <c r="F124" s="20">
        <v>12</v>
      </c>
      <c r="G124" s="18" t="s">
        <v>66</v>
      </c>
      <c r="H124" s="158"/>
      <c r="I124" s="167"/>
      <c r="L124" s="176"/>
      <c r="M124" s="170"/>
      <c r="N124" s="18" t="s">
        <v>83</v>
      </c>
      <c r="O124" s="20">
        <v>6</v>
      </c>
      <c r="P124" s="20">
        <v>12</v>
      </c>
      <c r="Q124" s="18" t="s">
        <v>66</v>
      </c>
      <c r="R124" s="158"/>
      <c r="S124" s="167"/>
    </row>
    <row r="125" spans="2:19" x14ac:dyDescent="0.25">
      <c r="B125" s="180" t="s">
        <v>3</v>
      </c>
      <c r="C125" s="177" t="s">
        <v>77</v>
      </c>
      <c r="D125" s="21" t="s">
        <v>2</v>
      </c>
      <c r="E125" s="22">
        <v>1</v>
      </c>
      <c r="F125" s="22">
        <v>13</v>
      </c>
      <c r="G125" s="21" t="s">
        <v>66</v>
      </c>
      <c r="H125" s="21"/>
      <c r="I125" s="51"/>
      <c r="L125" s="180" t="s">
        <v>3</v>
      </c>
      <c r="M125" s="177" t="s">
        <v>77</v>
      </c>
      <c r="N125" s="21" t="s">
        <v>2</v>
      </c>
      <c r="O125" s="22">
        <v>1</v>
      </c>
      <c r="P125" s="22">
        <v>13</v>
      </c>
      <c r="Q125" s="21" t="s">
        <v>66</v>
      </c>
      <c r="R125" s="21"/>
      <c r="S125" s="51"/>
    </row>
    <row r="126" spans="2:19" x14ac:dyDescent="0.25">
      <c r="B126" s="181"/>
      <c r="C126" s="178"/>
      <c r="D126" s="23" t="s">
        <v>3</v>
      </c>
      <c r="E126" s="24">
        <v>2</v>
      </c>
      <c r="F126" s="24">
        <v>14</v>
      </c>
      <c r="G126" s="23" t="s">
        <v>66</v>
      </c>
      <c r="H126" s="23"/>
      <c r="I126" s="47"/>
      <c r="L126" s="181"/>
      <c r="M126" s="178"/>
      <c r="N126" s="23" t="s">
        <v>3</v>
      </c>
      <c r="O126" s="24">
        <v>2</v>
      </c>
      <c r="P126" s="24">
        <v>14</v>
      </c>
      <c r="Q126" s="23" t="s">
        <v>66</v>
      </c>
      <c r="R126" s="23"/>
      <c r="S126" s="47"/>
    </row>
    <row r="127" spans="2:19" x14ac:dyDescent="0.25">
      <c r="B127" s="181"/>
      <c r="C127" s="178"/>
      <c r="D127" s="23" t="s">
        <v>80</v>
      </c>
      <c r="E127" s="24">
        <v>3</v>
      </c>
      <c r="F127" s="24">
        <v>15</v>
      </c>
      <c r="G127" s="23" t="s">
        <v>66</v>
      </c>
      <c r="H127" s="23"/>
      <c r="I127" s="47"/>
      <c r="L127" s="181"/>
      <c r="M127" s="178"/>
      <c r="N127" s="23" t="s">
        <v>80</v>
      </c>
      <c r="O127" s="24">
        <v>3</v>
      </c>
      <c r="P127" s="24">
        <v>15</v>
      </c>
      <c r="Q127" s="23" t="s">
        <v>66</v>
      </c>
      <c r="R127" s="23"/>
      <c r="S127" s="47"/>
    </row>
    <row r="128" spans="2:19" x14ac:dyDescent="0.25">
      <c r="B128" s="181"/>
      <c r="C128" s="178"/>
      <c r="D128" s="23" t="s">
        <v>81</v>
      </c>
      <c r="E128" s="24">
        <v>4</v>
      </c>
      <c r="F128" s="24">
        <v>16</v>
      </c>
      <c r="G128" s="23" t="s">
        <v>66</v>
      </c>
      <c r="H128" s="23"/>
      <c r="I128" s="47"/>
      <c r="L128" s="181"/>
      <c r="M128" s="178"/>
      <c r="N128" s="23" t="s">
        <v>81</v>
      </c>
      <c r="O128" s="24">
        <v>4</v>
      </c>
      <c r="P128" s="24">
        <v>16</v>
      </c>
      <c r="Q128" s="23" t="s">
        <v>66</v>
      </c>
      <c r="R128" s="23"/>
      <c r="S128" s="47"/>
    </row>
    <row r="129" spans="2:19" x14ac:dyDescent="0.25">
      <c r="B129" s="181"/>
      <c r="C129" s="178"/>
      <c r="D129" s="23" t="s">
        <v>82</v>
      </c>
      <c r="E129" s="24">
        <v>5</v>
      </c>
      <c r="F129" s="24">
        <v>17</v>
      </c>
      <c r="G129" s="23" t="s">
        <v>66</v>
      </c>
      <c r="H129" s="23"/>
      <c r="I129" s="47"/>
      <c r="L129" s="181"/>
      <c r="M129" s="178"/>
      <c r="N129" s="23" t="s">
        <v>82</v>
      </c>
      <c r="O129" s="24">
        <v>5</v>
      </c>
      <c r="P129" s="24">
        <v>17</v>
      </c>
      <c r="Q129" s="23" t="s">
        <v>66</v>
      </c>
      <c r="R129" s="23"/>
      <c r="S129" s="47"/>
    </row>
    <row r="130" spans="2:19" ht="15.75" thickBot="1" x14ac:dyDescent="0.3">
      <c r="B130" s="181"/>
      <c r="C130" s="179"/>
      <c r="D130" s="23" t="s">
        <v>83</v>
      </c>
      <c r="E130" s="24">
        <v>6</v>
      </c>
      <c r="F130" s="24">
        <v>18</v>
      </c>
      <c r="G130" s="23" t="s">
        <v>66</v>
      </c>
      <c r="H130" s="23"/>
      <c r="I130" s="47"/>
      <c r="L130" s="181"/>
      <c r="M130" s="179"/>
      <c r="N130" s="23" t="s">
        <v>83</v>
      </c>
      <c r="O130" s="24">
        <v>6</v>
      </c>
      <c r="P130" s="24">
        <v>18</v>
      </c>
      <c r="Q130" s="23" t="s">
        <v>66</v>
      </c>
      <c r="R130" s="23"/>
      <c r="S130" s="47"/>
    </row>
    <row r="131" spans="2:19" x14ac:dyDescent="0.25">
      <c r="B131" s="181"/>
      <c r="C131" s="177" t="s">
        <v>84</v>
      </c>
      <c r="D131" s="23" t="s">
        <v>2</v>
      </c>
      <c r="E131" s="24">
        <v>1</v>
      </c>
      <c r="F131" s="24">
        <v>19</v>
      </c>
      <c r="G131" s="23" t="s">
        <v>66</v>
      </c>
      <c r="H131" s="23"/>
      <c r="I131" s="47"/>
      <c r="L131" s="181"/>
      <c r="M131" s="177" t="s">
        <v>84</v>
      </c>
      <c r="N131" s="23" t="s">
        <v>2</v>
      </c>
      <c r="O131" s="24">
        <v>1</v>
      </c>
      <c r="P131" s="24">
        <v>19</v>
      </c>
      <c r="Q131" s="23" t="s">
        <v>66</v>
      </c>
      <c r="R131" s="23"/>
      <c r="S131" s="47"/>
    </row>
    <row r="132" spans="2:19" x14ac:dyDescent="0.25">
      <c r="B132" s="181"/>
      <c r="C132" s="178"/>
      <c r="D132" s="23" t="s">
        <v>3</v>
      </c>
      <c r="E132" s="24">
        <v>2</v>
      </c>
      <c r="F132" s="24">
        <v>20</v>
      </c>
      <c r="G132" s="23" t="s">
        <v>66</v>
      </c>
      <c r="H132" s="23"/>
      <c r="I132" s="47"/>
      <c r="L132" s="181"/>
      <c r="M132" s="178"/>
      <c r="N132" s="23" t="s">
        <v>3</v>
      </c>
      <c r="O132" s="24">
        <v>2</v>
      </c>
      <c r="P132" s="24">
        <v>20</v>
      </c>
      <c r="Q132" s="23" t="s">
        <v>66</v>
      </c>
      <c r="R132" s="23"/>
      <c r="S132" s="47"/>
    </row>
    <row r="133" spans="2:19" x14ac:dyDescent="0.25">
      <c r="B133" s="181"/>
      <c r="C133" s="178"/>
      <c r="D133" s="23" t="s">
        <v>80</v>
      </c>
      <c r="E133" s="26">
        <v>3</v>
      </c>
      <c r="F133" s="24">
        <v>21</v>
      </c>
      <c r="G133" s="23" t="s">
        <v>66</v>
      </c>
      <c r="H133" s="23"/>
      <c r="I133" s="47"/>
      <c r="L133" s="181"/>
      <c r="M133" s="178"/>
      <c r="N133" s="23" t="s">
        <v>80</v>
      </c>
      <c r="O133" s="26">
        <v>3</v>
      </c>
      <c r="P133" s="24">
        <v>21</v>
      </c>
      <c r="Q133" s="23" t="s">
        <v>66</v>
      </c>
      <c r="R133" s="23"/>
      <c r="S133" s="47"/>
    </row>
    <row r="134" spans="2:19" x14ac:dyDescent="0.25">
      <c r="B134" s="181"/>
      <c r="C134" s="178"/>
      <c r="D134" s="23" t="s">
        <v>81</v>
      </c>
      <c r="E134" s="24">
        <v>4</v>
      </c>
      <c r="F134" s="24">
        <v>22</v>
      </c>
      <c r="G134" s="23" t="s">
        <v>66</v>
      </c>
      <c r="H134" s="23"/>
      <c r="I134" s="47"/>
      <c r="L134" s="181"/>
      <c r="M134" s="178"/>
      <c r="N134" s="23" t="s">
        <v>81</v>
      </c>
      <c r="O134" s="24">
        <v>4</v>
      </c>
      <c r="P134" s="24">
        <v>22</v>
      </c>
      <c r="Q134" s="23" t="s">
        <v>66</v>
      </c>
      <c r="R134" s="23"/>
      <c r="S134" s="47"/>
    </row>
    <row r="135" spans="2:19" x14ac:dyDescent="0.25">
      <c r="B135" s="181"/>
      <c r="C135" s="178"/>
      <c r="D135" s="23" t="s">
        <v>82</v>
      </c>
      <c r="E135" s="24">
        <v>5</v>
      </c>
      <c r="F135" s="24">
        <v>23</v>
      </c>
      <c r="G135" s="23" t="s">
        <v>66</v>
      </c>
      <c r="H135" s="23"/>
      <c r="I135" s="47"/>
      <c r="L135" s="181"/>
      <c r="M135" s="178"/>
      <c r="N135" s="23" t="s">
        <v>82</v>
      </c>
      <c r="O135" s="24">
        <v>5</v>
      </c>
      <c r="P135" s="24">
        <v>23</v>
      </c>
      <c r="Q135" s="23" t="s">
        <v>66</v>
      </c>
      <c r="R135" s="23"/>
      <c r="S135" s="47"/>
    </row>
    <row r="136" spans="2:19" ht="15.75" thickBot="1" x14ac:dyDescent="0.3">
      <c r="B136" s="182"/>
      <c r="C136" s="179"/>
      <c r="D136" s="23" t="s">
        <v>83</v>
      </c>
      <c r="E136" s="24">
        <v>6</v>
      </c>
      <c r="F136" s="24">
        <v>24</v>
      </c>
      <c r="G136" s="23" t="s">
        <v>66</v>
      </c>
      <c r="H136" s="23"/>
      <c r="I136" s="47"/>
      <c r="L136" s="182"/>
      <c r="M136" s="179"/>
      <c r="N136" s="23" t="s">
        <v>83</v>
      </c>
      <c r="O136" s="24">
        <v>6</v>
      </c>
      <c r="P136" s="24">
        <v>24</v>
      </c>
      <c r="Q136" s="23" t="s">
        <v>66</v>
      </c>
      <c r="R136" s="23"/>
      <c r="S136" s="47"/>
    </row>
    <row r="137" spans="2:19" x14ac:dyDescent="0.25">
      <c r="B137" s="189" t="s">
        <v>80</v>
      </c>
      <c r="C137" s="192" t="s">
        <v>77</v>
      </c>
      <c r="D137" s="27" t="s">
        <v>2</v>
      </c>
      <c r="E137" s="28">
        <v>1</v>
      </c>
      <c r="F137" s="28">
        <v>25</v>
      </c>
      <c r="G137" s="27" t="s">
        <v>66</v>
      </c>
      <c r="H137" s="27"/>
      <c r="I137" s="48"/>
      <c r="L137" s="189" t="s">
        <v>80</v>
      </c>
      <c r="M137" s="192" t="s">
        <v>77</v>
      </c>
      <c r="N137" s="27" t="s">
        <v>2</v>
      </c>
      <c r="O137" s="28">
        <v>1</v>
      </c>
      <c r="P137" s="28">
        <v>25</v>
      </c>
      <c r="Q137" s="27" t="s">
        <v>66</v>
      </c>
      <c r="R137" s="27"/>
      <c r="S137" s="48"/>
    </row>
    <row r="138" spans="2:19" x14ac:dyDescent="0.25">
      <c r="B138" s="190"/>
      <c r="C138" s="193"/>
      <c r="D138" s="27" t="s">
        <v>3</v>
      </c>
      <c r="E138" s="28">
        <v>2</v>
      </c>
      <c r="F138" s="28">
        <v>26</v>
      </c>
      <c r="G138" s="27" t="s">
        <v>66</v>
      </c>
      <c r="H138" s="27"/>
      <c r="I138" s="48"/>
      <c r="L138" s="190"/>
      <c r="M138" s="193"/>
      <c r="N138" s="27" t="s">
        <v>3</v>
      </c>
      <c r="O138" s="28">
        <v>2</v>
      </c>
      <c r="P138" s="28">
        <v>26</v>
      </c>
      <c r="Q138" s="27" t="s">
        <v>66</v>
      </c>
      <c r="R138" s="27"/>
      <c r="S138" s="48"/>
    </row>
    <row r="139" spans="2:19" x14ac:dyDescent="0.25">
      <c r="B139" s="190"/>
      <c r="C139" s="193"/>
      <c r="D139" s="27" t="s">
        <v>80</v>
      </c>
      <c r="E139" s="28">
        <v>3</v>
      </c>
      <c r="F139" s="28">
        <v>27</v>
      </c>
      <c r="G139" s="27" t="s">
        <v>66</v>
      </c>
      <c r="H139" s="27"/>
      <c r="I139" s="48"/>
      <c r="L139" s="190"/>
      <c r="M139" s="193"/>
      <c r="N139" s="27" t="s">
        <v>80</v>
      </c>
      <c r="O139" s="28">
        <v>3</v>
      </c>
      <c r="P139" s="28">
        <v>27</v>
      </c>
      <c r="Q139" s="27" t="s">
        <v>66</v>
      </c>
      <c r="R139" s="27"/>
      <c r="S139" s="48"/>
    </row>
    <row r="140" spans="2:19" x14ac:dyDescent="0.25">
      <c r="B140" s="190"/>
      <c r="C140" s="193"/>
      <c r="D140" s="27" t="s">
        <v>81</v>
      </c>
      <c r="E140" s="28">
        <v>4</v>
      </c>
      <c r="F140" s="28">
        <v>28</v>
      </c>
      <c r="G140" s="27" t="s">
        <v>66</v>
      </c>
      <c r="H140" s="27"/>
      <c r="I140" s="48"/>
      <c r="L140" s="190"/>
      <c r="M140" s="193"/>
      <c r="N140" s="27" t="s">
        <v>81</v>
      </c>
      <c r="O140" s="28">
        <v>4</v>
      </c>
      <c r="P140" s="28">
        <v>28</v>
      </c>
      <c r="Q140" s="27" t="s">
        <v>66</v>
      </c>
      <c r="R140" s="27"/>
      <c r="S140" s="48"/>
    </row>
    <row r="141" spans="2:19" x14ac:dyDescent="0.25">
      <c r="B141" s="190"/>
      <c r="C141" s="193"/>
      <c r="D141" s="27" t="s">
        <v>82</v>
      </c>
      <c r="E141" s="28">
        <v>5</v>
      </c>
      <c r="F141" s="28">
        <v>29</v>
      </c>
      <c r="G141" s="27" t="s">
        <v>66</v>
      </c>
      <c r="H141" s="27"/>
      <c r="I141" s="48"/>
      <c r="L141" s="190"/>
      <c r="M141" s="193"/>
      <c r="N141" s="27" t="s">
        <v>82</v>
      </c>
      <c r="O141" s="28">
        <v>5</v>
      </c>
      <c r="P141" s="28">
        <v>29</v>
      </c>
      <c r="Q141" s="27" t="s">
        <v>66</v>
      </c>
      <c r="R141" s="27"/>
      <c r="S141" s="48"/>
    </row>
    <row r="142" spans="2:19" ht="15.75" thickBot="1" x14ac:dyDescent="0.3">
      <c r="B142" s="190"/>
      <c r="C142" s="194"/>
      <c r="D142" s="27" t="s">
        <v>83</v>
      </c>
      <c r="E142" s="28">
        <v>6</v>
      </c>
      <c r="F142" s="28">
        <v>30</v>
      </c>
      <c r="G142" s="27" t="s">
        <v>66</v>
      </c>
      <c r="H142" s="27"/>
      <c r="I142" s="48"/>
      <c r="L142" s="190"/>
      <c r="M142" s="194"/>
      <c r="N142" s="27" t="s">
        <v>83</v>
      </c>
      <c r="O142" s="28">
        <v>6</v>
      </c>
      <c r="P142" s="28">
        <v>30</v>
      </c>
      <c r="Q142" s="27" t="s">
        <v>66</v>
      </c>
      <c r="R142" s="27"/>
      <c r="S142" s="48"/>
    </row>
    <row r="143" spans="2:19" x14ac:dyDescent="0.25">
      <c r="B143" s="190"/>
      <c r="C143" s="192" t="s">
        <v>84</v>
      </c>
      <c r="D143" s="27" t="s">
        <v>2</v>
      </c>
      <c r="E143" s="28">
        <v>1</v>
      </c>
      <c r="F143" s="28">
        <v>31</v>
      </c>
      <c r="G143" s="27" t="s">
        <v>66</v>
      </c>
      <c r="H143" s="27"/>
      <c r="I143" s="48"/>
      <c r="L143" s="190"/>
      <c r="M143" s="192" t="s">
        <v>84</v>
      </c>
      <c r="N143" s="27" t="s">
        <v>2</v>
      </c>
      <c r="O143" s="28">
        <v>1</v>
      </c>
      <c r="P143" s="28">
        <v>31</v>
      </c>
      <c r="Q143" s="27" t="s">
        <v>66</v>
      </c>
      <c r="R143" s="27"/>
      <c r="S143" s="48"/>
    </row>
    <row r="144" spans="2:19" x14ac:dyDescent="0.25">
      <c r="B144" s="190"/>
      <c r="C144" s="193"/>
      <c r="D144" s="27" t="s">
        <v>3</v>
      </c>
      <c r="E144" s="28">
        <v>2</v>
      </c>
      <c r="F144" s="28">
        <v>32</v>
      </c>
      <c r="G144" s="27" t="s">
        <v>66</v>
      </c>
      <c r="H144" s="27"/>
      <c r="I144" s="48"/>
      <c r="L144" s="190"/>
      <c r="M144" s="193"/>
      <c r="N144" s="27" t="s">
        <v>3</v>
      </c>
      <c r="O144" s="28">
        <v>2</v>
      </c>
      <c r="P144" s="28">
        <v>32</v>
      </c>
      <c r="Q144" s="27" t="s">
        <v>66</v>
      </c>
      <c r="R144" s="27"/>
      <c r="S144" s="48"/>
    </row>
    <row r="145" spans="2:19" x14ac:dyDescent="0.25">
      <c r="B145" s="190"/>
      <c r="C145" s="193"/>
      <c r="D145" s="27" t="s">
        <v>80</v>
      </c>
      <c r="E145" s="28">
        <v>3</v>
      </c>
      <c r="F145" s="28">
        <v>33</v>
      </c>
      <c r="G145" s="27" t="s">
        <v>66</v>
      </c>
      <c r="H145" s="27"/>
      <c r="I145" s="48"/>
      <c r="L145" s="190"/>
      <c r="M145" s="193"/>
      <c r="N145" s="27" t="s">
        <v>80</v>
      </c>
      <c r="O145" s="28">
        <v>3</v>
      </c>
      <c r="P145" s="28">
        <v>33</v>
      </c>
      <c r="Q145" s="27" t="s">
        <v>66</v>
      </c>
      <c r="R145" s="27"/>
      <c r="S145" s="48"/>
    </row>
    <row r="146" spans="2:19" x14ac:dyDescent="0.25">
      <c r="B146" s="190"/>
      <c r="C146" s="193"/>
      <c r="D146" s="27" t="s">
        <v>81</v>
      </c>
      <c r="E146" s="28">
        <v>4</v>
      </c>
      <c r="F146" s="28">
        <v>34</v>
      </c>
      <c r="G146" s="27" t="s">
        <v>66</v>
      </c>
      <c r="H146" s="27"/>
      <c r="I146" s="48"/>
      <c r="L146" s="190"/>
      <c r="M146" s="193"/>
      <c r="N146" s="27" t="s">
        <v>81</v>
      </c>
      <c r="O146" s="28">
        <v>4</v>
      </c>
      <c r="P146" s="28">
        <v>34</v>
      </c>
      <c r="Q146" s="27" t="s">
        <v>66</v>
      </c>
      <c r="R146" s="27"/>
      <c r="S146" s="48"/>
    </row>
    <row r="147" spans="2:19" x14ac:dyDescent="0.25">
      <c r="B147" s="190"/>
      <c r="C147" s="193"/>
      <c r="D147" s="27" t="s">
        <v>82</v>
      </c>
      <c r="E147" s="28">
        <v>5</v>
      </c>
      <c r="F147" s="28">
        <v>35</v>
      </c>
      <c r="G147" s="27" t="s">
        <v>66</v>
      </c>
      <c r="H147" s="27"/>
      <c r="I147" s="48"/>
      <c r="L147" s="190"/>
      <c r="M147" s="193"/>
      <c r="N147" s="27" t="s">
        <v>82</v>
      </c>
      <c r="O147" s="28">
        <v>5</v>
      </c>
      <c r="P147" s="28">
        <v>35</v>
      </c>
      <c r="Q147" s="27" t="s">
        <v>66</v>
      </c>
      <c r="R147" s="27"/>
      <c r="S147" s="48"/>
    </row>
    <row r="148" spans="2:19" ht="15.75" thickBot="1" x14ac:dyDescent="0.3">
      <c r="B148" s="191"/>
      <c r="C148" s="194"/>
      <c r="D148" s="27" t="s">
        <v>83</v>
      </c>
      <c r="E148" s="28">
        <v>6</v>
      </c>
      <c r="F148" s="28">
        <v>36</v>
      </c>
      <c r="G148" s="27" t="s">
        <v>66</v>
      </c>
      <c r="H148" s="27"/>
      <c r="I148" s="48"/>
      <c r="L148" s="191"/>
      <c r="M148" s="194"/>
      <c r="N148" s="27" t="s">
        <v>83</v>
      </c>
      <c r="O148" s="28">
        <v>6</v>
      </c>
      <c r="P148" s="28">
        <v>36</v>
      </c>
      <c r="Q148" s="27" t="s">
        <v>66</v>
      </c>
      <c r="R148" s="27"/>
      <c r="S148" s="48"/>
    </row>
    <row r="149" spans="2:19" x14ac:dyDescent="0.25">
      <c r="B149" s="183" t="s">
        <v>81</v>
      </c>
      <c r="C149" s="186" t="s">
        <v>77</v>
      </c>
      <c r="D149" s="29" t="s">
        <v>2</v>
      </c>
      <c r="E149" s="30">
        <v>1</v>
      </c>
      <c r="F149" s="30">
        <v>37</v>
      </c>
      <c r="G149" s="29" t="s">
        <v>66</v>
      </c>
      <c r="H149" s="29"/>
      <c r="I149" s="49"/>
      <c r="L149" s="183" t="s">
        <v>81</v>
      </c>
      <c r="M149" s="186" t="s">
        <v>77</v>
      </c>
      <c r="N149" s="29" t="s">
        <v>2</v>
      </c>
      <c r="O149" s="30">
        <v>1</v>
      </c>
      <c r="P149" s="30">
        <v>37</v>
      </c>
      <c r="Q149" s="29" t="s">
        <v>66</v>
      </c>
      <c r="R149" s="29"/>
      <c r="S149" s="49"/>
    </row>
    <row r="150" spans="2:19" x14ac:dyDescent="0.25">
      <c r="B150" s="184"/>
      <c r="C150" s="187"/>
      <c r="D150" s="29" t="s">
        <v>3</v>
      </c>
      <c r="E150" s="30">
        <v>2</v>
      </c>
      <c r="F150" s="30">
        <v>38</v>
      </c>
      <c r="G150" s="29" t="s">
        <v>66</v>
      </c>
      <c r="H150" s="29"/>
      <c r="I150" s="49"/>
      <c r="L150" s="184"/>
      <c r="M150" s="187"/>
      <c r="N150" s="29" t="s">
        <v>3</v>
      </c>
      <c r="O150" s="30">
        <v>2</v>
      </c>
      <c r="P150" s="30">
        <v>38</v>
      </c>
      <c r="Q150" s="29" t="s">
        <v>66</v>
      </c>
      <c r="R150" s="29"/>
      <c r="S150" s="49"/>
    </row>
    <row r="151" spans="2:19" x14ac:dyDescent="0.25">
      <c r="B151" s="184"/>
      <c r="C151" s="187"/>
      <c r="D151" s="29" t="s">
        <v>80</v>
      </c>
      <c r="E151" s="30">
        <v>3</v>
      </c>
      <c r="F151" s="30">
        <v>39</v>
      </c>
      <c r="G151" s="29" t="s">
        <v>66</v>
      </c>
      <c r="H151" s="29"/>
      <c r="I151" s="49"/>
      <c r="L151" s="184"/>
      <c r="M151" s="187"/>
      <c r="N151" s="29" t="s">
        <v>80</v>
      </c>
      <c r="O151" s="30">
        <v>3</v>
      </c>
      <c r="P151" s="30">
        <v>39</v>
      </c>
      <c r="Q151" s="29" t="s">
        <v>66</v>
      </c>
      <c r="R151" s="29"/>
      <c r="S151" s="49"/>
    </row>
    <row r="152" spans="2:19" x14ac:dyDescent="0.25">
      <c r="B152" s="184"/>
      <c r="C152" s="187"/>
      <c r="D152" s="29" t="s">
        <v>81</v>
      </c>
      <c r="E152" s="30">
        <v>4</v>
      </c>
      <c r="F152" s="30">
        <v>40</v>
      </c>
      <c r="G152" s="29" t="s">
        <v>66</v>
      </c>
      <c r="H152" s="29"/>
      <c r="I152" s="49"/>
      <c r="L152" s="184"/>
      <c r="M152" s="187"/>
      <c r="N152" s="29" t="s">
        <v>81</v>
      </c>
      <c r="O152" s="30">
        <v>4</v>
      </c>
      <c r="P152" s="30">
        <v>40</v>
      </c>
      <c r="Q152" s="29" t="s">
        <v>66</v>
      </c>
      <c r="R152" s="29"/>
      <c r="S152" s="49"/>
    </row>
    <row r="153" spans="2:19" x14ac:dyDescent="0.25">
      <c r="B153" s="184"/>
      <c r="C153" s="187"/>
      <c r="D153" s="29" t="s">
        <v>82</v>
      </c>
      <c r="E153" s="30">
        <v>5</v>
      </c>
      <c r="F153" s="30">
        <v>41</v>
      </c>
      <c r="G153" s="29" t="s">
        <v>66</v>
      </c>
      <c r="H153" s="29"/>
      <c r="I153" s="49"/>
      <c r="L153" s="184"/>
      <c r="M153" s="187"/>
      <c r="N153" s="29" t="s">
        <v>82</v>
      </c>
      <c r="O153" s="30">
        <v>5</v>
      </c>
      <c r="P153" s="30">
        <v>41</v>
      </c>
      <c r="Q153" s="29" t="s">
        <v>66</v>
      </c>
      <c r="R153" s="29"/>
      <c r="S153" s="49"/>
    </row>
    <row r="154" spans="2:19" ht="15.75" thickBot="1" x14ac:dyDescent="0.3">
      <c r="B154" s="184"/>
      <c r="C154" s="188"/>
      <c r="D154" s="29" t="s">
        <v>83</v>
      </c>
      <c r="E154" s="30">
        <v>6</v>
      </c>
      <c r="F154" s="30">
        <v>42</v>
      </c>
      <c r="G154" s="29" t="s">
        <v>66</v>
      </c>
      <c r="H154" s="29"/>
      <c r="I154" s="49"/>
      <c r="L154" s="184"/>
      <c r="M154" s="188"/>
      <c r="N154" s="29" t="s">
        <v>83</v>
      </c>
      <c r="O154" s="30">
        <v>6</v>
      </c>
      <c r="P154" s="30">
        <v>42</v>
      </c>
      <c r="Q154" s="29" t="s">
        <v>66</v>
      </c>
      <c r="R154" s="29"/>
      <c r="S154" s="49"/>
    </row>
    <row r="155" spans="2:19" x14ac:dyDescent="0.25">
      <c r="B155" s="184"/>
      <c r="C155" s="186" t="s">
        <v>84</v>
      </c>
      <c r="D155" s="29" t="s">
        <v>2</v>
      </c>
      <c r="E155" s="30">
        <v>1</v>
      </c>
      <c r="F155" s="30">
        <v>43</v>
      </c>
      <c r="G155" s="29" t="s">
        <v>66</v>
      </c>
      <c r="H155" s="29"/>
      <c r="I155" s="49"/>
      <c r="L155" s="184"/>
      <c r="M155" s="186" t="s">
        <v>84</v>
      </c>
      <c r="N155" s="29" t="s">
        <v>2</v>
      </c>
      <c r="O155" s="30">
        <v>1</v>
      </c>
      <c r="P155" s="30">
        <v>43</v>
      </c>
      <c r="Q155" s="29" t="s">
        <v>66</v>
      </c>
      <c r="R155" s="29"/>
      <c r="S155" s="49"/>
    </row>
    <row r="156" spans="2:19" x14ac:dyDescent="0.25">
      <c r="B156" s="184"/>
      <c r="C156" s="187"/>
      <c r="D156" s="29" t="s">
        <v>3</v>
      </c>
      <c r="E156" s="30">
        <v>2</v>
      </c>
      <c r="F156" s="30">
        <v>44</v>
      </c>
      <c r="G156" s="29" t="s">
        <v>66</v>
      </c>
      <c r="H156" s="29"/>
      <c r="I156" s="49"/>
      <c r="L156" s="184"/>
      <c r="M156" s="187"/>
      <c r="N156" s="29" t="s">
        <v>3</v>
      </c>
      <c r="O156" s="30">
        <v>2</v>
      </c>
      <c r="P156" s="30">
        <v>44</v>
      </c>
      <c r="Q156" s="29" t="s">
        <v>66</v>
      </c>
      <c r="R156" s="29"/>
      <c r="S156" s="49"/>
    </row>
    <row r="157" spans="2:19" x14ac:dyDescent="0.25">
      <c r="B157" s="184"/>
      <c r="C157" s="187"/>
      <c r="D157" s="29" t="s">
        <v>80</v>
      </c>
      <c r="E157" s="30">
        <v>3</v>
      </c>
      <c r="F157" s="30">
        <v>45</v>
      </c>
      <c r="G157" s="29" t="s">
        <v>66</v>
      </c>
      <c r="H157" s="29"/>
      <c r="I157" s="49"/>
      <c r="L157" s="184"/>
      <c r="M157" s="187"/>
      <c r="N157" s="29" t="s">
        <v>80</v>
      </c>
      <c r="O157" s="30">
        <v>3</v>
      </c>
      <c r="P157" s="30">
        <v>45</v>
      </c>
      <c r="Q157" s="29" t="s">
        <v>66</v>
      </c>
      <c r="R157" s="29"/>
      <c r="S157" s="49"/>
    </row>
    <row r="158" spans="2:19" x14ac:dyDescent="0.25">
      <c r="B158" s="184"/>
      <c r="C158" s="187"/>
      <c r="D158" s="29" t="s">
        <v>81</v>
      </c>
      <c r="E158" s="30">
        <v>4</v>
      </c>
      <c r="F158" s="30">
        <v>46</v>
      </c>
      <c r="G158" s="29" t="s">
        <v>66</v>
      </c>
      <c r="H158" s="29"/>
      <c r="I158" s="49"/>
      <c r="L158" s="184"/>
      <c r="M158" s="187"/>
      <c r="N158" s="29" t="s">
        <v>81</v>
      </c>
      <c r="O158" s="30">
        <v>4</v>
      </c>
      <c r="P158" s="30">
        <v>46</v>
      </c>
      <c r="Q158" s="29" t="s">
        <v>66</v>
      </c>
      <c r="R158" s="29"/>
      <c r="S158" s="49"/>
    </row>
    <row r="159" spans="2:19" x14ac:dyDescent="0.25">
      <c r="B159" s="184"/>
      <c r="C159" s="187"/>
      <c r="D159" s="29" t="s">
        <v>82</v>
      </c>
      <c r="E159" s="30">
        <v>5</v>
      </c>
      <c r="F159" s="30">
        <v>47</v>
      </c>
      <c r="G159" s="29" t="s">
        <v>66</v>
      </c>
      <c r="H159" s="29"/>
      <c r="I159" s="49"/>
      <c r="L159" s="184"/>
      <c r="M159" s="187"/>
      <c r="N159" s="29" t="s">
        <v>82</v>
      </c>
      <c r="O159" s="30">
        <v>5</v>
      </c>
      <c r="P159" s="30">
        <v>47</v>
      </c>
      <c r="Q159" s="29" t="s">
        <v>66</v>
      </c>
      <c r="R159" s="29"/>
      <c r="S159" s="49"/>
    </row>
    <row r="160" spans="2:19" ht="15.75" thickBot="1" x14ac:dyDescent="0.3">
      <c r="B160" s="185"/>
      <c r="C160" s="188"/>
      <c r="D160" s="29" t="s">
        <v>83</v>
      </c>
      <c r="E160" s="30">
        <v>6</v>
      </c>
      <c r="F160" s="30">
        <v>48</v>
      </c>
      <c r="G160" s="29" t="s">
        <v>66</v>
      </c>
      <c r="H160" s="29"/>
      <c r="I160" s="49"/>
      <c r="L160" s="185"/>
      <c r="M160" s="188"/>
      <c r="N160" s="29" t="s">
        <v>83</v>
      </c>
      <c r="O160" s="30">
        <v>6</v>
      </c>
      <c r="P160" s="30">
        <v>48</v>
      </c>
      <c r="Q160" s="29" t="s">
        <v>66</v>
      </c>
      <c r="R160" s="29"/>
      <c r="S160" s="49"/>
    </row>
    <row r="161" spans="2:19" ht="15.75" thickBot="1" x14ac:dyDescent="0.3"/>
    <row r="162" spans="2:19" ht="15.75" thickBot="1" x14ac:dyDescent="0.3">
      <c r="B162" s="171" t="s">
        <v>390</v>
      </c>
      <c r="C162" s="172"/>
      <c r="D162" s="172"/>
      <c r="E162" s="172"/>
      <c r="F162" s="172"/>
      <c r="G162" s="172"/>
      <c r="H162" s="172"/>
      <c r="I162" s="173"/>
      <c r="L162" s="171" t="s">
        <v>391</v>
      </c>
      <c r="M162" s="172"/>
      <c r="N162" s="172"/>
      <c r="O162" s="172"/>
      <c r="P162" s="172"/>
      <c r="Q162" s="172"/>
      <c r="R162" s="172"/>
      <c r="S162" s="173"/>
    </row>
    <row r="164" spans="2:19" ht="26.25" thickBot="1" x14ac:dyDescent="0.3">
      <c r="B164" s="15" t="s">
        <v>70</v>
      </c>
      <c r="C164" s="16" t="s">
        <v>71</v>
      </c>
      <c r="D164" s="15" t="s">
        <v>72</v>
      </c>
      <c r="E164" s="17" t="s">
        <v>73</v>
      </c>
      <c r="F164" s="17" t="s">
        <v>74</v>
      </c>
      <c r="G164" s="15" t="s">
        <v>75</v>
      </c>
      <c r="H164" s="15" t="s">
        <v>55</v>
      </c>
      <c r="I164" s="15" t="s">
        <v>76</v>
      </c>
      <c r="L164" s="15" t="s">
        <v>70</v>
      </c>
      <c r="M164" s="16" t="s">
        <v>71</v>
      </c>
      <c r="N164" s="15" t="s">
        <v>72</v>
      </c>
      <c r="O164" s="17" t="s">
        <v>73</v>
      </c>
      <c r="P164" s="17" t="s">
        <v>74</v>
      </c>
      <c r="Q164" s="15" t="s">
        <v>75</v>
      </c>
      <c r="R164" s="15" t="s">
        <v>55</v>
      </c>
      <c r="S164" s="15" t="s">
        <v>76</v>
      </c>
    </row>
    <row r="165" spans="2:19" x14ac:dyDescent="0.25">
      <c r="B165" s="174" t="s">
        <v>2</v>
      </c>
      <c r="C165" s="168" t="s">
        <v>77</v>
      </c>
      <c r="D165" s="18" t="s">
        <v>2</v>
      </c>
      <c r="E165" s="19">
        <v>1</v>
      </c>
      <c r="F165" s="19">
        <v>1</v>
      </c>
      <c r="G165" s="18" t="s">
        <v>66</v>
      </c>
      <c r="H165" s="32"/>
      <c r="I165" s="50"/>
      <c r="L165" s="174" t="s">
        <v>2</v>
      </c>
      <c r="M165" s="168" t="s">
        <v>77</v>
      </c>
      <c r="N165" s="18" t="s">
        <v>2</v>
      </c>
      <c r="O165" s="19">
        <v>1</v>
      </c>
      <c r="P165" s="19">
        <v>1</v>
      </c>
      <c r="Q165" s="18" t="s">
        <v>66</v>
      </c>
      <c r="R165" s="32"/>
      <c r="S165" s="50"/>
    </row>
    <row r="166" spans="2:19" x14ac:dyDescent="0.25">
      <c r="B166" s="175"/>
      <c r="C166" s="169"/>
      <c r="D166" s="18" t="s">
        <v>3</v>
      </c>
      <c r="E166" s="19">
        <v>2</v>
      </c>
      <c r="F166" s="19">
        <v>2</v>
      </c>
      <c r="G166" s="18" t="s">
        <v>66</v>
      </c>
      <c r="H166" s="32"/>
      <c r="I166" s="50"/>
      <c r="L166" s="175"/>
      <c r="M166" s="169"/>
      <c r="N166" s="18" t="s">
        <v>3</v>
      </c>
      <c r="O166" s="19">
        <v>2</v>
      </c>
      <c r="P166" s="19">
        <v>2</v>
      </c>
      <c r="Q166" s="18" t="s">
        <v>66</v>
      </c>
      <c r="R166" s="32"/>
      <c r="S166" s="50"/>
    </row>
    <row r="167" spans="2:19" x14ac:dyDescent="0.25">
      <c r="B167" s="175"/>
      <c r="C167" s="169"/>
      <c r="D167" s="18" t="s">
        <v>80</v>
      </c>
      <c r="E167" s="20">
        <v>3</v>
      </c>
      <c r="F167" s="20">
        <v>3</v>
      </c>
      <c r="G167" s="18" t="s">
        <v>66</v>
      </c>
      <c r="H167" s="32"/>
      <c r="I167" s="50"/>
      <c r="L167" s="175"/>
      <c r="M167" s="169"/>
      <c r="N167" s="18" t="s">
        <v>80</v>
      </c>
      <c r="O167" s="20">
        <v>3</v>
      </c>
      <c r="P167" s="20">
        <v>3</v>
      </c>
      <c r="Q167" s="18" t="s">
        <v>66</v>
      </c>
      <c r="R167" s="32"/>
      <c r="S167" s="50"/>
    </row>
    <row r="168" spans="2:19" x14ac:dyDescent="0.25">
      <c r="B168" s="175"/>
      <c r="C168" s="169"/>
      <c r="D168" s="18" t="s">
        <v>81</v>
      </c>
      <c r="E168" s="20">
        <v>4</v>
      </c>
      <c r="F168" s="20">
        <v>4</v>
      </c>
      <c r="G168" s="18" t="s">
        <v>66</v>
      </c>
      <c r="H168" s="32"/>
      <c r="I168" s="50"/>
      <c r="L168" s="175"/>
      <c r="M168" s="169"/>
      <c r="N168" s="18" t="s">
        <v>81</v>
      </c>
      <c r="O168" s="20">
        <v>4</v>
      </c>
      <c r="P168" s="20">
        <v>4</v>
      </c>
      <c r="Q168" s="18" t="s">
        <v>66</v>
      </c>
      <c r="R168" s="32"/>
      <c r="S168" s="50"/>
    </row>
    <row r="169" spans="2:19" x14ac:dyDescent="0.25">
      <c r="B169" s="175"/>
      <c r="C169" s="169"/>
      <c r="D169" s="18" t="s">
        <v>82</v>
      </c>
      <c r="E169" s="20">
        <v>5</v>
      </c>
      <c r="F169" s="20">
        <v>5</v>
      </c>
      <c r="G169" s="18" t="s">
        <v>66</v>
      </c>
      <c r="H169" s="32"/>
      <c r="I169" s="50"/>
      <c r="L169" s="175"/>
      <c r="M169" s="169"/>
      <c r="N169" s="18" t="s">
        <v>82</v>
      </c>
      <c r="O169" s="20">
        <v>5</v>
      </c>
      <c r="P169" s="20">
        <v>5</v>
      </c>
      <c r="Q169" s="18" t="s">
        <v>66</v>
      </c>
      <c r="R169" s="32"/>
      <c r="S169" s="50"/>
    </row>
    <row r="170" spans="2:19" ht="15.75" thickBot="1" x14ac:dyDescent="0.3">
      <c r="B170" s="175"/>
      <c r="C170" s="170"/>
      <c r="D170" s="18" t="s">
        <v>83</v>
      </c>
      <c r="E170" s="20">
        <v>6</v>
      </c>
      <c r="F170" s="20">
        <v>6</v>
      </c>
      <c r="G170" s="18" t="s">
        <v>66</v>
      </c>
      <c r="H170" s="32"/>
      <c r="I170" s="50"/>
      <c r="L170" s="175"/>
      <c r="M170" s="170"/>
      <c r="N170" s="18" t="s">
        <v>83</v>
      </c>
      <c r="O170" s="20">
        <v>6</v>
      </c>
      <c r="P170" s="20">
        <v>6</v>
      </c>
      <c r="Q170" s="18" t="s">
        <v>66</v>
      </c>
      <c r="R170" s="32"/>
      <c r="S170" s="50"/>
    </row>
    <row r="171" spans="2:19" x14ac:dyDescent="0.25">
      <c r="B171" s="175"/>
      <c r="C171" s="168" t="s">
        <v>84</v>
      </c>
      <c r="D171" s="18" t="s">
        <v>2</v>
      </c>
      <c r="E171" s="19">
        <v>1</v>
      </c>
      <c r="F171" s="19">
        <v>7</v>
      </c>
      <c r="G171" s="18" t="s">
        <v>78</v>
      </c>
      <c r="H171" s="156" t="s">
        <v>384</v>
      </c>
      <c r="I171" s="165" t="s">
        <v>212</v>
      </c>
      <c r="L171" s="175"/>
      <c r="M171" s="168" t="s">
        <v>84</v>
      </c>
      <c r="N171" s="18" t="s">
        <v>2</v>
      </c>
      <c r="O171" s="19">
        <v>1</v>
      </c>
      <c r="P171" s="19">
        <v>7</v>
      </c>
      <c r="Q171" s="18" t="s">
        <v>78</v>
      </c>
      <c r="R171" s="156" t="s">
        <v>384</v>
      </c>
      <c r="S171" s="165" t="s">
        <v>214</v>
      </c>
    </row>
    <row r="172" spans="2:19" x14ac:dyDescent="0.25">
      <c r="B172" s="175"/>
      <c r="C172" s="169"/>
      <c r="D172" s="18" t="s">
        <v>3</v>
      </c>
      <c r="E172" s="19">
        <v>2</v>
      </c>
      <c r="F172" s="19">
        <v>8</v>
      </c>
      <c r="G172" s="18" t="s">
        <v>78</v>
      </c>
      <c r="H172" s="157"/>
      <c r="I172" s="166"/>
      <c r="L172" s="175"/>
      <c r="M172" s="169"/>
      <c r="N172" s="18" t="s">
        <v>3</v>
      </c>
      <c r="O172" s="19">
        <v>2</v>
      </c>
      <c r="P172" s="19">
        <v>8</v>
      </c>
      <c r="Q172" s="18" t="s">
        <v>78</v>
      </c>
      <c r="R172" s="157"/>
      <c r="S172" s="166"/>
    </row>
    <row r="173" spans="2:19" x14ac:dyDescent="0.25">
      <c r="B173" s="175"/>
      <c r="C173" s="169"/>
      <c r="D173" s="18" t="s">
        <v>80</v>
      </c>
      <c r="E173" s="20">
        <v>3</v>
      </c>
      <c r="F173" s="20">
        <v>9</v>
      </c>
      <c r="G173" s="18" t="s">
        <v>66</v>
      </c>
      <c r="H173" s="157"/>
      <c r="I173" s="166"/>
      <c r="L173" s="175"/>
      <c r="M173" s="169"/>
      <c r="N173" s="18" t="s">
        <v>80</v>
      </c>
      <c r="O173" s="20">
        <v>3</v>
      </c>
      <c r="P173" s="20">
        <v>9</v>
      </c>
      <c r="Q173" s="18" t="s">
        <v>66</v>
      </c>
      <c r="R173" s="157"/>
      <c r="S173" s="166"/>
    </row>
    <row r="174" spans="2:19" x14ac:dyDescent="0.25">
      <c r="B174" s="175"/>
      <c r="C174" s="169"/>
      <c r="D174" s="18" t="s">
        <v>81</v>
      </c>
      <c r="E174" s="20">
        <v>4</v>
      </c>
      <c r="F174" s="20">
        <v>10</v>
      </c>
      <c r="G174" s="18" t="s">
        <v>66</v>
      </c>
      <c r="H174" s="157"/>
      <c r="I174" s="166"/>
      <c r="L174" s="175"/>
      <c r="M174" s="169"/>
      <c r="N174" s="18" t="s">
        <v>81</v>
      </c>
      <c r="O174" s="20">
        <v>4</v>
      </c>
      <c r="P174" s="20">
        <v>10</v>
      </c>
      <c r="Q174" s="18" t="s">
        <v>66</v>
      </c>
      <c r="R174" s="157"/>
      <c r="S174" s="166"/>
    </row>
    <row r="175" spans="2:19" x14ac:dyDescent="0.25">
      <c r="B175" s="175"/>
      <c r="C175" s="169"/>
      <c r="D175" s="18" t="s">
        <v>82</v>
      </c>
      <c r="E175" s="20">
        <v>5</v>
      </c>
      <c r="F175" s="20">
        <v>11</v>
      </c>
      <c r="G175" s="18" t="s">
        <v>66</v>
      </c>
      <c r="H175" s="157"/>
      <c r="I175" s="166"/>
      <c r="L175" s="175"/>
      <c r="M175" s="169"/>
      <c r="N175" s="18" t="s">
        <v>82</v>
      </c>
      <c r="O175" s="20">
        <v>5</v>
      </c>
      <c r="P175" s="20">
        <v>11</v>
      </c>
      <c r="Q175" s="18" t="s">
        <v>66</v>
      </c>
      <c r="R175" s="157"/>
      <c r="S175" s="166"/>
    </row>
    <row r="176" spans="2:19" ht="15.75" thickBot="1" x14ac:dyDescent="0.3">
      <c r="B176" s="176"/>
      <c r="C176" s="170"/>
      <c r="D176" s="18" t="s">
        <v>83</v>
      </c>
      <c r="E176" s="20">
        <v>6</v>
      </c>
      <c r="F176" s="20">
        <v>12</v>
      </c>
      <c r="G176" s="18" t="s">
        <v>66</v>
      </c>
      <c r="H176" s="158"/>
      <c r="I176" s="167"/>
      <c r="L176" s="176"/>
      <c r="M176" s="170"/>
      <c r="N176" s="18" t="s">
        <v>83</v>
      </c>
      <c r="O176" s="20">
        <v>6</v>
      </c>
      <c r="P176" s="20">
        <v>12</v>
      </c>
      <c r="Q176" s="18" t="s">
        <v>66</v>
      </c>
      <c r="R176" s="158"/>
      <c r="S176" s="167"/>
    </row>
    <row r="177" spans="2:19" x14ac:dyDescent="0.25">
      <c r="B177" s="180" t="s">
        <v>3</v>
      </c>
      <c r="C177" s="177" t="s">
        <v>77</v>
      </c>
      <c r="D177" s="21" t="s">
        <v>2</v>
      </c>
      <c r="E177" s="22">
        <v>1</v>
      </c>
      <c r="F177" s="22">
        <v>13</v>
      </c>
      <c r="G177" s="21" t="s">
        <v>66</v>
      </c>
      <c r="H177" s="21"/>
      <c r="I177" s="51"/>
      <c r="L177" s="180" t="s">
        <v>3</v>
      </c>
      <c r="M177" s="177" t="s">
        <v>77</v>
      </c>
      <c r="N177" s="21" t="s">
        <v>2</v>
      </c>
      <c r="O177" s="22">
        <v>1</v>
      </c>
      <c r="P177" s="22">
        <v>13</v>
      </c>
      <c r="Q177" s="21" t="s">
        <v>66</v>
      </c>
      <c r="R177" s="21"/>
      <c r="S177" s="51"/>
    </row>
    <row r="178" spans="2:19" x14ac:dyDescent="0.25">
      <c r="B178" s="181"/>
      <c r="C178" s="178"/>
      <c r="D178" s="23" t="s">
        <v>3</v>
      </c>
      <c r="E178" s="24">
        <v>2</v>
      </c>
      <c r="F178" s="24">
        <v>14</v>
      </c>
      <c r="G178" s="23" t="s">
        <v>66</v>
      </c>
      <c r="H178" s="23"/>
      <c r="I178" s="47"/>
      <c r="L178" s="181"/>
      <c r="M178" s="178"/>
      <c r="N178" s="23" t="s">
        <v>3</v>
      </c>
      <c r="O178" s="24">
        <v>2</v>
      </c>
      <c r="P178" s="24">
        <v>14</v>
      </c>
      <c r="Q178" s="23" t="s">
        <v>66</v>
      </c>
      <c r="R178" s="23"/>
      <c r="S178" s="47"/>
    </row>
    <row r="179" spans="2:19" x14ac:dyDescent="0.25">
      <c r="B179" s="181"/>
      <c r="C179" s="178"/>
      <c r="D179" s="23" t="s">
        <v>80</v>
      </c>
      <c r="E179" s="24">
        <v>3</v>
      </c>
      <c r="F179" s="24">
        <v>15</v>
      </c>
      <c r="G179" s="23" t="s">
        <v>66</v>
      </c>
      <c r="H179" s="23"/>
      <c r="I179" s="47"/>
      <c r="L179" s="181"/>
      <c r="M179" s="178"/>
      <c r="N179" s="23" t="s">
        <v>80</v>
      </c>
      <c r="O179" s="24">
        <v>3</v>
      </c>
      <c r="P179" s="24">
        <v>15</v>
      </c>
      <c r="Q179" s="23" t="s">
        <v>66</v>
      </c>
      <c r="R179" s="23"/>
      <c r="S179" s="47"/>
    </row>
    <row r="180" spans="2:19" x14ac:dyDescent="0.25">
      <c r="B180" s="181"/>
      <c r="C180" s="178"/>
      <c r="D180" s="23" t="s">
        <v>81</v>
      </c>
      <c r="E180" s="24">
        <v>4</v>
      </c>
      <c r="F180" s="24">
        <v>16</v>
      </c>
      <c r="G180" s="23" t="s">
        <v>66</v>
      </c>
      <c r="H180" s="23"/>
      <c r="I180" s="47"/>
      <c r="L180" s="181"/>
      <c r="M180" s="178"/>
      <c r="N180" s="23" t="s">
        <v>81</v>
      </c>
      <c r="O180" s="24">
        <v>4</v>
      </c>
      <c r="P180" s="24">
        <v>16</v>
      </c>
      <c r="Q180" s="23" t="s">
        <v>66</v>
      </c>
      <c r="R180" s="23"/>
      <c r="S180" s="47"/>
    </row>
    <row r="181" spans="2:19" x14ac:dyDescent="0.25">
      <c r="B181" s="181"/>
      <c r="C181" s="178"/>
      <c r="D181" s="23" t="s">
        <v>82</v>
      </c>
      <c r="E181" s="24">
        <v>5</v>
      </c>
      <c r="F181" s="24">
        <v>17</v>
      </c>
      <c r="G181" s="23" t="s">
        <v>66</v>
      </c>
      <c r="H181" s="23"/>
      <c r="I181" s="47"/>
      <c r="L181" s="181"/>
      <c r="M181" s="178"/>
      <c r="N181" s="23" t="s">
        <v>82</v>
      </c>
      <c r="O181" s="24">
        <v>5</v>
      </c>
      <c r="P181" s="24">
        <v>17</v>
      </c>
      <c r="Q181" s="23" t="s">
        <v>66</v>
      </c>
      <c r="R181" s="23"/>
      <c r="S181" s="47"/>
    </row>
    <row r="182" spans="2:19" ht="15.75" thickBot="1" x14ac:dyDescent="0.3">
      <c r="B182" s="181"/>
      <c r="C182" s="179"/>
      <c r="D182" s="23" t="s">
        <v>83</v>
      </c>
      <c r="E182" s="24">
        <v>6</v>
      </c>
      <c r="F182" s="24">
        <v>18</v>
      </c>
      <c r="G182" s="23" t="s">
        <v>66</v>
      </c>
      <c r="H182" s="23"/>
      <c r="I182" s="47"/>
      <c r="L182" s="181"/>
      <c r="M182" s="179"/>
      <c r="N182" s="23" t="s">
        <v>83</v>
      </c>
      <c r="O182" s="24">
        <v>6</v>
      </c>
      <c r="P182" s="24">
        <v>18</v>
      </c>
      <c r="Q182" s="23" t="s">
        <v>66</v>
      </c>
      <c r="R182" s="23"/>
      <c r="S182" s="47"/>
    </row>
    <row r="183" spans="2:19" x14ac:dyDescent="0.25">
      <c r="B183" s="181"/>
      <c r="C183" s="177" t="s">
        <v>84</v>
      </c>
      <c r="D183" s="23" t="s">
        <v>2</v>
      </c>
      <c r="E183" s="24">
        <v>1</v>
      </c>
      <c r="F183" s="24">
        <v>19</v>
      </c>
      <c r="G183" s="23" t="s">
        <v>66</v>
      </c>
      <c r="H183" s="23"/>
      <c r="I183" s="47"/>
      <c r="L183" s="181"/>
      <c r="M183" s="177" t="s">
        <v>84</v>
      </c>
      <c r="N183" s="23" t="s">
        <v>2</v>
      </c>
      <c r="O183" s="24">
        <v>1</v>
      </c>
      <c r="P183" s="24">
        <v>19</v>
      </c>
      <c r="Q183" s="23" t="s">
        <v>66</v>
      </c>
      <c r="R183" s="23"/>
      <c r="S183" s="47"/>
    </row>
    <row r="184" spans="2:19" x14ac:dyDescent="0.25">
      <c r="B184" s="181"/>
      <c r="C184" s="178"/>
      <c r="D184" s="23" t="s">
        <v>3</v>
      </c>
      <c r="E184" s="24">
        <v>2</v>
      </c>
      <c r="F184" s="24">
        <v>20</v>
      </c>
      <c r="G184" s="23" t="s">
        <v>66</v>
      </c>
      <c r="H184" s="23"/>
      <c r="I184" s="47"/>
      <c r="L184" s="181"/>
      <c r="M184" s="178"/>
      <c r="N184" s="23" t="s">
        <v>3</v>
      </c>
      <c r="O184" s="24">
        <v>2</v>
      </c>
      <c r="P184" s="24">
        <v>20</v>
      </c>
      <c r="Q184" s="23" t="s">
        <v>66</v>
      </c>
      <c r="R184" s="23"/>
      <c r="S184" s="47"/>
    </row>
    <row r="185" spans="2:19" x14ac:dyDescent="0.25">
      <c r="B185" s="181"/>
      <c r="C185" s="178"/>
      <c r="D185" s="23" t="s">
        <v>80</v>
      </c>
      <c r="E185" s="26">
        <v>3</v>
      </c>
      <c r="F185" s="24">
        <v>21</v>
      </c>
      <c r="G185" s="23" t="s">
        <v>66</v>
      </c>
      <c r="H185" s="23"/>
      <c r="I185" s="47"/>
      <c r="L185" s="181"/>
      <c r="M185" s="178"/>
      <c r="N185" s="23" t="s">
        <v>80</v>
      </c>
      <c r="O185" s="26">
        <v>3</v>
      </c>
      <c r="P185" s="24">
        <v>21</v>
      </c>
      <c r="Q185" s="23" t="s">
        <v>66</v>
      </c>
      <c r="R185" s="23"/>
      <c r="S185" s="47"/>
    </row>
    <row r="186" spans="2:19" x14ac:dyDescent="0.25">
      <c r="B186" s="181"/>
      <c r="C186" s="178"/>
      <c r="D186" s="23" t="s">
        <v>81</v>
      </c>
      <c r="E186" s="24">
        <v>4</v>
      </c>
      <c r="F186" s="24">
        <v>22</v>
      </c>
      <c r="G186" s="23" t="s">
        <v>66</v>
      </c>
      <c r="H186" s="23"/>
      <c r="I186" s="47"/>
      <c r="L186" s="181"/>
      <c r="M186" s="178"/>
      <c r="N186" s="23" t="s">
        <v>81</v>
      </c>
      <c r="O186" s="24">
        <v>4</v>
      </c>
      <c r="P186" s="24">
        <v>22</v>
      </c>
      <c r="Q186" s="23" t="s">
        <v>66</v>
      </c>
      <c r="R186" s="23"/>
      <c r="S186" s="47"/>
    </row>
    <row r="187" spans="2:19" x14ac:dyDescent="0.25">
      <c r="B187" s="181"/>
      <c r="C187" s="178"/>
      <c r="D187" s="23" t="s">
        <v>82</v>
      </c>
      <c r="E187" s="24">
        <v>5</v>
      </c>
      <c r="F187" s="24">
        <v>23</v>
      </c>
      <c r="G187" s="23" t="s">
        <v>66</v>
      </c>
      <c r="H187" s="23"/>
      <c r="I187" s="47"/>
      <c r="L187" s="181"/>
      <c r="M187" s="178"/>
      <c r="N187" s="23" t="s">
        <v>82</v>
      </c>
      <c r="O187" s="24">
        <v>5</v>
      </c>
      <c r="P187" s="24">
        <v>23</v>
      </c>
      <c r="Q187" s="23" t="s">
        <v>66</v>
      </c>
      <c r="R187" s="23"/>
      <c r="S187" s="47"/>
    </row>
    <row r="188" spans="2:19" ht="15.75" thickBot="1" x14ac:dyDescent="0.3">
      <c r="B188" s="182"/>
      <c r="C188" s="179"/>
      <c r="D188" s="23" t="s">
        <v>83</v>
      </c>
      <c r="E188" s="24">
        <v>6</v>
      </c>
      <c r="F188" s="24">
        <v>24</v>
      </c>
      <c r="G188" s="23" t="s">
        <v>66</v>
      </c>
      <c r="H188" s="23"/>
      <c r="I188" s="47"/>
      <c r="L188" s="182"/>
      <c r="M188" s="179"/>
      <c r="N188" s="23" t="s">
        <v>83</v>
      </c>
      <c r="O188" s="24">
        <v>6</v>
      </c>
      <c r="P188" s="24">
        <v>24</v>
      </c>
      <c r="Q188" s="23" t="s">
        <v>66</v>
      </c>
      <c r="R188" s="23"/>
      <c r="S188" s="47"/>
    </row>
    <row r="189" spans="2:19" x14ac:dyDescent="0.25">
      <c r="B189" s="189" t="s">
        <v>80</v>
      </c>
      <c r="C189" s="192" t="s">
        <v>77</v>
      </c>
      <c r="D189" s="27" t="s">
        <v>2</v>
      </c>
      <c r="E189" s="28">
        <v>1</v>
      </c>
      <c r="F189" s="28">
        <v>25</v>
      </c>
      <c r="G189" s="27" t="s">
        <v>66</v>
      </c>
      <c r="H189" s="27"/>
      <c r="I189" s="48"/>
      <c r="L189" s="189" t="s">
        <v>80</v>
      </c>
      <c r="M189" s="192" t="s">
        <v>77</v>
      </c>
      <c r="N189" s="27" t="s">
        <v>2</v>
      </c>
      <c r="O189" s="28">
        <v>1</v>
      </c>
      <c r="P189" s="28">
        <v>25</v>
      </c>
      <c r="Q189" s="27" t="s">
        <v>66</v>
      </c>
      <c r="R189" s="27"/>
      <c r="S189" s="48"/>
    </row>
    <row r="190" spans="2:19" x14ac:dyDescent="0.25">
      <c r="B190" s="190"/>
      <c r="C190" s="193"/>
      <c r="D190" s="27" t="s">
        <v>3</v>
      </c>
      <c r="E190" s="28">
        <v>2</v>
      </c>
      <c r="F190" s="28">
        <v>26</v>
      </c>
      <c r="G190" s="27" t="s">
        <v>66</v>
      </c>
      <c r="H190" s="27"/>
      <c r="I190" s="48"/>
      <c r="L190" s="190"/>
      <c r="M190" s="193"/>
      <c r="N190" s="27" t="s">
        <v>3</v>
      </c>
      <c r="O190" s="28">
        <v>2</v>
      </c>
      <c r="P190" s="28">
        <v>26</v>
      </c>
      <c r="Q190" s="27" t="s">
        <v>66</v>
      </c>
      <c r="R190" s="27"/>
      <c r="S190" s="48"/>
    </row>
    <row r="191" spans="2:19" x14ac:dyDescent="0.25">
      <c r="B191" s="190"/>
      <c r="C191" s="193"/>
      <c r="D191" s="27" t="s">
        <v>80</v>
      </c>
      <c r="E191" s="28">
        <v>3</v>
      </c>
      <c r="F191" s="28">
        <v>27</v>
      </c>
      <c r="G191" s="27" t="s">
        <v>66</v>
      </c>
      <c r="H191" s="27"/>
      <c r="I191" s="48"/>
      <c r="L191" s="190"/>
      <c r="M191" s="193"/>
      <c r="N191" s="27" t="s">
        <v>80</v>
      </c>
      <c r="O191" s="28">
        <v>3</v>
      </c>
      <c r="P191" s="28">
        <v>27</v>
      </c>
      <c r="Q191" s="27" t="s">
        <v>66</v>
      </c>
      <c r="R191" s="27"/>
      <c r="S191" s="48"/>
    </row>
    <row r="192" spans="2:19" x14ac:dyDescent="0.25">
      <c r="B192" s="190"/>
      <c r="C192" s="193"/>
      <c r="D192" s="27" t="s">
        <v>81</v>
      </c>
      <c r="E192" s="28">
        <v>4</v>
      </c>
      <c r="F192" s="28">
        <v>28</v>
      </c>
      <c r="G192" s="27" t="s">
        <v>66</v>
      </c>
      <c r="H192" s="27"/>
      <c r="I192" s="48"/>
      <c r="L192" s="190"/>
      <c r="M192" s="193"/>
      <c r="N192" s="27" t="s">
        <v>81</v>
      </c>
      <c r="O192" s="28">
        <v>4</v>
      </c>
      <c r="P192" s="28">
        <v>28</v>
      </c>
      <c r="Q192" s="27" t="s">
        <v>66</v>
      </c>
      <c r="R192" s="27"/>
      <c r="S192" s="48"/>
    </row>
    <row r="193" spans="2:19" x14ac:dyDescent="0.25">
      <c r="B193" s="190"/>
      <c r="C193" s="193"/>
      <c r="D193" s="27" t="s">
        <v>82</v>
      </c>
      <c r="E193" s="28">
        <v>5</v>
      </c>
      <c r="F193" s="28">
        <v>29</v>
      </c>
      <c r="G193" s="27" t="s">
        <v>66</v>
      </c>
      <c r="H193" s="27"/>
      <c r="I193" s="48"/>
      <c r="L193" s="190"/>
      <c r="M193" s="193"/>
      <c r="N193" s="27" t="s">
        <v>82</v>
      </c>
      <c r="O193" s="28">
        <v>5</v>
      </c>
      <c r="P193" s="28">
        <v>29</v>
      </c>
      <c r="Q193" s="27" t="s">
        <v>66</v>
      </c>
      <c r="R193" s="27"/>
      <c r="S193" s="48"/>
    </row>
    <row r="194" spans="2:19" ht="15.75" thickBot="1" x14ac:dyDescent="0.3">
      <c r="B194" s="190"/>
      <c r="C194" s="194"/>
      <c r="D194" s="27" t="s">
        <v>83</v>
      </c>
      <c r="E194" s="28">
        <v>6</v>
      </c>
      <c r="F194" s="28">
        <v>30</v>
      </c>
      <c r="G194" s="27" t="s">
        <v>66</v>
      </c>
      <c r="H194" s="27"/>
      <c r="I194" s="48"/>
      <c r="L194" s="190"/>
      <c r="M194" s="194"/>
      <c r="N194" s="27" t="s">
        <v>83</v>
      </c>
      <c r="O194" s="28">
        <v>6</v>
      </c>
      <c r="P194" s="28">
        <v>30</v>
      </c>
      <c r="Q194" s="27" t="s">
        <v>66</v>
      </c>
      <c r="R194" s="27"/>
      <c r="S194" s="48"/>
    </row>
    <row r="195" spans="2:19" x14ac:dyDescent="0.25">
      <c r="B195" s="190"/>
      <c r="C195" s="192" t="s">
        <v>84</v>
      </c>
      <c r="D195" s="27" t="s">
        <v>2</v>
      </c>
      <c r="E195" s="28">
        <v>1</v>
      </c>
      <c r="F195" s="28">
        <v>31</v>
      </c>
      <c r="G195" s="27" t="s">
        <v>66</v>
      </c>
      <c r="H195" s="27"/>
      <c r="I195" s="48"/>
      <c r="L195" s="190"/>
      <c r="M195" s="192" t="s">
        <v>84</v>
      </c>
      <c r="N195" s="27" t="s">
        <v>2</v>
      </c>
      <c r="O195" s="28">
        <v>1</v>
      </c>
      <c r="P195" s="28">
        <v>31</v>
      </c>
      <c r="Q195" s="27" t="s">
        <v>66</v>
      </c>
      <c r="R195" s="27"/>
      <c r="S195" s="48"/>
    </row>
    <row r="196" spans="2:19" x14ac:dyDescent="0.25">
      <c r="B196" s="190"/>
      <c r="C196" s="193"/>
      <c r="D196" s="27" t="s">
        <v>3</v>
      </c>
      <c r="E196" s="28">
        <v>2</v>
      </c>
      <c r="F196" s="28">
        <v>32</v>
      </c>
      <c r="G196" s="27" t="s">
        <v>66</v>
      </c>
      <c r="H196" s="27"/>
      <c r="I196" s="48"/>
      <c r="L196" s="190"/>
      <c r="M196" s="193"/>
      <c r="N196" s="27" t="s">
        <v>3</v>
      </c>
      <c r="O196" s="28">
        <v>2</v>
      </c>
      <c r="P196" s="28">
        <v>32</v>
      </c>
      <c r="Q196" s="27" t="s">
        <v>66</v>
      </c>
      <c r="R196" s="27"/>
      <c r="S196" s="48"/>
    </row>
    <row r="197" spans="2:19" x14ac:dyDescent="0.25">
      <c r="B197" s="190"/>
      <c r="C197" s="193"/>
      <c r="D197" s="27" t="s">
        <v>80</v>
      </c>
      <c r="E197" s="28">
        <v>3</v>
      </c>
      <c r="F197" s="28">
        <v>33</v>
      </c>
      <c r="G197" s="27" t="s">
        <v>66</v>
      </c>
      <c r="H197" s="27"/>
      <c r="I197" s="48"/>
      <c r="L197" s="190"/>
      <c r="M197" s="193"/>
      <c r="N197" s="27" t="s">
        <v>80</v>
      </c>
      <c r="O197" s="28">
        <v>3</v>
      </c>
      <c r="P197" s="28">
        <v>33</v>
      </c>
      <c r="Q197" s="27" t="s">
        <v>66</v>
      </c>
      <c r="R197" s="27"/>
      <c r="S197" s="48"/>
    </row>
    <row r="198" spans="2:19" x14ac:dyDescent="0.25">
      <c r="B198" s="190"/>
      <c r="C198" s="193"/>
      <c r="D198" s="27" t="s">
        <v>81</v>
      </c>
      <c r="E198" s="28">
        <v>4</v>
      </c>
      <c r="F198" s="28">
        <v>34</v>
      </c>
      <c r="G198" s="27" t="s">
        <v>66</v>
      </c>
      <c r="H198" s="27"/>
      <c r="I198" s="48"/>
      <c r="L198" s="190"/>
      <c r="M198" s="193"/>
      <c r="N198" s="27" t="s">
        <v>81</v>
      </c>
      <c r="O198" s="28">
        <v>4</v>
      </c>
      <c r="P198" s="28">
        <v>34</v>
      </c>
      <c r="Q198" s="27" t="s">
        <v>66</v>
      </c>
      <c r="R198" s="27"/>
      <c r="S198" s="48"/>
    </row>
    <row r="199" spans="2:19" x14ac:dyDescent="0.25">
      <c r="B199" s="190"/>
      <c r="C199" s="193"/>
      <c r="D199" s="27" t="s">
        <v>82</v>
      </c>
      <c r="E199" s="28">
        <v>5</v>
      </c>
      <c r="F199" s="28">
        <v>35</v>
      </c>
      <c r="G199" s="27" t="s">
        <v>66</v>
      </c>
      <c r="H199" s="27"/>
      <c r="I199" s="48"/>
      <c r="L199" s="190"/>
      <c r="M199" s="193"/>
      <c r="N199" s="27" t="s">
        <v>82</v>
      </c>
      <c r="O199" s="28">
        <v>5</v>
      </c>
      <c r="P199" s="28">
        <v>35</v>
      </c>
      <c r="Q199" s="27" t="s">
        <v>66</v>
      </c>
      <c r="R199" s="27"/>
      <c r="S199" s="48"/>
    </row>
    <row r="200" spans="2:19" ht="15.75" thickBot="1" x14ac:dyDescent="0.3">
      <c r="B200" s="191"/>
      <c r="C200" s="194"/>
      <c r="D200" s="27" t="s">
        <v>83</v>
      </c>
      <c r="E200" s="28">
        <v>6</v>
      </c>
      <c r="F200" s="28">
        <v>36</v>
      </c>
      <c r="G200" s="27" t="s">
        <v>66</v>
      </c>
      <c r="H200" s="27"/>
      <c r="I200" s="48"/>
      <c r="L200" s="191"/>
      <c r="M200" s="194"/>
      <c r="N200" s="27" t="s">
        <v>83</v>
      </c>
      <c r="O200" s="28">
        <v>6</v>
      </c>
      <c r="P200" s="28">
        <v>36</v>
      </c>
      <c r="Q200" s="27" t="s">
        <v>66</v>
      </c>
      <c r="R200" s="27"/>
      <c r="S200" s="48"/>
    </row>
    <row r="201" spans="2:19" x14ac:dyDescent="0.25">
      <c r="B201" s="183" t="s">
        <v>81</v>
      </c>
      <c r="C201" s="186" t="s">
        <v>77</v>
      </c>
      <c r="D201" s="29" t="s">
        <v>2</v>
      </c>
      <c r="E201" s="30">
        <v>1</v>
      </c>
      <c r="F201" s="30">
        <v>37</v>
      </c>
      <c r="G201" s="29" t="s">
        <v>66</v>
      </c>
      <c r="H201" s="29"/>
      <c r="I201" s="49"/>
      <c r="L201" s="183" t="s">
        <v>81</v>
      </c>
      <c r="M201" s="186" t="s">
        <v>77</v>
      </c>
      <c r="N201" s="29" t="s">
        <v>2</v>
      </c>
      <c r="O201" s="30">
        <v>1</v>
      </c>
      <c r="P201" s="30">
        <v>37</v>
      </c>
      <c r="Q201" s="29" t="s">
        <v>66</v>
      </c>
      <c r="R201" s="29"/>
      <c r="S201" s="49"/>
    </row>
    <row r="202" spans="2:19" x14ac:dyDescent="0.25">
      <c r="B202" s="184"/>
      <c r="C202" s="187"/>
      <c r="D202" s="29" t="s">
        <v>3</v>
      </c>
      <c r="E202" s="30">
        <v>2</v>
      </c>
      <c r="F202" s="30">
        <v>38</v>
      </c>
      <c r="G202" s="29" t="s">
        <v>66</v>
      </c>
      <c r="H202" s="29"/>
      <c r="I202" s="49"/>
      <c r="L202" s="184"/>
      <c r="M202" s="187"/>
      <c r="N202" s="29" t="s">
        <v>3</v>
      </c>
      <c r="O202" s="30">
        <v>2</v>
      </c>
      <c r="P202" s="30">
        <v>38</v>
      </c>
      <c r="Q202" s="29" t="s">
        <v>66</v>
      </c>
      <c r="R202" s="29"/>
      <c r="S202" s="49"/>
    </row>
    <row r="203" spans="2:19" x14ac:dyDescent="0.25">
      <c r="B203" s="184"/>
      <c r="C203" s="187"/>
      <c r="D203" s="29" t="s">
        <v>80</v>
      </c>
      <c r="E203" s="30">
        <v>3</v>
      </c>
      <c r="F203" s="30">
        <v>39</v>
      </c>
      <c r="G203" s="29" t="s">
        <v>66</v>
      </c>
      <c r="H203" s="29"/>
      <c r="I203" s="49"/>
      <c r="L203" s="184"/>
      <c r="M203" s="187"/>
      <c r="N203" s="29" t="s">
        <v>80</v>
      </c>
      <c r="O203" s="30">
        <v>3</v>
      </c>
      <c r="P203" s="30">
        <v>39</v>
      </c>
      <c r="Q203" s="29" t="s">
        <v>66</v>
      </c>
      <c r="R203" s="29"/>
      <c r="S203" s="49"/>
    </row>
    <row r="204" spans="2:19" x14ac:dyDescent="0.25">
      <c r="B204" s="184"/>
      <c r="C204" s="187"/>
      <c r="D204" s="29" t="s">
        <v>81</v>
      </c>
      <c r="E204" s="30">
        <v>4</v>
      </c>
      <c r="F204" s="30">
        <v>40</v>
      </c>
      <c r="G204" s="29" t="s">
        <v>66</v>
      </c>
      <c r="H204" s="29"/>
      <c r="I204" s="49"/>
      <c r="L204" s="184"/>
      <c r="M204" s="187"/>
      <c r="N204" s="29" t="s">
        <v>81</v>
      </c>
      <c r="O204" s="30">
        <v>4</v>
      </c>
      <c r="P204" s="30">
        <v>40</v>
      </c>
      <c r="Q204" s="29" t="s">
        <v>66</v>
      </c>
      <c r="R204" s="29"/>
      <c r="S204" s="49"/>
    </row>
    <row r="205" spans="2:19" x14ac:dyDescent="0.25">
      <c r="B205" s="184"/>
      <c r="C205" s="187"/>
      <c r="D205" s="29" t="s">
        <v>82</v>
      </c>
      <c r="E205" s="30">
        <v>5</v>
      </c>
      <c r="F205" s="30">
        <v>41</v>
      </c>
      <c r="G205" s="29" t="s">
        <v>66</v>
      </c>
      <c r="H205" s="29"/>
      <c r="I205" s="49"/>
      <c r="L205" s="184"/>
      <c r="M205" s="187"/>
      <c r="N205" s="29" t="s">
        <v>82</v>
      </c>
      <c r="O205" s="30">
        <v>5</v>
      </c>
      <c r="P205" s="30">
        <v>41</v>
      </c>
      <c r="Q205" s="29" t="s">
        <v>66</v>
      </c>
      <c r="R205" s="29"/>
      <c r="S205" s="49"/>
    </row>
    <row r="206" spans="2:19" ht="15.75" thickBot="1" x14ac:dyDescent="0.3">
      <c r="B206" s="184"/>
      <c r="C206" s="188"/>
      <c r="D206" s="29" t="s">
        <v>83</v>
      </c>
      <c r="E206" s="30">
        <v>6</v>
      </c>
      <c r="F206" s="30">
        <v>42</v>
      </c>
      <c r="G206" s="29" t="s">
        <v>66</v>
      </c>
      <c r="H206" s="29"/>
      <c r="I206" s="49"/>
      <c r="L206" s="184"/>
      <c r="M206" s="188"/>
      <c r="N206" s="29" t="s">
        <v>83</v>
      </c>
      <c r="O206" s="30">
        <v>6</v>
      </c>
      <c r="P206" s="30">
        <v>42</v>
      </c>
      <c r="Q206" s="29" t="s">
        <v>66</v>
      </c>
      <c r="R206" s="29"/>
      <c r="S206" s="49"/>
    </row>
    <row r="207" spans="2:19" x14ac:dyDescent="0.25">
      <c r="B207" s="184"/>
      <c r="C207" s="186" t="s">
        <v>84</v>
      </c>
      <c r="D207" s="29" t="s">
        <v>2</v>
      </c>
      <c r="E207" s="30">
        <v>1</v>
      </c>
      <c r="F207" s="30">
        <v>43</v>
      </c>
      <c r="G207" s="29" t="s">
        <v>66</v>
      </c>
      <c r="H207" s="29"/>
      <c r="I207" s="49"/>
      <c r="L207" s="184"/>
      <c r="M207" s="186" t="s">
        <v>84</v>
      </c>
      <c r="N207" s="29" t="s">
        <v>2</v>
      </c>
      <c r="O207" s="30">
        <v>1</v>
      </c>
      <c r="P207" s="30">
        <v>43</v>
      </c>
      <c r="Q207" s="29" t="s">
        <v>66</v>
      </c>
      <c r="R207" s="29"/>
      <c r="S207" s="49"/>
    </row>
    <row r="208" spans="2:19" x14ac:dyDescent="0.25">
      <c r="B208" s="184"/>
      <c r="C208" s="187"/>
      <c r="D208" s="29" t="s">
        <v>3</v>
      </c>
      <c r="E208" s="30">
        <v>2</v>
      </c>
      <c r="F208" s="30">
        <v>44</v>
      </c>
      <c r="G208" s="29" t="s">
        <v>66</v>
      </c>
      <c r="H208" s="29"/>
      <c r="I208" s="49"/>
      <c r="L208" s="184"/>
      <c r="M208" s="187"/>
      <c r="N208" s="29" t="s">
        <v>3</v>
      </c>
      <c r="O208" s="30">
        <v>2</v>
      </c>
      <c r="P208" s="30">
        <v>44</v>
      </c>
      <c r="Q208" s="29" t="s">
        <v>66</v>
      </c>
      <c r="R208" s="29"/>
      <c r="S208" s="49"/>
    </row>
    <row r="209" spans="2:19" x14ac:dyDescent="0.25">
      <c r="B209" s="184"/>
      <c r="C209" s="187"/>
      <c r="D209" s="29" t="s">
        <v>80</v>
      </c>
      <c r="E209" s="30">
        <v>3</v>
      </c>
      <c r="F209" s="30">
        <v>45</v>
      </c>
      <c r="G209" s="29" t="s">
        <v>66</v>
      </c>
      <c r="H209" s="29"/>
      <c r="I209" s="49"/>
      <c r="L209" s="184"/>
      <c r="M209" s="187"/>
      <c r="N209" s="29" t="s">
        <v>80</v>
      </c>
      <c r="O209" s="30">
        <v>3</v>
      </c>
      <c r="P209" s="30">
        <v>45</v>
      </c>
      <c r="Q209" s="29" t="s">
        <v>66</v>
      </c>
      <c r="R209" s="29"/>
      <c r="S209" s="49"/>
    </row>
    <row r="210" spans="2:19" x14ac:dyDescent="0.25">
      <c r="B210" s="184"/>
      <c r="C210" s="187"/>
      <c r="D210" s="29" t="s">
        <v>81</v>
      </c>
      <c r="E210" s="30">
        <v>4</v>
      </c>
      <c r="F210" s="30">
        <v>46</v>
      </c>
      <c r="G210" s="29" t="s">
        <v>66</v>
      </c>
      <c r="H210" s="29"/>
      <c r="I210" s="49"/>
      <c r="L210" s="184"/>
      <c r="M210" s="187"/>
      <c r="N210" s="29" t="s">
        <v>81</v>
      </c>
      <c r="O210" s="30">
        <v>4</v>
      </c>
      <c r="P210" s="30">
        <v>46</v>
      </c>
      <c r="Q210" s="29" t="s">
        <v>66</v>
      </c>
      <c r="R210" s="29"/>
      <c r="S210" s="49"/>
    </row>
    <row r="211" spans="2:19" x14ac:dyDescent="0.25">
      <c r="B211" s="184"/>
      <c r="C211" s="187"/>
      <c r="D211" s="29" t="s">
        <v>82</v>
      </c>
      <c r="E211" s="30">
        <v>5</v>
      </c>
      <c r="F211" s="30">
        <v>47</v>
      </c>
      <c r="G211" s="29" t="s">
        <v>66</v>
      </c>
      <c r="H211" s="29"/>
      <c r="I211" s="49"/>
      <c r="L211" s="184"/>
      <c r="M211" s="187"/>
      <c r="N211" s="29" t="s">
        <v>82</v>
      </c>
      <c r="O211" s="30">
        <v>5</v>
      </c>
      <c r="P211" s="30">
        <v>47</v>
      </c>
      <c r="Q211" s="29" t="s">
        <v>66</v>
      </c>
      <c r="R211" s="29"/>
      <c r="S211" s="49"/>
    </row>
    <row r="212" spans="2:19" ht="15.75" thickBot="1" x14ac:dyDescent="0.3">
      <c r="B212" s="185"/>
      <c r="C212" s="188"/>
      <c r="D212" s="29" t="s">
        <v>83</v>
      </c>
      <c r="E212" s="30">
        <v>6</v>
      </c>
      <c r="F212" s="30">
        <v>48</v>
      </c>
      <c r="G212" s="29" t="s">
        <v>66</v>
      </c>
      <c r="H212" s="29"/>
      <c r="I212" s="49"/>
      <c r="L212" s="185"/>
      <c r="M212" s="188"/>
      <c r="N212" s="29" t="s">
        <v>83</v>
      </c>
      <c r="O212" s="30">
        <v>6</v>
      </c>
      <c r="P212" s="30">
        <v>48</v>
      </c>
      <c r="Q212" s="29" t="s">
        <v>66</v>
      </c>
      <c r="R212" s="29"/>
      <c r="S212" s="49"/>
    </row>
    <row r="213" spans="2:19" ht="15.75" thickBot="1" x14ac:dyDescent="0.3"/>
    <row r="214" spans="2:19" ht="15.75" thickBot="1" x14ac:dyDescent="0.3">
      <c r="B214" s="171" t="s">
        <v>392</v>
      </c>
      <c r="C214" s="172"/>
      <c r="D214" s="172"/>
      <c r="E214" s="172"/>
      <c r="F214" s="172"/>
      <c r="G214" s="172"/>
      <c r="H214" s="172"/>
      <c r="I214" s="173"/>
      <c r="L214" s="171" t="s">
        <v>393</v>
      </c>
      <c r="M214" s="172"/>
      <c r="N214" s="172"/>
      <c r="O214" s="172"/>
      <c r="P214" s="172"/>
      <c r="Q214" s="172"/>
      <c r="R214" s="172"/>
      <c r="S214" s="173"/>
    </row>
    <row r="216" spans="2:19" ht="26.25" thickBot="1" x14ac:dyDescent="0.3">
      <c r="B216" s="15" t="s">
        <v>70</v>
      </c>
      <c r="C216" s="16" t="s">
        <v>71</v>
      </c>
      <c r="D216" s="15" t="s">
        <v>72</v>
      </c>
      <c r="E216" s="17" t="s">
        <v>73</v>
      </c>
      <c r="F216" s="17" t="s">
        <v>74</v>
      </c>
      <c r="G216" s="15" t="s">
        <v>75</v>
      </c>
      <c r="H216" s="15" t="s">
        <v>55</v>
      </c>
      <c r="I216" s="15" t="s">
        <v>76</v>
      </c>
      <c r="L216" s="15" t="s">
        <v>70</v>
      </c>
      <c r="M216" s="16" t="s">
        <v>71</v>
      </c>
      <c r="N216" s="15" t="s">
        <v>72</v>
      </c>
      <c r="O216" s="17" t="s">
        <v>73</v>
      </c>
      <c r="P216" s="17" t="s">
        <v>74</v>
      </c>
      <c r="Q216" s="15" t="s">
        <v>75</v>
      </c>
      <c r="R216" s="15" t="s">
        <v>55</v>
      </c>
      <c r="S216" s="15" t="s">
        <v>76</v>
      </c>
    </row>
    <row r="217" spans="2:19" x14ac:dyDescent="0.25">
      <c r="B217" s="174" t="s">
        <v>2</v>
      </c>
      <c r="C217" s="168" t="s">
        <v>77</v>
      </c>
      <c r="D217" s="18" t="s">
        <v>2</v>
      </c>
      <c r="E217" s="19">
        <v>1</v>
      </c>
      <c r="F217" s="19">
        <v>1</v>
      </c>
      <c r="G217" s="18" t="s">
        <v>66</v>
      </c>
      <c r="H217" s="32"/>
      <c r="I217" s="50"/>
      <c r="L217" s="174" t="s">
        <v>2</v>
      </c>
      <c r="M217" s="168" t="s">
        <v>77</v>
      </c>
      <c r="N217" s="18" t="s">
        <v>2</v>
      </c>
      <c r="O217" s="19">
        <v>1</v>
      </c>
      <c r="P217" s="19">
        <v>1</v>
      </c>
      <c r="Q217" s="18" t="s">
        <v>66</v>
      </c>
      <c r="R217" s="32"/>
      <c r="S217" s="50"/>
    </row>
    <row r="218" spans="2:19" x14ac:dyDescent="0.25">
      <c r="B218" s="175"/>
      <c r="C218" s="169"/>
      <c r="D218" s="18" t="s">
        <v>3</v>
      </c>
      <c r="E218" s="19">
        <v>2</v>
      </c>
      <c r="F218" s="19">
        <v>2</v>
      </c>
      <c r="G218" s="18" t="s">
        <v>66</v>
      </c>
      <c r="H218" s="32"/>
      <c r="I218" s="50"/>
      <c r="L218" s="175"/>
      <c r="M218" s="169"/>
      <c r="N218" s="18" t="s">
        <v>3</v>
      </c>
      <c r="O218" s="19">
        <v>2</v>
      </c>
      <c r="P218" s="19">
        <v>2</v>
      </c>
      <c r="Q218" s="18" t="s">
        <v>66</v>
      </c>
      <c r="R218" s="32"/>
      <c r="S218" s="50"/>
    </row>
    <row r="219" spans="2:19" x14ac:dyDescent="0.25">
      <c r="B219" s="175"/>
      <c r="C219" s="169"/>
      <c r="D219" s="18" t="s">
        <v>80</v>
      </c>
      <c r="E219" s="20">
        <v>3</v>
      </c>
      <c r="F219" s="20">
        <v>3</v>
      </c>
      <c r="G219" s="18" t="s">
        <v>66</v>
      </c>
      <c r="H219" s="32"/>
      <c r="I219" s="50"/>
      <c r="L219" s="175"/>
      <c r="M219" s="169"/>
      <c r="N219" s="18" t="s">
        <v>80</v>
      </c>
      <c r="O219" s="20">
        <v>3</v>
      </c>
      <c r="P219" s="20">
        <v>3</v>
      </c>
      <c r="Q219" s="18" t="s">
        <v>66</v>
      </c>
      <c r="R219" s="32"/>
      <c r="S219" s="50"/>
    </row>
    <row r="220" spans="2:19" x14ac:dyDescent="0.25">
      <c r="B220" s="175"/>
      <c r="C220" s="169"/>
      <c r="D220" s="18" t="s">
        <v>81</v>
      </c>
      <c r="E220" s="20">
        <v>4</v>
      </c>
      <c r="F220" s="20">
        <v>4</v>
      </c>
      <c r="G220" s="18" t="s">
        <v>66</v>
      </c>
      <c r="H220" s="32"/>
      <c r="I220" s="50"/>
      <c r="L220" s="175"/>
      <c r="M220" s="169"/>
      <c r="N220" s="18" t="s">
        <v>81</v>
      </c>
      <c r="O220" s="20">
        <v>4</v>
      </c>
      <c r="P220" s="20">
        <v>4</v>
      </c>
      <c r="Q220" s="18" t="s">
        <v>66</v>
      </c>
      <c r="R220" s="32"/>
      <c r="S220" s="50"/>
    </row>
    <row r="221" spans="2:19" x14ac:dyDescent="0.25">
      <c r="B221" s="175"/>
      <c r="C221" s="169"/>
      <c r="D221" s="18" t="s">
        <v>82</v>
      </c>
      <c r="E221" s="20">
        <v>5</v>
      </c>
      <c r="F221" s="20">
        <v>5</v>
      </c>
      <c r="G221" s="18" t="s">
        <v>66</v>
      </c>
      <c r="H221" s="32"/>
      <c r="I221" s="50"/>
      <c r="L221" s="175"/>
      <c r="M221" s="169"/>
      <c r="N221" s="18" t="s">
        <v>82</v>
      </c>
      <c r="O221" s="20">
        <v>5</v>
      </c>
      <c r="P221" s="20">
        <v>5</v>
      </c>
      <c r="Q221" s="18" t="s">
        <v>66</v>
      </c>
      <c r="R221" s="32"/>
      <c r="S221" s="50"/>
    </row>
    <row r="222" spans="2:19" ht="15.75" thickBot="1" x14ac:dyDescent="0.3">
      <c r="B222" s="175"/>
      <c r="C222" s="170"/>
      <c r="D222" s="18" t="s">
        <v>83</v>
      </c>
      <c r="E222" s="20">
        <v>6</v>
      </c>
      <c r="F222" s="20">
        <v>6</v>
      </c>
      <c r="G222" s="18" t="s">
        <v>66</v>
      </c>
      <c r="H222" s="32"/>
      <c r="I222" s="50"/>
      <c r="L222" s="175"/>
      <c r="M222" s="170"/>
      <c r="N222" s="18" t="s">
        <v>83</v>
      </c>
      <c r="O222" s="20">
        <v>6</v>
      </c>
      <c r="P222" s="20">
        <v>6</v>
      </c>
      <c r="Q222" s="18" t="s">
        <v>66</v>
      </c>
      <c r="R222" s="32"/>
      <c r="S222" s="50"/>
    </row>
    <row r="223" spans="2:19" x14ac:dyDescent="0.25">
      <c r="B223" s="175"/>
      <c r="C223" s="168" t="s">
        <v>84</v>
      </c>
      <c r="D223" s="18" t="s">
        <v>2</v>
      </c>
      <c r="E223" s="19">
        <v>1</v>
      </c>
      <c r="F223" s="19">
        <v>7</v>
      </c>
      <c r="G223" s="18" t="s">
        <v>78</v>
      </c>
      <c r="H223" s="156" t="s">
        <v>384</v>
      </c>
      <c r="I223" s="165" t="s">
        <v>213</v>
      </c>
      <c r="L223" s="175"/>
      <c r="M223" s="168" t="s">
        <v>84</v>
      </c>
      <c r="N223" s="18" t="s">
        <v>2</v>
      </c>
      <c r="O223" s="19">
        <v>1</v>
      </c>
      <c r="P223" s="19">
        <v>7</v>
      </c>
      <c r="Q223" s="18" t="s">
        <v>78</v>
      </c>
      <c r="R223" s="156" t="s">
        <v>384</v>
      </c>
      <c r="S223" s="165" t="s">
        <v>215</v>
      </c>
    </row>
    <row r="224" spans="2:19" x14ac:dyDescent="0.25">
      <c r="B224" s="175"/>
      <c r="C224" s="169"/>
      <c r="D224" s="18" t="s">
        <v>3</v>
      </c>
      <c r="E224" s="19">
        <v>2</v>
      </c>
      <c r="F224" s="19">
        <v>8</v>
      </c>
      <c r="G224" s="18" t="s">
        <v>78</v>
      </c>
      <c r="H224" s="157"/>
      <c r="I224" s="166"/>
      <c r="L224" s="175"/>
      <c r="M224" s="169"/>
      <c r="N224" s="18" t="s">
        <v>3</v>
      </c>
      <c r="O224" s="19">
        <v>2</v>
      </c>
      <c r="P224" s="19">
        <v>8</v>
      </c>
      <c r="Q224" s="18" t="s">
        <v>78</v>
      </c>
      <c r="R224" s="157"/>
      <c r="S224" s="166"/>
    </row>
    <row r="225" spans="2:19" x14ac:dyDescent="0.25">
      <c r="B225" s="175"/>
      <c r="C225" s="169"/>
      <c r="D225" s="18" t="s">
        <v>80</v>
      </c>
      <c r="E225" s="20">
        <v>3</v>
      </c>
      <c r="F225" s="20">
        <v>9</v>
      </c>
      <c r="G225" s="18" t="s">
        <v>66</v>
      </c>
      <c r="H225" s="157"/>
      <c r="I225" s="166"/>
      <c r="L225" s="175"/>
      <c r="M225" s="169"/>
      <c r="N225" s="18" t="s">
        <v>80</v>
      </c>
      <c r="O225" s="20">
        <v>3</v>
      </c>
      <c r="P225" s="20">
        <v>9</v>
      </c>
      <c r="Q225" s="18" t="s">
        <v>66</v>
      </c>
      <c r="R225" s="157"/>
      <c r="S225" s="166"/>
    </row>
    <row r="226" spans="2:19" x14ac:dyDescent="0.25">
      <c r="B226" s="175"/>
      <c r="C226" s="169"/>
      <c r="D226" s="18" t="s">
        <v>81</v>
      </c>
      <c r="E226" s="20">
        <v>4</v>
      </c>
      <c r="F226" s="20">
        <v>10</v>
      </c>
      <c r="G226" s="18" t="s">
        <v>66</v>
      </c>
      <c r="H226" s="157"/>
      <c r="I226" s="166"/>
      <c r="L226" s="175"/>
      <c r="M226" s="169"/>
      <c r="N226" s="18" t="s">
        <v>81</v>
      </c>
      <c r="O226" s="20">
        <v>4</v>
      </c>
      <c r="P226" s="20">
        <v>10</v>
      </c>
      <c r="Q226" s="18" t="s">
        <v>66</v>
      </c>
      <c r="R226" s="157"/>
      <c r="S226" s="166"/>
    </row>
    <row r="227" spans="2:19" x14ac:dyDescent="0.25">
      <c r="B227" s="175"/>
      <c r="C227" s="169"/>
      <c r="D227" s="18" t="s">
        <v>82</v>
      </c>
      <c r="E227" s="20">
        <v>5</v>
      </c>
      <c r="F227" s="20">
        <v>11</v>
      </c>
      <c r="G227" s="18" t="s">
        <v>66</v>
      </c>
      <c r="H227" s="157"/>
      <c r="I227" s="166"/>
      <c r="L227" s="175"/>
      <c r="M227" s="169"/>
      <c r="N227" s="18" t="s">
        <v>82</v>
      </c>
      <c r="O227" s="20">
        <v>5</v>
      </c>
      <c r="P227" s="20">
        <v>11</v>
      </c>
      <c r="Q227" s="18" t="s">
        <v>66</v>
      </c>
      <c r="R227" s="157"/>
      <c r="S227" s="166"/>
    </row>
    <row r="228" spans="2:19" ht="15.75" thickBot="1" x14ac:dyDescent="0.3">
      <c r="B228" s="176"/>
      <c r="C228" s="170"/>
      <c r="D228" s="18" t="s">
        <v>83</v>
      </c>
      <c r="E228" s="20">
        <v>6</v>
      </c>
      <c r="F228" s="20">
        <v>12</v>
      </c>
      <c r="G228" s="18" t="s">
        <v>66</v>
      </c>
      <c r="H228" s="158"/>
      <c r="I228" s="167"/>
      <c r="L228" s="176"/>
      <c r="M228" s="170"/>
      <c r="N228" s="18" t="s">
        <v>83</v>
      </c>
      <c r="O228" s="20">
        <v>6</v>
      </c>
      <c r="P228" s="20">
        <v>12</v>
      </c>
      <c r="Q228" s="18" t="s">
        <v>66</v>
      </c>
      <c r="R228" s="158"/>
      <c r="S228" s="167"/>
    </row>
    <row r="229" spans="2:19" x14ac:dyDescent="0.25">
      <c r="B229" s="180" t="s">
        <v>3</v>
      </c>
      <c r="C229" s="177" t="s">
        <v>77</v>
      </c>
      <c r="D229" s="21" t="s">
        <v>2</v>
      </c>
      <c r="E229" s="22">
        <v>1</v>
      </c>
      <c r="F229" s="22">
        <v>13</v>
      </c>
      <c r="G229" s="21" t="s">
        <v>66</v>
      </c>
      <c r="H229" s="21"/>
      <c r="I229" s="51"/>
      <c r="L229" s="180" t="s">
        <v>3</v>
      </c>
      <c r="M229" s="177" t="s">
        <v>77</v>
      </c>
      <c r="N229" s="21" t="s">
        <v>2</v>
      </c>
      <c r="O229" s="22">
        <v>1</v>
      </c>
      <c r="P229" s="22">
        <v>13</v>
      </c>
      <c r="Q229" s="21" t="s">
        <v>66</v>
      </c>
      <c r="R229" s="21"/>
      <c r="S229" s="51"/>
    </row>
    <row r="230" spans="2:19" x14ac:dyDescent="0.25">
      <c r="B230" s="181"/>
      <c r="C230" s="178"/>
      <c r="D230" s="23" t="s">
        <v>3</v>
      </c>
      <c r="E230" s="24">
        <v>2</v>
      </c>
      <c r="F230" s="24">
        <v>14</v>
      </c>
      <c r="G230" s="23" t="s">
        <v>66</v>
      </c>
      <c r="H230" s="23"/>
      <c r="I230" s="47"/>
      <c r="L230" s="181"/>
      <c r="M230" s="178"/>
      <c r="N230" s="23" t="s">
        <v>3</v>
      </c>
      <c r="O230" s="24">
        <v>2</v>
      </c>
      <c r="P230" s="24">
        <v>14</v>
      </c>
      <c r="Q230" s="23" t="s">
        <v>66</v>
      </c>
      <c r="R230" s="23"/>
      <c r="S230" s="47"/>
    </row>
    <row r="231" spans="2:19" x14ac:dyDescent="0.25">
      <c r="B231" s="181"/>
      <c r="C231" s="178"/>
      <c r="D231" s="23" t="s">
        <v>80</v>
      </c>
      <c r="E231" s="24">
        <v>3</v>
      </c>
      <c r="F231" s="24">
        <v>15</v>
      </c>
      <c r="G231" s="23" t="s">
        <v>66</v>
      </c>
      <c r="H231" s="23"/>
      <c r="I231" s="47"/>
      <c r="L231" s="181"/>
      <c r="M231" s="178"/>
      <c r="N231" s="23" t="s">
        <v>80</v>
      </c>
      <c r="O231" s="24">
        <v>3</v>
      </c>
      <c r="P231" s="24">
        <v>15</v>
      </c>
      <c r="Q231" s="23" t="s">
        <v>66</v>
      </c>
      <c r="R231" s="23"/>
      <c r="S231" s="47"/>
    </row>
    <row r="232" spans="2:19" x14ac:dyDescent="0.25">
      <c r="B232" s="181"/>
      <c r="C232" s="178"/>
      <c r="D232" s="23" t="s">
        <v>81</v>
      </c>
      <c r="E232" s="24">
        <v>4</v>
      </c>
      <c r="F232" s="24">
        <v>16</v>
      </c>
      <c r="G232" s="23" t="s">
        <v>66</v>
      </c>
      <c r="H232" s="23"/>
      <c r="I232" s="47"/>
      <c r="L232" s="181"/>
      <c r="M232" s="178"/>
      <c r="N232" s="23" t="s">
        <v>81</v>
      </c>
      <c r="O232" s="24">
        <v>4</v>
      </c>
      <c r="P232" s="24">
        <v>16</v>
      </c>
      <c r="Q232" s="23" t="s">
        <v>66</v>
      </c>
      <c r="R232" s="23"/>
      <c r="S232" s="47"/>
    </row>
    <row r="233" spans="2:19" x14ac:dyDescent="0.25">
      <c r="B233" s="181"/>
      <c r="C233" s="178"/>
      <c r="D233" s="23" t="s">
        <v>82</v>
      </c>
      <c r="E233" s="24">
        <v>5</v>
      </c>
      <c r="F233" s="24">
        <v>17</v>
      </c>
      <c r="G233" s="23" t="s">
        <v>66</v>
      </c>
      <c r="H233" s="23"/>
      <c r="I233" s="47"/>
      <c r="L233" s="181"/>
      <c r="M233" s="178"/>
      <c r="N233" s="23" t="s">
        <v>82</v>
      </c>
      <c r="O233" s="24">
        <v>5</v>
      </c>
      <c r="P233" s="24">
        <v>17</v>
      </c>
      <c r="Q233" s="23" t="s">
        <v>66</v>
      </c>
      <c r="R233" s="23"/>
      <c r="S233" s="47"/>
    </row>
    <row r="234" spans="2:19" ht="15.75" thickBot="1" x14ac:dyDescent="0.3">
      <c r="B234" s="181"/>
      <c r="C234" s="179"/>
      <c r="D234" s="23" t="s">
        <v>83</v>
      </c>
      <c r="E234" s="24">
        <v>6</v>
      </c>
      <c r="F234" s="24">
        <v>18</v>
      </c>
      <c r="G234" s="23" t="s">
        <v>66</v>
      </c>
      <c r="H234" s="23"/>
      <c r="I234" s="47"/>
      <c r="L234" s="181"/>
      <c r="M234" s="179"/>
      <c r="N234" s="23" t="s">
        <v>83</v>
      </c>
      <c r="O234" s="24">
        <v>6</v>
      </c>
      <c r="P234" s="24">
        <v>18</v>
      </c>
      <c r="Q234" s="23" t="s">
        <v>66</v>
      </c>
      <c r="R234" s="23"/>
      <c r="S234" s="47"/>
    </row>
    <row r="235" spans="2:19" x14ac:dyDescent="0.25">
      <c r="B235" s="181"/>
      <c r="C235" s="177" t="s">
        <v>84</v>
      </c>
      <c r="D235" s="23" t="s">
        <v>2</v>
      </c>
      <c r="E235" s="24">
        <v>1</v>
      </c>
      <c r="F235" s="24">
        <v>19</v>
      </c>
      <c r="G235" s="23" t="s">
        <v>66</v>
      </c>
      <c r="H235" s="23"/>
      <c r="I235" s="47"/>
      <c r="L235" s="181"/>
      <c r="M235" s="177" t="s">
        <v>84</v>
      </c>
      <c r="N235" s="23" t="s">
        <v>2</v>
      </c>
      <c r="O235" s="24">
        <v>1</v>
      </c>
      <c r="P235" s="24">
        <v>19</v>
      </c>
      <c r="Q235" s="23" t="s">
        <v>66</v>
      </c>
      <c r="R235" s="23"/>
      <c r="S235" s="47"/>
    </row>
    <row r="236" spans="2:19" x14ac:dyDescent="0.25">
      <c r="B236" s="181"/>
      <c r="C236" s="178"/>
      <c r="D236" s="23" t="s">
        <v>3</v>
      </c>
      <c r="E236" s="24">
        <v>2</v>
      </c>
      <c r="F236" s="24">
        <v>20</v>
      </c>
      <c r="G236" s="23" t="s">
        <v>66</v>
      </c>
      <c r="H236" s="23"/>
      <c r="I236" s="47"/>
      <c r="L236" s="181"/>
      <c r="M236" s="178"/>
      <c r="N236" s="23" t="s">
        <v>3</v>
      </c>
      <c r="O236" s="24">
        <v>2</v>
      </c>
      <c r="P236" s="24">
        <v>20</v>
      </c>
      <c r="Q236" s="23" t="s">
        <v>66</v>
      </c>
      <c r="R236" s="23"/>
      <c r="S236" s="47"/>
    </row>
    <row r="237" spans="2:19" x14ac:dyDescent="0.25">
      <c r="B237" s="181"/>
      <c r="C237" s="178"/>
      <c r="D237" s="23" t="s">
        <v>80</v>
      </c>
      <c r="E237" s="26">
        <v>3</v>
      </c>
      <c r="F237" s="24">
        <v>21</v>
      </c>
      <c r="G237" s="23" t="s">
        <v>66</v>
      </c>
      <c r="H237" s="23"/>
      <c r="I237" s="47"/>
      <c r="L237" s="181"/>
      <c r="M237" s="178"/>
      <c r="N237" s="23" t="s">
        <v>80</v>
      </c>
      <c r="O237" s="26">
        <v>3</v>
      </c>
      <c r="P237" s="24">
        <v>21</v>
      </c>
      <c r="Q237" s="23" t="s">
        <v>66</v>
      </c>
      <c r="R237" s="23"/>
      <c r="S237" s="47"/>
    </row>
    <row r="238" spans="2:19" x14ac:dyDescent="0.25">
      <c r="B238" s="181"/>
      <c r="C238" s="178"/>
      <c r="D238" s="23" t="s">
        <v>81</v>
      </c>
      <c r="E238" s="24">
        <v>4</v>
      </c>
      <c r="F238" s="24">
        <v>22</v>
      </c>
      <c r="G238" s="23" t="s">
        <v>66</v>
      </c>
      <c r="H238" s="23"/>
      <c r="I238" s="47"/>
      <c r="L238" s="181"/>
      <c r="M238" s="178"/>
      <c r="N238" s="23" t="s">
        <v>81</v>
      </c>
      <c r="O238" s="24">
        <v>4</v>
      </c>
      <c r="P238" s="24">
        <v>22</v>
      </c>
      <c r="Q238" s="23" t="s">
        <v>66</v>
      </c>
      <c r="R238" s="23"/>
      <c r="S238" s="47"/>
    </row>
    <row r="239" spans="2:19" x14ac:dyDescent="0.25">
      <c r="B239" s="181"/>
      <c r="C239" s="178"/>
      <c r="D239" s="23" t="s">
        <v>82</v>
      </c>
      <c r="E239" s="24">
        <v>5</v>
      </c>
      <c r="F239" s="24">
        <v>23</v>
      </c>
      <c r="G239" s="23" t="s">
        <v>66</v>
      </c>
      <c r="H239" s="23"/>
      <c r="I239" s="47"/>
      <c r="L239" s="181"/>
      <c r="M239" s="178"/>
      <c r="N239" s="23" t="s">
        <v>82</v>
      </c>
      <c r="O239" s="24">
        <v>5</v>
      </c>
      <c r="P239" s="24">
        <v>23</v>
      </c>
      <c r="Q239" s="23" t="s">
        <v>66</v>
      </c>
      <c r="R239" s="23"/>
      <c r="S239" s="47"/>
    </row>
    <row r="240" spans="2:19" ht="15.75" thickBot="1" x14ac:dyDescent="0.3">
      <c r="B240" s="182"/>
      <c r="C240" s="179"/>
      <c r="D240" s="23" t="s">
        <v>83</v>
      </c>
      <c r="E240" s="24">
        <v>6</v>
      </c>
      <c r="F240" s="24">
        <v>24</v>
      </c>
      <c r="G240" s="23" t="s">
        <v>66</v>
      </c>
      <c r="H240" s="23"/>
      <c r="I240" s="47"/>
      <c r="L240" s="182"/>
      <c r="M240" s="179"/>
      <c r="N240" s="23" t="s">
        <v>83</v>
      </c>
      <c r="O240" s="24">
        <v>6</v>
      </c>
      <c r="P240" s="24">
        <v>24</v>
      </c>
      <c r="Q240" s="23" t="s">
        <v>66</v>
      </c>
      <c r="R240" s="23"/>
      <c r="S240" s="47"/>
    </row>
    <row r="241" spans="2:19" x14ac:dyDescent="0.25">
      <c r="B241" s="189" t="s">
        <v>80</v>
      </c>
      <c r="C241" s="192" t="s">
        <v>77</v>
      </c>
      <c r="D241" s="27" t="s">
        <v>2</v>
      </c>
      <c r="E241" s="28">
        <v>1</v>
      </c>
      <c r="F241" s="28">
        <v>25</v>
      </c>
      <c r="G241" s="27" t="s">
        <v>66</v>
      </c>
      <c r="H241" s="27"/>
      <c r="I241" s="48"/>
      <c r="L241" s="189" t="s">
        <v>80</v>
      </c>
      <c r="M241" s="192" t="s">
        <v>77</v>
      </c>
      <c r="N241" s="27" t="s">
        <v>2</v>
      </c>
      <c r="O241" s="28">
        <v>1</v>
      </c>
      <c r="P241" s="28">
        <v>25</v>
      </c>
      <c r="Q241" s="27" t="s">
        <v>66</v>
      </c>
      <c r="R241" s="27"/>
      <c r="S241" s="48"/>
    </row>
    <row r="242" spans="2:19" x14ac:dyDescent="0.25">
      <c r="B242" s="190"/>
      <c r="C242" s="193"/>
      <c r="D242" s="27" t="s">
        <v>3</v>
      </c>
      <c r="E242" s="28">
        <v>2</v>
      </c>
      <c r="F242" s="28">
        <v>26</v>
      </c>
      <c r="G242" s="27" t="s">
        <v>66</v>
      </c>
      <c r="H242" s="27"/>
      <c r="I242" s="48"/>
      <c r="L242" s="190"/>
      <c r="M242" s="193"/>
      <c r="N242" s="27" t="s">
        <v>3</v>
      </c>
      <c r="O242" s="28">
        <v>2</v>
      </c>
      <c r="P242" s="28">
        <v>26</v>
      </c>
      <c r="Q242" s="27" t="s">
        <v>66</v>
      </c>
      <c r="R242" s="27"/>
      <c r="S242" s="48"/>
    </row>
    <row r="243" spans="2:19" x14ac:dyDescent="0.25">
      <c r="B243" s="190"/>
      <c r="C243" s="193"/>
      <c r="D243" s="27" t="s">
        <v>80</v>
      </c>
      <c r="E243" s="28">
        <v>3</v>
      </c>
      <c r="F243" s="28">
        <v>27</v>
      </c>
      <c r="G243" s="27" t="s">
        <v>66</v>
      </c>
      <c r="H243" s="27"/>
      <c r="I243" s="48"/>
      <c r="L243" s="190"/>
      <c r="M243" s="193"/>
      <c r="N243" s="27" t="s">
        <v>80</v>
      </c>
      <c r="O243" s="28">
        <v>3</v>
      </c>
      <c r="P243" s="28">
        <v>27</v>
      </c>
      <c r="Q243" s="27" t="s">
        <v>66</v>
      </c>
      <c r="R243" s="27"/>
      <c r="S243" s="48"/>
    </row>
    <row r="244" spans="2:19" x14ac:dyDescent="0.25">
      <c r="B244" s="190"/>
      <c r="C244" s="193"/>
      <c r="D244" s="27" t="s">
        <v>81</v>
      </c>
      <c r="E244" s="28">
        <v>4</v>
      </c>
      <c r="F244" s="28">
        <v>28</v>
      </c>
      <c r="G244" s="27" t="s">
        <v>66</v>
      </c>
      <c r="H244" s="27"/>
      <c r="I244" s="48"/>
      <c r="L244" s="190"/>
      <c r="M244" s="193"/>
      <c r="N244" s="27" t="s">
        <v>81</v>
      </c>
      <c r="O244" s="28">
        <v>4</v>
      </c>
      <c r="P244" s="28">
        <v>28</v>
      </c>
      <c r="Q244" s="27" t="s">
        <v>66</v>
      </c>
      <c r="R244" s="27"/>
      <c r="S244" s="48"/>
    </row>
    <row r="245" spans="2:19" x14ac:dyDescent="0.25">
      <c r="B245" s="190"/>
      <c r="C245" s="193"/>
      <c r="D245" s="27" t="s">
        <v>82</v>
      </c>
      <c r="E245" s="28">
        <v>5</v>
      </c>
      <c r="F245" s="28">
        <v>29</v>
      </c>
      <c r="G245" s="27" t="s">
        <v>66</v>
      </c>
      <c r="H245" s="27"/>
      <c r="I245" s="48"/>
      <c r="L245" s="190"/>
      <c r="M245" s="193"/>
      <c r="N245" s="27" t="s">
        <v>82</v>
      </c>
      <c r="O245" s="28">
        <v>5</v>
      </c>
      <c r="P245" s="28">
        <v>29</v>
      </c>
      <c r="Q245" s="27" t="s">
        <v>66</v>
      </c>
      <c r="R245" s="27"/>
      <c r="S245" s="48"/>
    </row>
    <row r="246" spans="2:19" ht="15.75" thickBot="1" x14ac:dyDescent="0.3">
      <c r="B246" s="190"/>
      <c r="C246" s="194"/>
      <c r="D246" s="27" t="s">
        <v>83</v>
      </c>
      <c r="E246" s="28">
        <v>6</v>
      </c>
      <c r="F246" s="28">
        <v>30</v>
      </c>
      <c r="G246" s="27" t="s">
        <v>66</v>
      </c>
      <c r="H246" s="27"/>
      <c r="I246" s="48"/>
      <c r="L246" s="190"/>
      <c r="M246" s="194"/>
      <c r="N246" s="27" t="s">
        <v>83</v>
      </c>
      <c r="O246" s="28">
        <v>6</v>
      </c>
      <c r="P246" s="28">
        <v>30</v>
      </c>
      <c r="Q246" s="27" t="s">
        <v>66</v>
      </c>
      <c r="R246" s="27"/>
      <c r="S246" s="48"/>
    </row>
    <row r="247" spans="2:19" x14ac:dyDescent="0.25">
      <c r="B247" s="190"/>
      <c r="C247" s="192" t="s">
        <v>84</v>
      </c>
      <c r="D247" s="27" t="s">
        <v>2</v>
      </c>
      <c r="E247" s="28">
        <v>1</v>
      </c>
      <c r="F247" s="28">
        <v>31</v>
      </c>
      <c r="G247" s="27" t="s">
        <v>66</v>
      </c>
      <c r="H247" s="27"/>
      <c r="I247" s="48"/>
      <c r="L247" s="190"/>
      <c r="M247" s="192" t="s">
        <v>84</v>
      </c>
      <c r="N247" s="27" t="s">
        <v>2</v>
      </c>
      <c r="O247" s="28">
        <v>1</v>
      </c>
      <c r="P247" s="28">
        <v>31</v>
      </c>
      <c r="Q247" s="27" t="s">
        <v>66</v>
      </c>
      <c r="R247" s="27"/>
      <c r="S247" s="48"/>
    </row>
    <row r="248" spans="2:19" x14ac:dyDescent="0.25">
      <c r="B248" s="190"/>
      <c r="C248" s="193"/>
      <c r="D248" s="27" t="s">
        <v>3</v>
      </c>
      <c r="E248" s="28">
        <v>2</v>
      </c>
      <c r="F248" s="28">
        <v>32</v>
      </c>
      <c r="G248" s="27" t="s">
        <v>66</v>
      </c>
      <c r="H248" s="27"/>
      <c r="I248" s="48"/>
      <c r="L248" s="190"/>
      <c r="M248" s="193"/>
      <c r="N248" s="27" t="s">
        <v>3</v>
      </c>
      <c r="O248" s="28">
        <v>2</v>
      </c>
      <c r="P248" s="28">
        <v>32</v>
      </c>
      <c r="Q248" s="27" t="s">
        <v>66</v>
      </c>
      <c r="R248" s="27"/>
      <c r="S248" s="48"/>
    </row>
    <row r="249" spans="2:19" x14ac:dyDescent="0.25">
      <c r="B249" s="190"/>
      <c r="C249" s="193"/>
      <c r="D249" s="27" t="s">
        <v>80</v>
      </c>
      <c r="E249" s="28">
        <v>3</v>
      </c>
      <c r="F249" s="28">
        <v>33</v>
      </c>
      <c r="G249" s="27" t="s">
        <v>66</v>
      </c>
      <c r="H249" s="27"/>
      <c r="I249" s="48"/>
      <c r="L249" s="190"/>
      <c r="M249" s="193"/>
      <c r="N249" s="27" t="s">
        <v>80</v>
      </c>
      <c r="O249" s="28">
        <v>3</v>
      </c>
      <c r="P249" s="28">
        <v>33</v>
      </c>
      <c r="Q249" s="27" t="s">
        <v>66</v>
      </c>
      <c r="R249" s="27"/>
      <c r="S249" s="48"/>
    </row>
    <row r="250" spans="2:19" x14ac:dyDescent="0.25">
      <c r="B250" s="190"/>
      <c r="C250" s="193"/>
      <c r="D250" s="27" t="s">
        <v>81</v>
      </c>
      <c r="E250" s="28">
        <v>4</v>
      </c>
      <c r="F250" s="28">
        <v>34</v>
      </c>
      <c r="G250" s="27" t="s">
        <v>66</v>
      </c>
      <c r="H250" s="27"/>
      <c r="I250" s="48"/>
      <c r="L250" s="190"/>
      <c r="M250" s="193"/>
      <c r="N250" s="27" t="s">
        <v>81</v>
      </c>
      <c r="O250" s="28">
        <v>4</v>
      </c>
      <c r="P250" s="28">
        <v>34</v>
      </c>
      <c r="Q250" s="27" t="s">
        <v>66</v>
      </c>
      <c r="R250" s="27"/>
      <c r="S250" s="48"/>
    </row>
    <row r="251" spans="2:19" x14ac:dyDescent="0.25">
      <c r="B251" s="190"/>
      <c r="C251" s="193"/>
      <c r="D251" s="27" t="s">
        <v>82</v>
      </c>
      <c r="E251" s="28">
        <v>5</v>
      </c>
      <c r="F251" s="28">
        <v>35</v>
      </c>
      <c r="G251" s="27" t="s">
        <v>66</v>
      </c>
      <c r="H251" s="27"/>
      <c r="I251" s="48"/>
      <c r="L251" s="190"/>
      <c r="M251" s="193"/>
      <c r="N251" s="27" t="s">
        <v>82</v>
      </c>
      <c r="O251" s="28">
        <v>5</v>
      </c>
      <c r="P251" s="28">
        <v>35</v>
      </c>
      <c r="Q251" s="27" t="s">
        <v>66</v>
      </c>
      <c r="R251" s="27"/>
      <c r="S251" s="48"/>
    </row>
    <row r="252" spans="2:19" ht="15.75" thickBot="1" x14ac:dyDescent="0.3">
      <c r="B252" s="191"/>
      <c r="C252" s="194"/>
      <c r="D252" s="27" t="s">
        <v>83</v>
      </c>
      <c r="E252" s="28">
        <v>6</v>
      </c>
      <c r="F252" s="28">
        <v>36</v>
      </c>
      <c r="G252" s="27" t="s">
        <v>66</v>
      </c>
      <c r="H252" s="27"/>
      <c r="I252" s="48"/>
      <c r="L252" s="191"/>
      <c r="M252" s="194"/>
      <c r="N252" s="27" t="s">
        <v>83</v>
      </c>
      <c r="O252" s="28">
        <v>6</v>
      </c>
      <c r="P252" s="28">
        <v>36</v>
      </c>
      <c r="Q252" s="27" t="s">
        <v>66</v>
      </c>
      <c r="R252" s="27"/>
      <c r="S252" s="48"/>
    </row>
    <row r="253" spans="2:19" x14ac:dyDescent="0.25">
      <c r="B253" s="183" t="s">
        <v>81</v>
      </c>
      <c r="C253" s="186" t="s">
        <v>77</v>
      </c>
      <c r="D253" s="29" t="s">
        <v>2</v>
      </c>
      <c r="E253" s="30">
        <v>1</v>
      </c>
      <c r="F253" s="30">
        <v>37</v>
      </c>
      <c r="G253" s="29" t="s">
        <v>66</v>
      </c>
      <c r="H253" s="29"/>
      <c r="I253" s="49"/>
      <c r="L253" s="183" t="s">
        <v>81</v>
      </c>
      <c r="M253" s="186" t="s">
        <v>77</v>
      </c>
      <c r="N253" s="29" t="s">
        <v>2</v>
      </c>
      <c r="O253" s="30">
        <v>1</v>
      </c>
      <c r="P253" s="30">
        <v>37</v>
      </c>
      <c r="Q253" s="29" t="s">
        <v>66</v>
      </c>
      <c r="R253" s="29"/>
      <c r="S253" s="49"/>
    </row>
    <row r="254" spans="2:19" x14ac:dyDescent="0.25">
      <c r="B254" s="184"/>
      <c r="C254" s="187"/>
      <c r="D254" s="29" t="s">
        <v>3</v>
      </c>
      <c r="E254" s="30">
        <v>2</v>
      </c>
      <c r="F254" s="30">
        <v>38</v>
      </c>
      <c r="G254" s="29" t="s">
        <v>66</v>
      </c>
      <c r="H254" s="29"/>
      <c r="I254" s="49"/>
      <c r="L254" s="184"/>
      <c r="M254" s="187"/>
      <c r="N254" s="29" t="s">
        <v>3</v>
      </c>
      <c r="O254" s="30">
        <v>2</v>
      </c>
      <c r="P254" s="30">
        <v>38</v>
      </c>
      <c r="Q254" s="29" t="s">
        <v>66</v>
      </c>
      <c r="R254" s="29"/>
      <c r="S254" s="49"/>
    </row>
    <row r="255" spans="2:19" x14ac:dyDescent="0.25">
      <c r="B255" s="184"/>
      <c r="C255" s="187"/>
      <c r="D255" s="29" t="s">
        <v>80</v>
      </c>
      <c r="E255" s="30">
        <v>3</v>
      </c>
      <c r="F255" s="30">
        <v>39</v>
      </c>
      <c r="G255" s="29" t="s">
        <v>66</v>
      </c>
      <c r="H255" s="29"/>
      <c r="I255" s="49"/>
      <c r="L255" s="184"/>
      <c r="M255" s="187"/>
      <c r="N255" s="29" t="s">
        <v>80</v>
      </c>
      <c r="O255" s="30">
        <v>3</v>
      </c>
      <c r="P255" s="30">
        <v>39</v>
      </c>
      <c r="Q255" s="29" t="s">
        <v>66</v>
      </c>
      <c r="R255" s="29"/>
      <c r="S255" s="49"/>
    </row>
    <row r="256" spans="2:19" x14ac:dyDescent="0.25">
      <c r="B256" s="184"/>
      <c r="C256" s="187"/>
      <c r="D256" s="29" t="s">
        <v>81</v>
      </c>
      <c r="E256" s="30">
        <v>4</v>
      </c>
      <c r="F256" s="30">
        <v>40</v>
      </c>
      <c r="G256" s="29" t="s">
        <v>66</v>
      </c>
      <c r="H256" s="29"/>
      <c r="I256" s="49"/>
      <c r="L256" s="184"/>
      <c r="M256" s="187"/>
      <c r="N256" s="29" t="s">
        <v>81</v>
      </c>
      <c r="O256" s="30">
        <v>4</v>
      </c>
      <c r="P256" s="30">
        <v>40</v>
      </c>
      <c r="Q256" s="29" t="s">
        <v>66</v>
      </c>
      <c r="R256" s="29"/>
      <c r="S256" s="49"/>
    </row>
    <row r="257" spans="2:19" x14ac:dyDescent="0.25">
      <c r="B257" s="184"/>
      <c r="C257" s="187"/>
      <c r="D257" s="29" t="s">
        <v>82</v>
      </c>
      <c r="E257" s="30">
        <v>5</v>
      </c>
      <c r="F257" s="30">
        <v>41</v>
      </c>
      <c r="G257" s="29" t="s">
        <v>66</v>
      </c>
      <c r="H257" s="29"/>
      <c r="I257" s="49"/>
      <c r="L257" s="184"/>
      <c r="M257" s="187"/>
      <c r="N257" s="29" t="s">
        <v>82</v>
      </c>
      <c r="O257" s="30">
        <v>5</v>
      </c>
      <c r="P257" s="30">
        <v>41</v>
      </c>
      <c r="Q257" s="29" t="s">
        <v>66</v>
      </c>
      <c r="R257" s="29"/>
      <c r="S257" s="49"/>
    </row>
    <row r="258" spans="2:19" ht="15.75" thickBot="1" x14ac:dyDescent="0.3">
      <c r="B258" s="184"/>
      <c r="C258" s="188"/>
      <c r="D258" s="29" t="s">
        <v>83</v>
      </c>
      <c r="E258" s="30">
        <v>6</v>
      </c>
      <c r="F258" s="30">
        <v>42</v>
      </c>
      <c r="G258" s="29" t="s">
        <v>66</v>
      </c>
      <c r="H258" s="29"/>
      <c r="I258" s="49"/>
      <c r="L258" s="184"/>
      <c r="M258" s="188"/>
      <c r="N258" s="29" t="s">
        <v>83</v>
      </c>
      <c r="O258" s="30">
        <v>6</v>
      </c>
      <c r="P258" s="30">
        <v>42</v>
      </c>
      <c r="Q258" s="29" t="s">
        <v>66</v>
      </c>
      <c r="R258" s="29"/>
      <c r="S258" s="49"/>
    </row>
    <row r="259" spans="2:19" x14ac:dyDescent="0.25">
      <c r="B259" s="184"/>
      <c r="C259" s="186" t="s">
        <v>84</v>
      </c>
      <c r="D259" s="29" t="s">
        <v>2</v>
      </c>
      <c r="E259" s="30">
        <v>1</v>
      </c>
      <c r="F259" s="30">
        <v>43</v>
      </c>
      <c r="G259" s="29" t="s">
        <v>66</v>
      </c>
      <c r="H259" s="29"/>
      <c r="I259" s="49"/>
      <c r="L259" s="184"/>
      <c r="M259" s="186" t="s">
        <v>84</v>
      </c>
      <c r="N259" s="29" t="s">
        <v>2</v>
      </c>
      <c r="O259" s="30">
        <v>1</v>
      </c>
      <c r="P259" s="30">
        <v>43</v>
      </c>
      <c r="Q259" s="29" t="s">
        <v>66</v>
      </c>
      <c r="R259" s="29"/>
      <c r="S259" s="49"/>
    </row>
    <row r="260" spans="2:19" x14ac:dyDescent="0.25">
      <c r="B260" s="184"/>
      <c r="C260" s="187"/>
      <c r="D260" s="29" t="s">
        <v>3</v>
      </c>
      <c r="E260" s="30">
        <v>2</v>
      </c>
      <c r="F260" s="30">
        <v>44</v>
      </c>
      <c r="G260" s="29" t="s">
        <v>66</v>
      </c>
      <c r="H260" s="29"/>
      <c r="I260" s="49"/>
      <c r="L260" s="184"/>
      <c r="M260" s="187"/>
      <c r="N260" s="29" t="s">
        <v>3</v>
      </c>
      <c r="O260" s="30">
        <v>2</v>
      </c>
      <c r="P260" s="30">
        <v>44</v>
      </c>
      <c r="Q260" s="29" t="s">
        <v>66</v>
      </c>
      <c r="R260" s="29"/>
      <c r="S260" s="49"/>
    </row>
    <row r="261" spans="2:19" x14ac:dyDescent="0.25">
      <c r="B261" s="184"/>
      <c r="C261" s="187"/>
      <c r="D261" s="29" t="s">
        <v>80</v>
      </c>
      <c r="E261" s="30">
        <v>3</v>
      </c>
      <c r="F261" s="30">
        <v>45</v>
      </c>
      <c r="G261" s="29" t="s">
        <v>66</v>
      </c>
      <c r="H261" s="29"/>
      <c r="I261" s="49"/>
      <c r="L261" s="184"/>
      <c r="M261" s="187"/>
      <c r="N261" s="29" t="s">
        <v>80</v>
      </c>
      <c r="O261" s="30">
        <v>3</v>
      </c>
      <c r="P261" s="30">
        <v>45</v>
      </c>
      <c r="Q261" s="29" t="s">
        <v>66</v>
      </c>
      <c r="R261" s="29"/>
      <c r="S261" s="49"/>
    </row>
    <row r="262" spans="2:19" x14ac:dyDescent="0.25">
      <c r="B262" s="184"/>
      <c r="C262" s="187"/>
      <c r="D262" s="29" t="s">
        <v>81</v>
      </c>
      <c r="E262" s="30">
        <v>4</v>
      </c>
      <c r="F262" s="30">
        <v>46</v>
      </c>
      <c r="G262" s="29" t="s">
        <v>66</v>
      </c>
      <c r="H262" s="29"/>
      <c r="I262" s="49"/>
      <c r="L262" s="184"/>
      <c r="M262" s="187"/>
      <c r="N262" s="29" t="s">
        <v>81</v>
      </c>
      <c r="O262" s="30">
        <v>4</v>
      </c>
      <c r="P262" s="30">
        <v>46</v>
      </c>
      <c r="Q262" s="29" t="s">
        <v>66</v>
      </c>
      <c r="R262" s="29"/>
      <c r="S262" s="49"/>
    </row>
    <row r="263" spans="2:19" x14ac:dyDescent="0.25">
      <c r="B263" s="184"/>
      <c r="C263" s="187"/>
      <c r="D263" s="29" t="s">
        <v>82</v>
      </c>
      <c r="E263" s="30">
        <v>5</v>
      </c>
      <c r="F263" s="30">
        <v>47</v>
      </c>
      <c r="G263" s="29" t="s">
        <v>66</v>
      </c>
      <c r="H263" s="29"/>
      <c r="I263" s="49"/>
      <c r="L263" s="184"/>
      <c r="M263" s="187"/>
      <c r="N263" s="29" t="s">
        <v>82</v>
      </c>
      <c r="O263" s="30">
        <v>5</v>
      </c>
      <c r="P263" s="30">
        <v>47</v>
      </c>
      <c r="Q263" s="29" t="s">
        <v>66</v>
      </c>
      <c r="R263" s="29"/>
      <c r="S263" s="49"/>
    </row>
    <row r="264" spans="2:19" ht="15.75" thickBot="1" x14ac:dyDescent="0.3">
      <c r="B264" s="185"/>
      <c r="C264" s="188"/>
      <c r="D264" s="29" t="s">
        <v>83</v>
      </c>
      <c r="E264" s="30">
        <v>6</v>
      </c>
      <c r="F264" s="30">
        <v>48</v>
      </c>
      <c r="G264" s="29" t="s">
        <v>66</v>
      </c>
      <c r="H264" s="29"/>
      <c r="I264" s="49"/>
      <c r="L264" s="185"/>
      <c r="M264" s="188"/>
      <c r="N264" s="29" t="s">
        <v>83</v>
      </c>
      <c r="O264" s="30">
        <v>6</v>
      </c>
      <c r="P264" s="30">
        <v>48</v>
      </c>
      <c r="Q264" s="29" t="s">
        <v>66</v>
      </c>
      <c r="R264" s="29"/>
      <c r="S264" s="49"/>
    </row>
    <row r="270" spans="2:19" ht="15.75" thickBot="1" x14ac:dyDescent="0.3"/>
    <row r="271" spans="2:19" ht="15.75" thickBot="1" x14ac:dyDescent="0.3">
      <c r="B271" s="171" t="s">
        <v>394</v>
      </c>
      <c r="C271" s="172"/>
      <c r="D271" s="172"/>
      <c r="E271" s="172"/>
      <c r="F271" s="172"/>
      <c r="G271" s="172"/>
      <c r="H271" s="172"/>
      <c r="I271" s="173"/>
      <c r="L271" s="171" t="s">
        <v>395</v>
      </c>
      <c r="M271" s="172"/>
      <c r="N271" s="172"/>
      <c r="O271" s="172"/>
      <c r="P271" s="172"/>
      <c r="Q271" s="172"/>
      <c r="R271" s="172"/>
      <c r="S271" s="173"/>
    </row>
    <row r="273" spans="2:19" ht="26.25" thickBot="1" x14ac:dyDescent="0.3">
      <c r="B273" s="15" t="s">
        <v>70</v>
      </c>
      <c r="C273" s="16" t="s">
        <v>71</v>
      </c>
      <c r="D273" s="15" t="s">
        <v>72</v>
      </c>
      <c r="E273" s="17" t="s">
        <v>73</v>
      </c>
      <c r="F273" s="17" t="s">
        <v>74</v>
      </c>
      <c r="G273" s="15" t="s">
        <v>75</v>
      </c>
      <c r="H273" s="15" t="s">
        <v>55</v>
      </c>
      <c r="I273" s="15" t="s">
        <v>76</v>
      </c>
      <c r="L273" s="15" t="s">
        <v>70</v>
      </c>
      <c r="M273" s="16" t="s">
        <v>71</v>
      </c>
      <c r="N273" s="15" t="s">
        <v>72</v>
      </c>
      <c r="O273" s="17" t="s">
        <v>73</v>
      </c>
      <c r="P273" s="17" t="s">
        <v>74</v>
      </c>
      <c r="Q273" s="15" t="s">
        <v>75</v>
      </c>
      <c r="R273" s="15" t="s">
        <v>55</v>
      </c>
      <c r="S273" s="15" t="s">
        <v>76</v>
      </c>
    </row>
    <row r="274" spans="2:19" x14ac:dyDescent="0.25">
      <c r="B274" s="174" t="s">
        <v>2</v>
      </c>
      <c r="C274" s="168" t="s">
        <v>77</v>
      </c>
      <c r="D274" s="18" t="s">
        <v>2</v>
      </c>
      <c r="E274" s="19">
        <v>1</v>
      </c>
      <c r="F274" s="19">
        <v>1</v>
      </c>
      <c r="G274" s="18" t="s">
        <v>66</v>
      </c>
      <c r="H274" s="32"/>
      <c r="I274" s="50"/>
      <c r="L274" s="174" t="s">
        <v>2</v>
      </c>
      <c r="M274" s="168" t="s">
        <v>77</v>
      </c>
      <c r="N274" s="18" t="s">
        <v>2</v>
      </c>
      <c r="O274" s="19">
        <v>1</v>
      </c>
      <c r="P274" s="19">
        <v>1</v>
      </c>
      <c r="Q274" s="18" t="s">
        <v>66</v>
      </c>
      <c r="R274" s="32"/>
      <c r="S274" s="50"/>
    </row>
    <row r="275" spans="2:19" x14ac:dyDescent="0.25">
      <c r="B275" s="175"/>
      <c r="C275" s="169"/>
      <c r="D275" s="18" t="s">
        <v>3</v>
      </c>
      <c r="E275" s="19">
        <v>2</v>
      </c>
      <c r="F275" s="19">
        <v>2</v>
      </c>
      <c r="G275" s="18" t="s">
        <v>66</v>
      </c>
      <c r="H275" s="32"/>
      <c r="I275" s="50"/>
      <c r="L275" s="175"/>
      <c r="M275" s="169"/>
      <c r="N275" s="18" t="s">
        <v>3</v>
      </c>
      <c r="O275" s="19">
        <v>2</v>
      </c>
      <c r="P275" s="19">
        <v>2</v>
      </c>
      <c r="Q275" s="18" t="s">
        <v>66</v>
      </c>
      <c r="R275" s="32"/>
      <c r="S275" s="50"/>
    </row>
    <row r="276" spans="2:19" x14ac:dyDescent="0.25">
      <c r="B276" s="175"/>
      <c r="C276" s="169"/>
      <c r="D276" s="18" t="s">
        <v>80</v>
      </c>
      <c r="E276" s="20">
        <v>3</v>
      </c>
      <c r="F276" s="20">
        <v>3</v>
      </c>
      <c r="G276" s="18" t="s">
        <v>66</v>
      </c>
      <c r="H276" s="32"/>
      <c r="I276" s="50"/>
      <c r="L276" s="175"/>
      <c r="M276" s="169"/>
      <c r="N276" s="18" t="s">
        <v>80</v>
      </c>
      <c r="O276" s="20">
        <v>3</v>
      </c>
      <c r="P276" s="20">
        <v>3</v>
      </c>
      <c r="Q276" s="18" t="s">
        <v>66</v>
      </c>
      <c r="R276" s="32"/>
      <c r="S276" s="50"/>
    </row>
    <row r="277" spans="2:19" x14ac:dyDescent="0.25">
      <c r="B277" s="175"/>
      <c r="C277" s="169"/>
      <c r="D277" s="18" t="s">
        <v>81</v>
      </c>
      <c r="E277" s="20">
        <v>4</v>
      </c>
      <c r="F277" s="20">
        <v>4</v>
      </c>
      <c r="G277" s="18" t="s">
        <v>66</v>
      </c>
      <c r="H277" s="32"/>
      <c r="I277" s="50"/>
      <c r="L277" s="175"/>
      <c r="M277" s="169"/>
      <c r="N277" s="18" t="s">
        <v>81</v>
      </c>
      <c r="O277" s="20">
        <v>4</v>
      </c>
      <c r="P277" s="20">
        <v>4</v>
      </c>
      <c r="Q277" s="18" t="s">
        <v>66</v>
      </c>
      <c r="R277" s="32"/>
      <c r="S277" s="50"/>
    </row>
    <row r="278" spans="2:19" x14ac:dyDescent="0.25">
      <c r="B278" s="175"/>
      <c r="C278" s="169"/>
      <c r="D278" s="18" t="s">
        <v>82</v>
      </c>
      <c r="E278" s="20">
        <v>5</v>
      </c>
      <c r="F278" s="20">
        <v>5</v>
      </c>
      <c r="G278" s="18" t="s">
        <v>66</v>
      </c>
      <c r="H278" s="32"/>
      <c r="I278" s="50"/>
      <c r="L278" s="175"/>
      <c r="M278" s="169"/>
      <c r="N278" s="18" t="s">
        <v>82</v>
      </c>
      <c r="O278" s="20">
        <v>5</v>
      </c>
      <c r="P278" s="20">
        <v>5</v>
      </c>
      <c r="Q278" s="18" t="s">
        <v>66</v>
      </c>
      <c r="R278" s="32"/>
      <c r="S278" s="50"/>
    </row>
    <row r="279" spans="2:19" ht="15.75" thickBot="1" x14ac:dyDescent="0.3">
      <c r="B279" s="175"/>
      <c r="C279" s="170"/>
      <c r="D279" s="18" t="s">
        <v>83</v>
      </c>
      <c r="E279" s="20">
        <v>6</v>
      </c>
      <c r="F279" s="20">
        <v>6</v>
      </c>
      <c r="G279" s="18" t="s">
        <v>66</v>
      </c>
      <c r="H279" s="32"/>
      <c r="I279" s="50"/>
      <c r="L279" s="175"/>
      <c r="M279" s="170"/>
      <c r="N279" s="18" t="s">
        <v>83</v>
      </c>
      <c r="O279" s="20">
        <v>6</v>
      </c>
      <c r="P279" s="20">
        <v>6</v>
      </c>
      <c r="Q279" s="18" t="s">
        <v>66</v>
      </c>
      <c r="R279" s="32"/>
      <c r="S279" s="50"/>
    </row>
    <row r="280" spans="2:19" x14ac:dyDescent="0.25">
      <c r="B280" s="175"/>
      <c r="C280" s="168" t="s">
        <v>84</v>
      </c>
      <c r="D280" s="18" t="s">
        <v>2</v>
      </c>
      <c r="E280" s="19">
        <v>1</v>
      </c>
      <c r="F280" s="19">
        <v>7</v>
      </c>
      <c r="G280" s="18" t="s">
        <v>78</v>
      </c>
      <c r="H280" s="156" t="s">
        <v>384</v>
      </c>
      <c r="I280" s="165" t="s">
        <v>214</v>
      </c>
      <c r="L280" s="175"/>
      <c r="M280" s="168" t="s">
        <v>84</v>
      </c>
      <c r="N280" s="18" t="s">
        <v>2</v>
      </c>
      <c r="O280" s="19">
        <v>1</v>
      </c>
      <c r="P280" s="19">
        <v>7</v>
      </c>
      <c r="Q280" s="18" t="s">
        <v>78</v>
      </c>
      <c r="R280" s="156" t="s">
        <v>384</v>
      </c>
      <c r="S280" s="165" t="s">
        <v>216</v>
      </c>
    </row>
    <row r="281" spans="2:19" x14ac:dyDescent="0.25">
      <c r="B281" s="175"/>
      <c r="C281" s="169"/>
      <c r="D281" s="18" t="s">
        <v>3</v>
      </c>
      <c r="E281" s="19">
        <v>2</v>
      </c>
      <c r="F281" s="19">
        <v>8</v>
      </c>
      <c r="G281" s="18" t="s">
        <v>78</v>
      </c>
      <c r="H281" s="157"/>
      <c r="I281" s="166"/>
      <c r="L281" s="175"/>
      <c r="M281" s="169"/>
      <c r="N281" s="18" t="s">
        <v>3</v>
      </c>
      <c r="O281" s="19">
        <v>2</v>
      </c>
      <c r="P281" s="19">
        <v>8</v>
      </c>
      <c r="Q281" s="18" t="s">
        <v>78</v>
      </c>
      <c r="R281" s="157"/>
      <c r="S281" s="166"/>
    </row>
    <row r="282" spans="2:19" x14ac:dyDescent="0.25">
      <c r="B282" s="175"/>
      <c r="C282" s="169"/>
      <c r="D282" s="18" t="s">
        <v>80</v>
      </c>
      <c r="E282" s="20">
        <v>3</v>
      </c>
      <c r="F282" s="20">
        <v>9</v>
      </c>
      <c r="G282" s="18" t="s">
        <v>66</v>
      </c>
      <c r="H282" s="157"/>
      <c r="I282" s="166"/>
      <c r="L282" s="175"/>
      <c r="M282" s="169"/>
      <c r="N282" s="18" t="s">
        <v>80</v>
      </c>
      <c r="O282" s="20">
        <v>3</v>
      </c>
      <c r="P282" s="20">
        <v>9</v>
      </c>
      <c r="Q282" s="18" t="s">
        <v>66</v>
      </c>
      <c r="R282" s="157"/>
      <c r="S282" s="166"/>
    </row>
    <row r="283" spans="2:19" x14ac:dyDescent="0.25">
      <c r="B283" s="175"/>
      <c r="C283" s="169"/>
      <c r="D283" s="18" t="s">
        <v>81</v>
      </c>
      <c r="E283" s="20">
        <v>4</v>
      </c>
      <c r="F283" s="20">
        <v>10</v>
      </c>
      <c r="G283" s="18" t="s">
        <v>66</v>
      </c>
      <c r="H283" s="157"/>
      <c r="I283" s="166"/>
      <c r="L283" s="175"/>
      <c r="M283" s="169"/>
      <c r="N283" s="18" t="s">
        <v>81</v>
      </c>
      <c r="O283" s="20">
        <v>4</v>
      </c>
      <c r="P283" s="20">
        <v>10</v>
      </c>
      <c r="Q283" s="18" t="s">
        <v>66</v>
      </c>
      <c r="R283" s="157"/>
      <c r="S283" s="166"/>
    </row>
    <row r="284" spans="2:19" x14ac:dyDescent="0.25">
      <c r="B284" s="175"/>
      <c r="C284" s="169"/>
      <c r="D284" s="18" t="s">
        <v>82</v>
      </c>
      <c r="E284" s="20">
        <v>5</v>
      </c>
      <c r="F284" s="20">
        <v>11</v>
      </c>
      <c r="G284" s="18" t="s">
        <v>66</v>
      </c>
      <c r="H284" s="157"/>
      <c r="I284" s="166"/>
      <c r="L284" s="175"/>
      <c r="M284" s="169"/>
      <c r="N284" s="18" t="s">
        <v>82</v>
      </c>
      <c r="O284" s="20">
        <v>5</v>
      </c>
      <c r="P284" s="20">
        <v>11</v>
      </c>
      <c r="Q284" s="18" t="s">
        <v>66</v>
      </c>
      <c r="R284" s="157"/>
      <c r="S284" s="166"/>
    </row>
    <row r="285" spans="2:19" ht="15.75" thickBot="1" x14ac:dyDescent="0.3">
      <c r="B285" s="176"/>
      <c r="C285" s="170"/>
      <c r="D285" s="18" t="s">
        <v>83</v>
      </c>
      <c r="E285" s="20">
        <v>6</v>
      </c>
      <c r="F285" s="20">
        <v>12</v>
      </c>
      <c r="G285" s="18" t="s">
        <v>66</v>
      </c>
      <c r="H285" s="158"/>
      <c r="I285" s="167"/>
      <c r="L285" s="176"/>
      <c r="M285" s="170"/>
      <c r="N285" s="18" t="s">
        <v>83</v>
      </c>
      <c r="O285" s="20">
        <v>6</v>
      </c>
      <c r="P285" s="20">
        <v>12</v>
      </c>
      <c r="Q285" s="18" t="s">
        <v>66</v>
      </c>
      <c r="R285" s="158"/>
      <c r="S285" s="167"/>
    </row>
    <row r="286" spans="2:19" x14ac:dyDescent="0.25">
      <c r="B286" s="180" t="s">
        <v>3</v>
      </c>
      <c r="C286" s="177" t="s">
        <v>77</v>
      </c>
      <c r="D286" s="21" t="s">
        <v>2</v>
      </c>
      <c r="E286" s="22">
        <v>1</v>
      </c>
      <c r="F286" s="22">
        <v>13</v>
      </c>
      <c r="G286" s="21" t="s">
        <v>66</v>
      </c>
      <c r="H286" s="21"/>
      <c r="I286" s="51"/>
      <c r="L286" s="180" t="s">
        <v>3</v>
      </c>
      <c r="M286" s="177" t="s">
        <v>77</v>
      </c>
      <c r="N286" s="21" t="s">
        <v>2</v>
      </c>
      <c r="O286" s="22">
        <v>1</v>
      </c>
      <c r="P286" s="22">
        <v>13</v>
      </c>
      <c r="Q286" s="21" t="s">
        <v>66</v>
      </c>
      <c r="R286" s="21"/>
      <c r="S286" s="51"/>
    </row>
    <row r="287" spans="2:19" x14ac:dyDescent="0.25">
      <c r="B287" s="181"/>
      <c r="C287" s="178"/>
      <c r="D287" s="23" t="s">
        <v>3</v>
      </c>
      <c r="E287" s="24">
        <v>2</v>
      </c>
      <c r="F287" s="24">
        <v>14</v>
      </c>
      <c r="G287" s="23" t="s">
        <v>66</v>
      </c>
      <c r="H287" s="23"/>
      <c r="I287" s="47"/>
      <c r="L287" s="181"/>
      <c r="M287" s="178"/>
      <c r="N287" s="23" t="s">
        <v>3</v>
      </c>
      <c r="O287" s="24">
        <v>2</v>
      </c>
      <c r="P287" s="24">
        <v>14</v>
      </c>
      <c r="Q287" s="23" t="s">
        <v>66</v>
      </c>
      <c r="R287" s="23"/>
      <c r="S287" s="47"/>
    </row>
    <row r="288" spans="2:19" x14ac:dyDescent="0.25">
      <c r="B288" s="181"/>
      <c r="C288" s="178"/>
      <c r="D288" s="23" t="s">
        <v>80</v>
      </c>
      <c r="E288" s="24">
        <v>3</v>
      </c>
      <c r="F288" s="24">
        <v>15</v>
      </c>
      <c r="G288" s="23" t="s">
        <v>66</v>
      </c>
      <c r="H288" s="23"/>
      <c r="I288" s="47"/>
      <c r="L288" s="181"/>
      <c r="M288" s="178"/>
      <c r="N288" s="23" t="s">
        <v>80</v>
      </c>
      <c r="O288" s="24">
        <v>3</v>
      </c>
      <c r="P288" s="24">
        <v>15</v>
      </c>
      <c r="Q288" s="23" t="s">
        <v>66</v>
      </c>
      <c r="R288" s="23"/>
      <c r="S288" s="47"/>
    </row>
    <row r="289" spans="2:19" x14ac:dyDescent="0.25">
      <c r="B289" s="181"/>
      <c r="C289" s="178"/>
      <c r="D289" s="23" t="s">
        <v>81</v>
      </c>
      <c r="E289" s="24">
        <v>4</v>
      </c>
      <c r="F289" s="24">
        <v>16</v>
      </c>
      <c r="G289" s="23" t="s">
        <v>66</v>
      </c>
      <c r="H289" s="23"/>
      <c r="I289" s="47"/>
      <c r="L289" s="181"/>
      <c r="M289" s="178"/>
      <c r="N289" s="23" t="s">
        <v>81</v>
      </c>
      <c r="O289" s="24">
        <v>4</v>
      </c>
      <c r="P289" s="24">
        <v>16</v>
      </c>
      <c r="Q289" s="23" t="s">
        <v>66</v>
      </c>
      <c r="R289" s="23"/>
      <c r="S289" s="47"/>
    </row>
    <row r="290" spans="2:19" x14ac:dyDescent="0.25">
      <c r="B290" s="181"/>
      <c r="C290" s="178"/>
      <c r="D290" s="23" t="s">
        <v>82</v>
      </c>
      <c r="E290" s="24">
        <v>5</v>
      </c>
      <c r="F290" s="24">
        <v>17</v>
      </c>
      <c r="G290" s="23" t="s">
        <v>66</v>
      </c>
      <c r="H290" s="23"/>
      <c r="I290" s="47"/>
      <c r="L290" s="181"/>
      <c r="M290" s="178"/>
      <c r="N290" s="23" t="s">
        <v>82</v>
      </c>
      <c r="O290" s="24">
        <v>5</v>
      </c>
      <c r="P290" s="24">
        <v>17</v>
      </c>
      <c r="Q290" s="23" t="s">
        <v>66</v>
      </c>
      <c r="R290" s="23"/>
      <c r="S290" s="47"/>
    </row>
    <row r="291" spans="2:19" ht="15.75" thickBot="1" x14ac:dyDescent="0.3">
      <c r="B291" s="181"/>
      <c r="C291" s="179"/>
      <c r="D291" s="23" t="s">
        <v>83</v>
      </c>
      <c r="E291" s="24">
        <v>6</v>
      </c>
      <c r="F291" s="24">
        <v>18</v>
      </c>
      <c r="G291" s="23" t="s">
        <v>66</v>
      </c>
      <c r="H291" s="23"/>
      <c r="I291" s="47"/>
      <c r="L291" s="181"/>
      <c r="M291" s="179"/>
      <c r="N291" s="23" t="s">
        <v>83</v>
      </c>
      <c r="O291" s="24">
        <v>6</v>
      </c>
      <c r="P291" s="24">
        <v>18</v>
      </c>
      <c r="Q291" s="23" t="s">
        <v>66</v>
      </c>
      <c r="R291" s="23"/>
      <c r="S291" s="47"/>
    </row>
    <row r="292" spans="2:19" x14ac:dyDescent="0.25">
      <c r="B292" s="181"/>
      <c r="C292" s="177" t="s">
        <v>84</v>
      </c>
      <c r="D292" s="23" t="s">
        <v>2</v>
      </c>
      <c r="E292" s="24">
        <v>1</v>
      </c>
      <c r="F292" s="24">
        <v>19</v>
      </c>
      <c r="G292" s="23" t="s">
        <v>66</v>
      </c>
      <c r="H292" s="23"/>
      <c r="I292" s="47"/>
      <c r="L292" s="181"/>
      <c r="M292" s="177" t="s">
        <v>84</v>
      </c>
      <c r="N292" s="23" t="s">
        <v>2</v>
      </c>
      <c r="O292" s="24">
        <v>1</v>
      </c>
      <c r="P292" s="24">
        <v>19</v>
      </c>
      <c r="Q292" s="23" t="s">
        <v>66</v>
      </c>
      <c r="R292" s="23"/>
      <c r="S292" s="47"/>
    </row>
    <row r="293" spans="2:19" x14ac:dyDescent="0.25">
      <c r="B293" s="181"/>
      <c r="C293" s="178"/>
      <c r="D293" s="23" t="s">
        <v>3</v>
      </c>
      <c r="E293" s="24">
        <v>2</v>
      </c>
      <c r="F293" s="24">
        <v>20</v>
      </c>
      <c r="G293" s="23" t="s">
        <v>66</v>
      </c>
      <c r="H293" s="23"/>
      <c r="I293" s="47"/>
      <c r="L293" s="181"/>
      <c r="M293" s="178"/>
      <c r="N293" s="23" t="s">
        <v>3</v>
      </c>
      <c r="O293" s="24">
        <v>2</v>
      </c>
      <c r="P293" s="24">
        <v>20</v>
      </c>
      <c r="Q293" s="23" t="s">
        <v>66</v>
      </c>
      <c r="R293" s="23"/>
      <c r="S293" s="47"/>
    </row>
    <row r="294" spans="2:19" x14ac:dyDescent="0.25">
      <c r="B294" s="181"/>
      <c r="C294" s="178"/>
      <c r="D294" s="23" t="s">
        <v>80</v>
      </c>
      <c r="E294" s="26">
        <v>3</v>
      </c>
      <c r="F294" s="24">
        <v>21</v>
      </c>
      <c r="G294" s="23" t="s">
        <v>66</v>
      </c>
      <c r="H294" s="23"/>
      <c r="I294" s="47"/>
      <c r="L294" s="181"/>
      <c r="M294" s="178"/>
      <c r="N294" s="23" t="s">
        <v>80</v>
      </c>
      <c r="O294" s="26">
        <v>3</v>
      </c>
      <c r="P294" s="24">
        <v>21</v>
      </c>
      <c r="Q294" s="23" t="s">
        <v>66</v>
      </c>
      <c r="R294" s="23"/>
      <c r="S294" s="47"/>
    </row>
    <row r="295" spans="2:19" x14ac:dyDescent="0.25">
      <c r="B295" s="181"/>
      <c r="C295" s="178"/>
      <c r="D295" s="23" t="s">
        <v>81</v>
      </c>
      <c r="E295" s="24">
        <v>4</v>
      </c>
      <c r="F295" s="24">
        <v>22</v>
      </c>
      <c r="G295" s="23" t="s">
        <v>66</v>
      </c>
      <c r="H295" s="23"/>
      <c r="I295" s="47"/>
      <c r="L295" s="181"/>
      <c r="M295" s="178"/>
      <c r="N295" s="23" t="s">
        <v>81</v>
      </c>
      <c r="O295" s="24">
        <v>4</v>
      </c>
      <c r="P295" s="24">
        <v>22</v>
      </c>
      <c r="Q295" s="23" t="s">
        <v>66</v>
      </c>
      <c r="R295" s="23"/>
      <c r="S295" s="47"/>
    </row>
    <row r="296" spans="2:19" x14ac:dyDescent="0.25">
      <c r="B296" s="181"/>
      <c r="C296" s="178"/>
      <c r="D296" s="23" t="s">
        <v>82</v>
      </c>
      <c r="E296" s="24">
        <v>5</v>
      </c>
      <c r="F296" s="24">
        <v>23</v>
      </c>
      <c r="G296" s="23" t="s">
        <v>66</v>
      </c>
      <c r="H296" s="23"/>
      <c r="I296" s="47"/>
      <c r="L296" s="181"/>
      <c r="M296" s="178"/>
      <c r="N296" s="23" t="s">
        <v>82</v>
      </c>
      <c r="O296" s="24">
        <v>5</v>
      </c>
      <c r="P296" s="24">
        <v>23</v>
      </c>
      <c r="Q296" s="23" t="s">
        <v>66</v>
      </c>
      <c r="R296" s="23"/>
      <c r="S296" s="47"/>
    </row>
    <row r="297" spans="2:19" ht="15.75" thickBot="1" x14ac:dyDescent="0.3">
      <c r="B297" s="182"/>
      <c r="C297" s="179"/>
      <c r="D297" s="23" t="s">
        <v>83</v>
      </c>
      <c r="E297" s="24">
        <v>6</v>
      </c>
      <c r="F297" s="24">
        <v>24</v>
      </c>
      <c r="G297" s="23" t="s">
        <v>66</v>
      </c>
      <c r="H297" s="23"/>
      <c r="I297" s="47"/>
      <c r="L297" s="182"/>
      <c r="M297" s="179"/>
      <c r="N297" s="23" t="s">
        <v>83</v>
      </c>
      <c r="O297" s="24">
        <v>6</v>
      </c>
      <c r="P297" s="24">
        <v>24</v>
      </c>
      <c r="Q297" s="23" t="s">
        <v>66</v>
      </c>
      <c r="R297" s="23"/>
      <c r="S297" s="47"/>
    </row>
    <row r="298" spans="2:19" x14ac:dyDescent="0.25">
      <c r="B298" s="189" t="s">
        <v>80</v>
      </c>
      <c r="C298" s="192" t="s">
        <v>77</v>
      </c>
      <c r="D298" s="27" t="s">
        <v>2</v>
      </c>
      <c r="E298" s="28">
        <v>1</v>
      </c>
      <c r="F298" s="28">
        <v>25</v>
      </c>
      <c r="G298" s="27" t="s">
        <v>66</v>
      </c>
      <c r="H298" s="27"/>
      <c r="I298" s="48"/>
      <c r="L298" s="189" t="s">
        <v>80</v>
      </c>
      <c r="M298" s="192" t="s">
        <v>77</v>
      </c>
      <c r="N298" s="27" t="s">
        <v>2</v>
      </c>
      <c r="O298" s="28">
        <v>1</v>
      </c>
      <c r="P298" s="28">
        <v>25</v>
      </c>
      <c r="Q298" s="27" t="s">
        <v>66</v>
      </c>
      <c r="R298" s="27"/>
      <c r="S298" s="48"/>
    </row>
    <row r="299" spans="2:19" x14ac:dyDescent="0.25">
      <c r="B299" s="190"/>
      <c r="C299" s="193"/>
      <c r="D299" s="27" t="s">
        <v>3</v>
      </c>
      <c r="E299" s="28">
        <v>2</v>
      </c>
      <c r="F299" s="28">
        <v>26</v>
      </c>
      <c r="G299" s="27" t="s">
        <v>66</v>
      </c>
      <c r="H299" s="27"/>
      <c r="I299" s="48"/>
      <c r="L299" s="190"/>
      <c r="M299" s="193"/>
      <c r="N299" s="27" t="s">
        <v>3</v>
      </c>
      <c r="O299" s="28">
        <v>2</v>
      </c>
      <c r="P299" s="28">
        <v>26</v>
      </c>
      <c r="Q299" s="27" t="s">
        <v>66</v>
      </c>
      <c r="R299" s="27"/>
      <c r="S299" s="48"/>
    </row>
    <row r="300" spans="2:19" x14ac:dyDescent="0.25">
      <c r="B300" s="190"/>
      <c r="C300" s="193"/>
      <c r="D300" s="27" t="s">
        <v>80</v>
      </c>
      <c r="E300" s="28">
        <v>3</v>
      </c>
      <c r="F300" s="28">
        <v>27</v>
      </c>
      <c r="G300" s="27" t="s">
        <v>66</v>
      </c>
      <c r="H300" s="27"/>
      <c r="I300" s="48"/>
      <c r="L300" s="190"/>
      <c r="M300" s="193"/>
      <c r="N300" s="27" t="s">
        <v>80</v>
      </c>
      <c r="O300" s="28">
        <v>3</v>
      </c>
      <c r="P300" s="28">
        <v>27</v>
      </c>
      <c r="Q300" s="27" t="s">
        <v>66</v>
      </c>
      <c r="R300" s="27"/>
      <c r="S300" s="48"/>
    </row>
    <row r="301" spans="2:19" x14ac:dyDescent="0.25">
      <c r="B301" s="190"/>
      <c r="C301" s="193"/>
      <c r="D301" s="27" t="s">
        <v>81</v>
      </c>
      <c r="E301" s="28">
        <v>4</v>
      </c>
      <c r="F301" s="28">
        <v>28</v>
      </c>
      <c r="G301" s="27" t="s">
        <v>66</v>
      </c>
      <c r="H301" s="27"/>
      <c r="I301" s="48"/>
      <c r="L301" s="190"/>
      <c r="M301" s="193"/>
      <c r="N301" s="27" t="s">
        <v>81</v>
      </c>
      <c r="O301" s="28">
        <v>4</v>
      </c>
      <c r="P301" s="28">
        <v>28</v>
      </c>
      <c r="Q301" s="27" t="s">
        <v>66</v>
      </c>
      <c r="R301" s="27"/>
      <c r="S301" s="48"/>
    </row>
    <row r="302" spans="2:19" x14ac:dyDescent="0.25">
      <c r="B302" s="190"/>
      <c r="C302" s="193"/>
      <c r="D302" s="27" t="s">
        <v>82</v>
      </c>
      <c r="E302" s="28">
        <v>5</v>
      </c>
      <c r="F302" s="28">
        <v>29</v>
      </c>
      <c r="G302" s="27" t="s">
        <v>66</v>
      </c>
      <c r="H302" s="27"/>
      <c r="I302" s="48"/>
      <c r="L302" s="190"/>
      <c r="M302" s="193"/>
      <c r="N302" s="27" t="s">
        <v>82</v>
      </c>
      <c r="O302" s="28">
        <v>5</v>
      </c>
      <c r="P302" s="28">
        <v>29</v>
      </c>
      <c r="Q302" s="27" t="s">
        <v>66</v>
      </c>
      <c r="R302" s="27"/>
      <c r="S302" s="48"/>
    </row>
    <row r="303" spans="2:19" ht="15.75" thickBot="1" x14ac:dyDescent="0.3">
      <c r="B303" s="190"/>
      <c r="C303" s="194"/>
      <c r="D303" s="27" t="s">
        <v>83</v>
      </c>
      <c r="E303" s="28">
        <v>6</v>
      </c>
      <c r="F303" s="28">
        <v>30</v>
      </c>
      <c r="G303" s="27" t="s">
        <v>66</v>
      </c>
      <c r="H303" s="27"/>
      <c r="I303" s="48"/>
      <c r="L303" s="190"/>
      <c r="M303" s="194"/>
      <c r="N303" s="27" t="s">
        <v>83</v>
      </c>
      <c r="O303" s="28">
        <v>6</v>
      </c>
      <c r="P303" s="28">
        <v>30</v>
      </c>
      <c r="Q303" s="27" t="s">
        <v>66</v>
      </c>
      <c r="R303" s="27"/>
      <c r="S303" s="48"/>
    </row>
    <row r="304" spans="2:19" x14ac:dyDescent="0.25">
      <c r="B304" s="190"/>
      <c r="C304" s="192" t="s">
        <v>84</v>
      </c>
      <c r="D304" s="27" t="s">
        <v>2</v>
      </c>
      <c r="E304" s="28">
        <v>1</v>
      </c>
      <c r="F304" s="28">
        <v>31</v>
      </c>
      <c r="G304" s="27" t="s">
        <v>66</v>
      </c>
      <c r="H304" s="27"/>
      <c r="I304" s="48"/>
      <c r="L304" s="190"/>
      <c r="M304" s="192" t="s">
        <v>84</v>
      </c>
      <c r="N304" s="27" t="s">
        <v>2</v>
      </c>
      <c r="O304" s="28">
        <v>1</v>
      </c>
      <c r="P304" s="28">
        <v>31</v>
      </c>
      <c r="Q304" s="27" t="s">
        <v>66</v>
      </c>
      <c r="R304" s="27"/>
      <c r="S304" s="48"/>
    </row>
    <row r="305" spans="2:19" x14ac:dyDescent="0.25">
      <c r="B305" s="190"/>
      <c r="C305" s="193"/>
      <c r="D305" s="27" t="s">
        <v>3</v>
      </c>
      <c r="E305" s="28">
        <v>2</v>
      </c>
      <c r="F305" s="28">
        <v>32</v>
      </c>
      <c r="G305" s="27" t="s">
        <v>66</v>
      </c>
      <c r="H305" s="27"/>
      <c r="I305" s="48"/>
      <c r="L305" s="190"/>
      <c r="M305" s="193"/>
      <c r="N305" s="27" t="s">
        <v>3</v>
      </c>
      <c r="O305" s="28">
        <v>2</v>
      </c>
      <c r="P305" s="28">
        <v>32</v>
      </c>
      <c r="Q305" s="27" t="s">
        <v>66</v>
      </c>
      <c r="R305" s="27"/>
      <c r="S305" s="48"/>
    </row>
    <row r="306" spans="2:19" x14ac:dyDescent="0.25">
      <c r="B306" s="190"/>
      <c r="C306" s="193"/>
      <c r="D306" s="27" t="s">
        <v>80</v>
      </c>
      <c r="E306" s="28">
        <v>3</v>
      </c>
      <c r="F306" s="28">
        <v>33</v>
      </c>
      <c r="G306" s="27" t="s">
        <v>66</v>
      </c>
      <c r="H306" s="27"/>
      <c r="I306" s="48"/>
      <c r="L306" s="190"/>
      <c r="M306" s="193"/>
      <c r="N306" s="27" t="s">
        <v>80</v>
      </c>
      <c r="O306" s="28">
        <v>3</v>
      </c>
      <c r="P306" s="28">
        <v>33</v>
      </c>
      <c r="Q306" s="27" t="s">
        <v>66</v>
      </c>
      <c r="R306" s="27"/>
      <c r="S306" s="48"/>
    </row>
    <row r="307" spans="2:19" x14ac:dyDescent="0.25">
      <c r="B307" s="190"/>
      <c r="C307" s="193"/>
      <c r="D307" s="27" t="s">
        <v>81</v>
      </c>
      <c r="E307" s="28">
        <v>4</v>
      </c>
      <c r="F307" s="28">
        <v>34</v>
      </c>
      <c r="G307" s="27" t="s">
        <v>66</v>
      </c>
      <c r="H307" s="27"/>
      <c r="I307" s="48"/>
      <c r="L307" s="190"/>
      <c r="M307" s="193"/>
      <c r="N307" s="27" t="s">
        <v>81</v>
      </c>
      <c r="O307" s="28">
        <v>4</v>
      </c>
      <c r="P307" s="28">
        <v>34</v>
      </c>
      <c r="Q307" s="27" t="s">
        <v>66</v>
      </c>
      <c r="R307" s="27"/>
      <c r="S307" s="48"/>
    </row>
    <row r="308" spans="2:19" x14ac:dyDescent="0.25">
      <c r="B308" s="190"/>
      <c r="C308" s="193"/>
      <c r="D308" s="27" t="s">
        <v>82</v>
      </c>
      <c r="E308" s="28">
        <v>5</v>
      </c>
      <c r="F308" s="28">
        <v>35</v>
      </c>
      <c r="G308" s="27" t="s">
        <v>66</v>
      </c>
      <c r="H308" s="27"/>
      <c r="I308" s="48"/>
      <c r="L308" s="190"/>
      <c r="M308" s="193"/>
      <c r="N308" s="27" t="s">
        <v>82</v>
      </c>
      <c r="O308" s="28">
        <v>5</v>
      </c>
      <c r="P308" s="28">
        <v>35</v>
      </c>
      <c r="Q308" s="27" t="s">
        <v>66</v>
      </c>
      <c r="R308" s="27"/>
      <c r="S308" s="48"/>
    </row>
    <row r="309" spans="2:19" ht="15.75" thickBot="1" x14ac:dyDescent="0.3">
      <c r="B309" s="191"/>
      <c r="C309" s="194"/>
      <c r="D309" s="27" t="s">
        <v>83</v>
      </c>
      <c r="E309" s="28">
        <v>6</v>
      </c>
      <c r="F309" s="28">
        <v>36</v>
      </c>
      <c r="G309" s="27" t="s">
        <v>66</v>
      </c>
      <c r="H309" s="27"/>
      <c r="I309" s="48"/>
      <c r="L309" s="191"/>
      <c r="M309" s="194"/>
      <c r="N309" s="27" t="s">
        <v>83</v>
      </c>
      <c r="O309" s="28">
        <v>6</v>
      </c>
      <c r="P309" s="28">
        <v>36</v>
      </c>
      <c r="Q309" s="27" t="s">
        <v>66</v>
      </c>
      <c r="R309" s="27"/>
      <c r="S309" s="48"/>
    </row>
    <row r="310" spans="2:19" x14ac:dyDescent="0.25">
      <c r="B310" s="183" t="s">
        <v>81</v>
      </c>
      <c r="C310" s="186" t="s">
        <v>77</v>
      </c>
      <c r="D310" s="29" t="s">
        <v>2</v>
      </c>
      <c r="E310" s="30">
        <v>1</v>
      </c>
      <c r="F310" s="30">
        <v>37</v>
      </c>
      <c r="G310" s="29" t="s">
        <v>66</v>
      </c>
      <c r="H310" s="29"/>
      <c r="I310" s="49"/>
      <c r="L310" s="183" t="s">
        <v>81</v>
      </c>
      <c r="M310" s="186" t="s">
        <v>77</v>
      </c>
      <c r="N310" s="29" t="s">
        <v>2</v>
      </c>
      <c r="O310" s="30">
        <v>1</v>
      </c>
      <c r="P310" s="30">
        <v>37</v>
      </c>
      <c r="Q310" s="29" t="s">
        <v>66</v>
      </c>
      <c r="R310" s="29"/>
      <c r="S310" s="49"/>
    </row>
    <row r="311" spans="2:19" x14ac:dyDescent="0.25">
      <c r="B311" s="184"/>
      <c r="C311" s="187"/>
      <c r="D311" s="29" t="s">
        <v>3</v>
      </c>
      <c r="E311" s="30">
        <v>2</v>
      </c>
      <c r="F311" s="30">
        <v>38</v>
      </c>
      <c r="G311" s="29" t="s">
        <v>66</v>
      </c>
      <c r="H311" s="29"/>
      <c r="I311" s="49"/>
      <c r="L311" s="184"/>
      <c r="M311" s="187"/>
      <c r="N311" s="29" t="s">
        <v>3</v>
      </c>
      <c r="O311" s="30">
        <v>2</v>
      </c>
      <c r="P311" s="30">
        <v>38</v>
      </c>
      <c r="Q311" s="29" t="s">
        <v>66</v>
      </c>
      <c r="R311" s="29"/>
      <c r="S311" s="49"/>
    </row>
    <row r="312" spans="2:19" x14ac:dyDescent="0.25">
      <c r="B312" s="184"/>
      <c r="C312" s="187"/>
      <c r="D312" s="29" t="s">
        <v>80</v>
      </c>
      <c r="E312" s="30">
        <v>3</v>
      </c>
      <c r="F312" s="30">
        <v>39</v>
      </c>
      <c r="G312" s="29" t="s">
        <v>66</v>
      </c>
      <c r="H312" s="29"/>
      <c r="I312" s="49"/>
      <c r="L312" s="184"/>
      <c r="M312" s="187"/>
      <c r="N312" s="29" t="s">
        <v>80</v>
      </c>
      <c r="O312" s="30">
        <v>3</v>
      </c>
      <c r="P312" s="30">
        <v>39</v>
      </c>
      <c r="Q312" s="29" t="s">
        <v>66</v>
      </c>
      <c r="R312" s="29"/>
      <c r="S312" s="49"/>
    </row>
    <row r="313" spans="2:19" x14ac:dyDescent="0.25">
      <c r="B313" s="184"/>
      <c r="C313" s="187"/>
      <c r="D313" s="29" t="s">
        <v>81</v>
      </c>
      <c r="E313" s="30">
        <v>4</v>
      </c>
      <c r="F313" s="30">
        <v>40</v>
      </c>
      <c r="G313" s="29" t="s">
        <v>66</v>
      </c>
      <c r="H313" s="29"/>
      <c r="I313" s="49"/>
      <c r="L313" s="184"/>
      <c r="M313" s="187"/>
      <c r="N313" s="29" t="s">
        <v>81</v>
      </c>
      <c r="O313" s="30">
        <v>4</v>
      </c>
      <c r="P313" s="30">
        <v>40</v>
      </c>
      <c r="Q313" s="29" t="s">
        <v>66</v>
      </c>
      <c r="R313" s="29"/>
      <c r="S313" s="49"/>
    </row>
    <row r="314" spans="2:19" x14ac:dyDescent="0.25">
      <c r="B314" s="184"/>
      <c r="C314" s="187"/>
      <c r="D314" s="29" t="s">
        <v>82</v>
      </c>
      <c r="E314" s="30">
        <v>5</v>
      </c>
      <c r="F314" s="30">
        <v>41</v>
      </c>
      <c r="G314" s="29" t="s">
        <v>66</v>
      </c>
      <c r="H314" s="29"/>
      <c r="I314" s="49"/>
      <c r="L314" s="184"/>
      <c r="M314" s="187"/>
      <c r="N314" s="29" t="s">
        <v>82</v>
      </c>
      <c r="O314" s="30">
        <v>5</v>
      </c>
      <c r="P314" s="30">
        <v>41</v>
      </c>
      <c r="Q314" s="29" t="s">
        <v>66</v>
      </c>
      <c r="R314" s="29"/>
      <c r="S314" s="49"/>
    </row>
    <row r="315" spans="2:19" ht="15.75" thickBot="1" x14ac:dyDescent="0.3">
      <c r="B315" s="184"/>
      <c r="C315" s="188"/>
      <c r="D315" s="29" t="s">
        <v>83</v>
      </c>
      <c r="E315" s="30">
        <v>6</v>
      </c>
      <c r="F315" s="30">
        <v>42</v>
      </c>
      <c r="G315" s="29" t="s">
        <v>66</v>
      </c>
      <c r="H315" s="29"/>
      <c r="I315" s="49"/>
      <c r="L315" s="184"/>
      <c r="M315" s="188"/>
      <c r="N315" s="29" t="s">
        <v>83</v>
      </c>
      <c r="O315" s="30">
        <v>6</v>
      </c>
      <c r="P315" s="30">
        <v>42</v>
      </c>
      <c r="Q315" s="29" t="s">
        <v>66</v>
      </c>
      <c r="R315" s="29"/>
      <c r="S315" s="49"/>
    </row>
    <row r="316" spans="2:19" x14ac:dyDescent="0.25">
      <c r="B316" s="184"/>
      <c r="C316" s="186" t="s">
        <v>84</v>
      </c>
      <c r="D316" s="29" t="s">
        <v>2</v>
      </c>
      <c r="E316" s="30">
        <v>1</v>
      </c>
      <c r="F316" s="30">
        <v>43</v>
      </c>
      <c r="G316" s="29" t="s">
        <v>66</v>
      </c>
      <c r="H316" s="29"/>
      <c r="I316" s="49"/>
      <c r="L316" s="184"/>
      <c r="M316" s="186" t="s">
        <v>84</v>
      </c>
      <c r="N316" s="29" t="s">
        <v>2</v>
      </c>
      <c r="O316" s="30">
        <v>1</v>
      </c>
      <c r="P316" s="30">
        <v>43</v>
      </c>
      <c r="Q316" s="29" t="s">
        <v>66</v>
      </c>
      <c r="R316" s="29"/>
      <c r="S316" s="49"/>
    </row>
    <row r="317" spans="2:19" x14ac:dyDescent="0.25">
      <c r="B317" s="184"/>
      <c r="C317" s="187"/>
      <c r="D317" s="29" t="s">
        <v>3</v>
      </c>
      <c r="E317" s="30">
        <v>2</v>
      </c>
      <c r="F317" s="30">
        <v>44</v>
      </c>
      <c r="G317" s="29" t="s">
        <v>66</v>
      </c>
      <c r="H317" s="29"/>
      <c r="I317" s="49"/>
      <c r="L317" s="184"/>
      <c r="M317" s="187"/>
      <c r="N317" s="29" t="s">
        <v>3</v>
      </c>
      <c r="O317" s="30">
        <v>2</v>
      </c>
      <c r="P317" s="30">
        <v>44</v>
      </c>
      <c r="Q317" s="29" t="s">
        <v>66</v>
      </c>
      <c r="R317" s="29"/>
      <c r="S317" s="49"/>
    </row>
    <row r="318" spans="2:19" x14ac:dyDescent="0.25">
      <c r="B318" s="184"/>
      <c r="C318" s="187"/>
      <c r="D318" s="29" t="s">
        <v>80</v>
      </c>
      <c r="E318" s="30">
        <v>3</v>
      </c>
      <c r="F318" s="30">
        <v>45</v>
      </c>
      <c r="G318" s="29" t="s">
        <v>66</v>
      </c>
      <c r="H318" s="29"/>
      <c r="I318" s="49"/>
      <c r="L318" s="184"/>
      <c r="M318" s="187"/>
      <c r="N318" s="29" t="s">
        <v>80</v>
      </c>
      <c r="O318" s="30">
        <v>3</v>
      </c>
      <c r="P318" s="30">
        <v>45</v>
      </c>
      <c r="Q318" s="29" t="s">
        <v>66</v>
      </c>
      <c r="R318" s="29"/>
      <c r="S318" s="49"/>
    </row>
    <row r="319" spans="2:19" x14ac:dyDescent="0.25">
      <c r="B319" s="184"/>
      <c r="C319" s="187"/>
      <c r="D319" s="29" t="s">
        <v>81</v>
      </c>
      <c r="E319" s="30">
        <v>4</v>
      </c>
      <c r="F319" s="30">
        <v>46</v>
      </c>
      <c r="G319" s="29" t="s">
        <v>66</v>
      </c>
      <c r="H319" s="29"/>
      <c r="I319" s="49"/>
      <c r="L319" s="184"/>
      <c r="M319" s="187"/>
      <c r="N319" s="29" t="s">
        <v>81</v>
      </c>
      <c r="O319" s="30">
        <v>4</v>
      </c>
      <c r="P319" s="30">
        <v>46</v>
      </c>
      <c r="Q319" s="29" t="s">
        <v>66</v>
      </c>
      <c r="R319" s="29"/>
      <c r="S319" s="49"/>
    </row>
    <row r="320" spans="2:19" x14ac:dyDescent="0.25">
      <c r="B320" s="184"/>
      <c r="C320" s="187"/>
      <c r="D320" s="29" t="s">
        <v>82</v>
      </c>
      <c r="E320" s="30">
        <v>5</v>
      </c>
      <c r="F320" s="30">
        <v>47</v>
      </c>
      <c r="G320" s="29" t="s">
        <v>66</v>
      </c>
      <c r="H320" s="29"/>
      <c r="I320" s="49"/>
      <c r="L320" s="184"/>
      <c r="M320" s="187"/>
      <c r="N320" s="29" t="s">
        <v>82</v>
      </c>
      <c r="O320" s="30">
        <v>5</v>
      </c>
      <c r="P320" s="30">
        <v>47</v>
      </c>
      <c r="Q320" s="29" t="s">
        <v>66</v>
      </c>
      <c r="R320" s="29"/>
      <c r="S320" s="49"/>
    </row>
    <row r="321" spans="2:19" ht="15.75" thickBot="1" x14ac:dyDescent="0.3">
      <c r="B321" s="185"/>
      <c r="C321" s="188"/>
      <c r="D321" s="29" t="s">
        <v>83</v>
      </c>
      <c r="E321" s="30">
        <v>6</v>
      </c>
      <c r="F321" s="30">
        <v>48</v>
      </c>
      <c r="G321" s="29" t="s">
        <v>66</v>
      </c>
      <c r="H321" s="29"/>
      <c r="I321" s="49"/>
      <c r="L321" s="185"/>
      <c r="M321" s="188"/>
      <c r="N321" s="29" t="s">
        <v>83</v>
      </c>
      <c r="O321" s="30">
        <v>6</v>
      </c>
      <c r="P321" s="30">
        <v>48</v>
      </c>
      <c r="Q321" s="29" t="s">
        <v>66</v>
      </c>
      <c r="R321" s="29"/>
      <c r="S321" s="49"/>
    </row>
    <row r="323" spans="2:19" ht="15.75" thickBot="1" x14ac:dyDescent="0.3"/>
    <row r="324" spans="2:19" ht="15.75" thickBot="1" x14ac:dyDescent="0.3">
      <c r="B324" s="171" t="s">
        <v>396</v>
      </c>
      <c r="C324" s="172"/>
      <c r="D324" s="172"/>
      <c r="E324" s="172"/>
      <c r="F324" s="172"/>
      <c r="G324" s="172"/>
      <c r="H324" s="172"/>
      <c r="I324" s="173"/>
      <c r="L324" s="171" t="s">
        <v>397</v>
      </c>
      <c r="M324" s="172"/>
      <c r="N324" s="172"/>
      <c r="O324" s="172"/>
      <c r="P324" s="172"/>
      <c r="Q324" s="172"/>
      <c r="R324" s="172"/>
      <c r="S324" s="173"/>
    </row>
    <row r="326" spans="2:19" ht="26.25" thickBot="1" x14ac:dyDescent="0.3">
      <c r="B326" s="15" t="s">
        <v>70</v>
      </c>
      <c r="C326" s="16" t="s">
        <v>71</v>
      </c>
      <c r="D326" s="15" t="s">
        <v>72</v>
      </c>
      <c r="E326" s="17" t="s">
        <v>73</v>
      </c>
      <c r="F326" s="17" t="s">
        <v>74</v>
      </c>
      <c r="G326" s="15" t="s">
        <v>75</v>
      </c>
      <c r="H326" s="15" t="s">
        <v>55</v>
      </c>
      <c r="I326" s="15" t="s">
        <v>76</v>
      </c>
      <c r="L326" s="15" t="s">
        <v>70</v>
      </c>
      <c r="M326" s="16" t="s">
        <v>71</v>
      </c>
      <c r="N326" s="15" t="s">
        <v>72</v>
      </c>
      <c r="O326" s="17" t="s">
        <v>73</v>
      </c>
      <c r="P326" s="17" t="s">
        <v>74</v>
      </c>
      <c r="Q326" s="15" t="s">
        <v>75</v>
      </c>
      <c r="R326" s="15" t="s">
        <v>55</v>
      </c>
      <c r="S326" s="15" t="s">
        <v>76</v>
      </c>
    </row>
    <row r="327" spans="2:19" x14ac:dyDescent="0.25">
      <c r="B327" s="174" t="s">
        <v>2</v>
      </c>
      <c r="C327" s="168" t="s">
        <v>77</v>
      </c>
      <c r="D327" s="18" t="s">
        <v>2</v>
      </c>
      <c r="E327" s="19">
        <v>1</v>
      </c>
      <c r="F327" s="19">
        <v>1</v>
      </c>
      <c r="G327" s="18" t="s">
        <v>66</v>
      </c>
      <c r="H327" s="32"/>
      <c r="I327" s="50"/>
      <c r="L327" s="174" t="s">
        <v>2</v>
      </c>
      <c r="M327" s="168" t="s">
        <v>77</v>
      </c>
      <c r="N327" s="18" t="s">
        <v>2</v>
      </c>
      <c r="O327" s="19">
        <v>1</v>
      </c>
      <c r="P327" s="19">
        <v>1</v>
      </c>
      <c r="Q327" s="18" t="s">
        <v>66</v>
      </c>
      <c r="R327" s="32"/>
      <c r="S327" s="50"/>
    </row>
    <row r="328" spans="2:19" x14ac:dyDescent="0.25">
      <c r="B328" s="175"/>
      <c r="C328" s="169"/>
      <c r="D328" s="18" t="s">
        <v>3</v>
      </c>
      <c r="E328" s="19">
        <v>2</v>
      </c>
      <c r="F328" s="19">
        <v>2</v>
      </c>
      <c r="G328" s="18" t="s">
        <v>66</v>
      </c>
      <c r="H328" s="32"/>
      <c r="I328" s="50"/>
      <c r="L328" s="175"/>
      <c r="M328" s="169"/>
      <c r="N328" s="18" t="s">
        <v>3</v>
      </c>
      <c r="O328" s="19">
        <v>2</v>
      </c>
      <c r="P328" s="19">
        <v>2</v>
      </c>
      <c r="Q328" s="18" t="s">
        <v>66</v>
      </c>
      <c r="R328" s="32"/>
      <c r="S328" s="50"/>
    </row>
    <row r="329" spans="2:19" x14ac:dyDescent="0.25">
      <c r="B329" s="175"/>
      <c r="C329" s="169"/>
      <c r="D329" s="18" t="s">
        <v>80</v>
      </c>
      <c r="E329" s="20">
        <v>3</v>
      </c>
      <c r="F329" s="20">
        <v>3</v>
      </c>
      <c r="G329" s="18" t="s">
        <v>66</v>
      </c>
      <c r="H329" s="32"/>
      <c r="I329" s="50"/>
      <c r="L329" s="175"/>
      <c r="M329" s="169"/>
      <c r="N329" s="18" t="s">
        <v>80</v>
      </c>
      <c r="O329" s="20">
        <v>3</v>
      </c>
      <c r="P329" s="20">
        <v>3</v>
      </c>
      <c r="Q329" s="18" t="s">
        <v>66</v>
      </c>
      <c r="R329" s="32"/>
      <c r="S329" s="50"/>
    </row>
    <row r="330" spans="2:19" x14ac:dyDescent="0.25">
      <c r="B330" s="175"/>
      <c r="C330" s="169"/>
      <c r="D330" s="18" t="s">
        <v>81</v>
      </c>
      <c r="E330" s="20">
        <v>4</v>
      </c>
      <c r="F330" s="20">
        <v>4</v>
      </c>
      <c r="G330" s="18" t="s">
        <v>66</v>
      </c>
      <c r="H330" s="32"/>
      <c r="I330" s="50"/>
      <c r="L330" s="175"/>
      <c r="M330" s="169"/>
      <c r="N330" s="18" t="s">
        <v>81</v>
      </c>
      <c r="O330" s="20">
        <v>4</v>
      </c>
      <c r="P330" s="20">
        <v>4</v>
      </c>
      <c r="Q330" s="18" t="s">
        <v>66</v>
      </c>
      <c r="R330" s="32"/>
      <c r="S330" s="50"/>
    </row>
    <row r="331" spans="2:19" x14ac:dyDescent="0.25">
      <c r="B331" s="175"/>
      <c r="C331" s="169"/>
      <c r="D331" s="18" t="s">
        <v>82</v>
      </c>
      <c r="E331" s="20">
        <v>5</v>
      </c>
      <c r="F331" s="20">
        <v>5</v>
      </c>
      <c r="G331" s="18" t="s">
        <v>66</v>
      </c>
      <c r="H331" s="32"/>
      <c r="I331" s="50"/>
      <c r="L331" s="175"/>
      <c r="M331" s="169"/>
      <c r="N331" s="18" t="s">
        <v>82</v>
      </c>
      <c r="O331" s="20">
        <v>5</v>
      </c>
      <c r="P331" s="20">
        <v>5</v>
      </c>
      <c r="Q331" s="18" t="s">
        <v>66</v>
      </c>
      <c r="R331" s="32"/>
      <c r="S331" s="50"/>
    </row>
    <row r="332" spans="2:19" ht="15.75" thickBot="1" x14ac:dyDescent="0.3">
      <c r="B332" s="175"/>
      <c r="C332" s="170"/>
      <c r="D332" s="18" t="s">
        <v>83</v>
      </c>
      <c r="E332" s="20">
        <v>6</v>
      </c>
      <c r="F332" s="20">
        <v>6</v>
      </c>
      <c r="G332" s="18" t="s">
        <v>66</v>
      </c>
      <c r="H332" s="32"/>
      <c r="I332" s="50"/>
      <c r="L332" s="175"/>
      <c r="M332" s="170"/>
      <c r="N332" s="18" t="s">
        <v>83</v>
      </c>
      <c r="O332" s="20">
        <v>6</v>
      </c>
      <c r="P332" s="20">
        <v>6</v>
      </c>
      <c r="Q332" s="18" t="s">
        <v>66</v>
      </c>
      <c r="R332" s="32"/>
      <c r="S332" s="50"/>
    </row>
    <row r="333" spans="2:19" x14ac:dyDescent="0.25">
      <c r="B333" s="175"/>
      <c r="C333" s="168" t="s">
        <v>84</v>
      </c>
      <c r="D333" s="18" t="s">
        <v>2</v>
      </c>
      <c r="E333" s="19">
        <v>1</v>
      </c>
      <c r="F333" s="19">
        <v>7</v>
      </c>
      <c r="G333" s="18" t="s">
        <v>78</v>
      </c>
      <c r="H333" s="156" t="s">
        <v>384</v>
      </c>
      <c r="I333" s="165" t="s">
        <v>215</v>
      </c>
      <c r="L333" s="175"/>
      <c r="M333" s="168" t="s">
        <v>84</v>
      </c>
      <c r="N333" s="18" t="s">
        <v>2</v>
      </c>
      <c r="O333" s="19">
        <v>1</v>
      </c>
      <c r="P333" s="19">
        <v>7</v>
      </c>
      <c r="Q333" s="18" t="s">
        <v>78</v>
      </c>
      <c r="R333" s="156" t="s">
        <v>384</v>
      </c>
      <c r="S333" s="165" t="s">
        <v>217</v>
      </c>
    </row>
    <row r="334" spans="2:19" x14ac:dyDescent="0.25">
      <c r="B334" s="175"/>
      <c r="C334" s="169"/>
      <c r="D334" s="18" t="s">
        <v>3</v>
      </c>
      <c r="E334" s="19">
        <v>2</v>
      </c>
      <c r="F334" s="19">
        <v>8</v>
      </c>
      <c r="G334" s="18" t="s">
        <v>78</v>
      </c>
      <c r="H334" s="157"/>
      <c r="I334" s="166"/>
      <c r="L334" s="175"/>
      <c r="M334" s="169"/>
      <c r="N334" s="18" t="s">
        <v>3</v>
      </c>
      <c r="O334" s="19">
        <v>2</v>
      </c>
      <c r="P334" s="19">
        <v>8</v>
      </c>
      <c r="Q334" s="18" t="s">
        <v>78</v>
      </c>
      <c r="R334" s="157"/>
      <c r="S334" s="166"/>
    </row>
    <row r="335" spans="2:19" x14ac:dyDescent="0.25">
      <c r="B335" s="175"/>
      <c r="C335" s="169"/>
      <c r="D335" s="18" t="s">
        <v>80</v>
      </c>
      <c r="E335" s="20">
        <v>3</v>
      </c>
      <c r="F335" s="20">
        <v>9</v>
      </c>
      <c r="G335" s="18" t="s">
        <v>66</v>
      </c>
      <c r="H335" s="157"/>
      <c r="I335" s="166"/>
      <c r="L335" s="175"/>
      <c r="M335" s="169"/>
      <c r="N335" s="18" t="s">
        <v>80</v>
      </c>
      <c r="O335" s="20">
        <v>3</v>
      </c>
      <c r="P335" s="20">
        <v>9</v>
      </c>
      <c r="Q335" s="18" t="s">
        <v>66</v>
      </c>
      <c r="R335" s="157"/>
      <c r="S335" s="166"/>
    </row>
    <row r="336" spans="2:19" x14ac:dyDescent="0.25">
      <c r="B336" s="175"/>
      <c r="C336" s="169"/>
      <c r="D336" s="18" t="s">
        <v>81</v>
      </c>
      <c r="E336" s="20">
        <v>4</v>
      </c>
      <c r="F336" s="20">
        <v>10</v>
      </c>
      <c r="G336" s="18" t="s">
        <v>66</v>
      </c>
      <c r="H336" s="157"/>
      <c r="I336" s="166"/>
      <c r="L336" s="175"/>
      <c r="M336" s="169"/>
      <c r="N336" s="18" t="s">
        <v>81</v>
      </c>
      <c r="O336" s="20">
        <v>4</v>
      </c>
      <c r="P336" s="20">
        <v>10</v>
      </c>
      <c r="Q336" s="18" t="s">
        <v>66</v>
      </c>
      <c r="R336" s="157"/>
      <c r="S336" s="166"/>
    </row>
    <row r="337" spans="2:19" x14ac:dyDescent="0.25">
      <c r="B337" s="175"/>
      <c r="C337" s="169"/>
      <c r="D337" s="18" t="s">
        <v>82</v>
      </c>
      <c r="E337" s="20">
        <v>5</v>
      </c>
      <c r="F337" s="20">
        <v>11</v>
      </c>
      <c r="G337" s="18" t="s">
        <v>66</v>
      </c>
      <c r="H337" s="157"/>
      <c r="I337" s="166"/>
      <c r="L337" s="175"/>
      <c r="M337" s="169"/>
      <c r="N337" s="18" t="s">
        <v>82</v>
      </c>
      <c r="O337" s="20">
        <v>5</v>
      </c>
      <c r="P337" s="20">
        <v>11</v>
      </c>
      <c r="Q337" s="18" t="s">
        <v>66</v>
      </c>
      <c r="R337" s="157"/>
      <c r="S337" s="166"/>
    </row>
    <row r="338" spans="2:19" ht="15.75" thickBot="1" x14ac:dyDescent="0.3">
      <c r="B338" s="176"/>
      <c r="C338" s="170"/>
      <c r="D338" s="18" t="s">
        <v>83</v>
      </c>
      <c r="E338" s="20">
        <v>6</v>
      </c>
      <c r="F338" s="20">
        <v>12</v>
      </c>
      <c r="G338" s="18" t="s">
        <v>66</v>
      </c>
      <c r="H338" s="158"/>
      <c r="I338" s="167"/>
      <c r="L338" s="176"/>
      <c r="M338" s="170"/>
      <c r="N338" s="18" t="s">
        <v>83</v>
      </c>
      <c r="O338" s="20">
        <v>6</v>
      </c>
      <c r="P338" s="20">
        <v>12</v>
      </c>
      <c r="Q338" s="18" t="s">
        <v>66</v>
      </c>
      <c r="R338" s="158"/>
      <c r="S338" s="167"/>
    </row>
    <row r="339" spans="2:19" x14ac:dyDescent="0.25">
      <c r="B339" s="180" t="s">
        <v>3</v>
      </c>
      <c r="C339" s="177" t="s">
        <v>77</v>
      </c>
      <c r="D339" s="21" t="s">
        <v>2</v>
      </c>
      <c r="E339" s="22">
        <v>1</v>
      </c>
      <c r="F339" s="22">
        <v>13</v>
      </c>
      <c r="G339" s="21" t="s">
        <v>66</v>
      </c>
      <c r="H339" s="21"/>
      <c r="I339" s="51"/>
      <c r="L339" s="180" t="s">
        <v>3</v>
      </c>
      <c r="M339" s="177" t="s">
        <v>77</v>
      </c>
      <c r="N339" s="21" t="s">
        <v>2</v>
      </c>
      <c r="O339" s="22">
        <v>1</v>
      </c>
      <c r="P339" s="22">
        <v>13</v>
      </c>
      <c r="Q339" s="21" t="s">
        <v>66</v>
      </c>
      <c r="R339" s="21"/>
      <c r="S339" s="51"/>
    </row>
    <row r="340" spans="2:19" x14ac:dyDescent="0.25">
      <c r="B340" s="181"/>
      <c r="C340" s="178"/>
      <c r="D340" s="23" t="s">
        <v>3</v>
      </c>
      <c r="E340" s="24">
        <v>2</v>
      </c>
      <c r="F340" s="24">
        <v>14</v>
      </c>
      <c r="G340" s="23" t="s">
        <v>66</v>
      </c>
      <c r="H340" s="23"/>
      <c r="I340" s="47"/>
      <c r="L340" s="181"/>
      <c r="M340" s="178"/>
      <c r="N340" s="23" t="s">
        <v>3</v>
      </c>
      <c r="O340" s="24">
        <v>2</v>
      </c>
      <c r="P340" s="24">
        <v>14</v>
      </c>
      <c r="Q340" s="23" t="s">
        <v>66</v>
      </c>
      <c r="R340" s="23"/>
      <c r="S340" s="47"/>
    </row>
    <row r="341" spans="2:19" x14ac:dyDescent="0.25">
      <c r="B341" s="181"/>
      <c r="C341" s="178"/>
      <c r="D341" s="23" t="s">
        <v>80</v>
      </c>
      <c r="E341" s="24">
        <v>3</v>
      </c>
      <c r="F341" s="24">
        <v>15</v>
      </c>
      <c r="G341" s="23" t="s">
        <v>66</v>
      </c>
      <c r="H341" s="23"/>
      <c r="I341" s="47"/>
      <c r="L341" s="181"/>
      <c r="M341" s="178"/>
      <c r="N341" s="23" t="s">
        <v>80</v>
      </c>
      <c r="O341" s="24">
        <v>3</v>
      </c>
      <c r="P341" s="24">
        <v>15</v>
      </c>
      <c r="Q341" s="23" t="s">
        <v>66</v>
      </c>
      <c r="R341" s="23"/>
      <c r="S341" s="47"/>
    </row>
    <row r="342" spans="2:19" x14ac:dyDescent="0.25">
      <c r="B342" s="181"/>
      <c r="C342" s="178"/>
      <c r="D342" s="23" t="s">
        <v>81</v>
      </c>
      <c r="E342" s="24">
        <v>4</v>
      </c>
      <c r="F342" s="24">
        <v>16</v>
      </c>
      <c r="G342" s="23" t="s">
        <v>66</v>
      </c>
      <c r="H342" s="23"/>
      <c r="I342" s="47"/>
      <c r="L342" s="181"/>
      <c r="M342" s="178"/>
      <c r="N342" s="23" t="s">
        <v>81</v>
      </c>
      <c r="O342" s="24">
        <v>4</v>
      </c>
      <c r="P342" s="24">
        <v>16</v>
      </c>
      <c r="Q342" s="23" t="s">
        <v>66</v>
      </c>
      <c r="R342" s="23"/>
      <c r="S342" s="47"/>
    </row>
    <row r="343" spans="2:19" x14ac:dyDescent="0.25">
      <c r="B343" s="181"/>
      <c r="C343" s="178"/>
      <c r="D343" s="23" t="s">
        <v>82</v>
      </c>
      <c r="E343" s="24">
        <v>5</v>
      </c>
      <c r="F343" s="24">
        <v>17</v>
      </c>
      <c r="G343" s="23" t="s">
        <v>66</v>
      </c>
      <c r="H343" s="23"/>
      <c r="I343" s="47"/>
      <c r="L343" s="181"/>
      <c r="M343" s="178"/>
      <c r="N343" s="23" t="s">
        <v>82</v>
      </c>
      <c r="O343" s="24">
        <v>5</v>
      </c>
      <c r="P343" s="24">
        <v>17</v>
      </c>
      <c r="Q343" s="23" t="s">
        <v>66</v>
      </c>
      <c r="R343" s="23"/>
      <c r="S343" s="47"/>
    </row>
    <row r="344" spans="2:19" ht="15.75" thickBot="1" x14ac:dyDescent="0.3">
      <c r="B344" s="181"/>
      <c r="C344" s="179"/>
      <c r="D344" s="23" t="s">
        <v>83</v>
      </c>
      <c r="E344" s="24">
        <v>6</v>
      </c>
      <c r="F344" s="24">
        <v>18</v>
      </c>
      <c r="G344" s="23" t="s">
        <v>66</v>
      </c>
      <c r="H344" s="23"/>
      <c r="I344" s="47"/>
      <c r="L344" s="181"/>
      <c r="M344" s="179"/>
      <c r="N344" s="23" t="s">
        <v>83</v>
      </c>
      <c r="O344" s="24">
        <v>6</v>
      </c>
      <c r="P344" s="24">
        <v>18</v>
      </c>
      <c r="Q344" s="23" t="s">
        <v>66</v>
      </c>
      <c r="R344" s="23"/>
      <c r="S344" s="47"/>
    </row>
    <row r="345" spans="2:19" x14ac:dyDescent="0.25">
      <c r="B345" s="181"/>
      <c r="C345" s="177" t="s">
        <v>84</v>
      </c>
      <c r="D345" s="23" t="s">
        <v>2</v>
      </c>
      <c r="E345" s="24">
        <v>1</v>
      </c>
      <c r="F345" s="24">
        <v>19</v>
      </c>
      <c r="G345" s="23" t="s">
        <v>66</v>
      </c>
      <c r="H345" s="23"/>
      <c r="I345" s="47"/>
      <c r="L345" s="181"/>
      <c r="M345" s="177" t="s">
        <v>84</v>
      </c>
      <c r="N345" s="23" t="s">
        <v>2</v>
      </c>
      <c r="O345" s="24">
        <v>1</v>
      </c>
      <c r="P345" s="24">
        <v>19</v>
      </c>
      <c r="Q345" s="23" t="s">
        <v>66</v>
      </c>
      <c r="R345" s="23"/>
      <c r="S345" s="47"/>
    </row>
    <row r="346" spans="2:19" x14ac:dyDescent="0.25">
      <c r="B346" s="181"/>
      <c r="C346" s="178"/>
      <c r="D346" s="23" t="s">
        <v>3</v>
      </c>
      <c r="E346" s="24">
        <v>2</v>
      </c>
      <c r="F346" s="24">
        <v>20</v>
      </c>
      <c r="G346" s="23" t="s">
        <v>66</v>
      </c>
      <c r="H346" s="23"/>
      <c r="I346" s="47"/>
      <c r="L346" s="181"/>
      <c r="M346" s="178"/>
      <c r="N346" s="23" t="s">
        <v>3</v>
      </c>
      <c r="O346" s="24">
        <v>2</v>
      </c>
      <c r="P346" s="24">
        <v>20</v>
      </c>
      <c r="Q346" s="23" t="s">
        <v>66</v>
      </c>
      <c r="R346" s="23"/>
      <c r="S346" s="47"/>
    </row>
    <row r="347" spans="2:19" x14ac:dyDescent="0.25">
      <c r="B347" s="181"/>
      <c r="C347" s="178"/>
      <c r="D347" s="23" t="s">
        <v>80</v>
      </c>
      <c r="E347" s="26">
        <v>3</v>
      </c>
      <c r="F347" s="24">
        <v>21</v>
      </c>
      <c r="G347" s="23" t="s">
        <v>66</v>
      </c>
      <c r="H347" s="23"/>
      <c r="I347" s="47"/>
      <c r="L347" s="181"/>
      <c r="M347" s="178"/>
      <c r="N347" s="23" t="s">
        <v>80</v>
      </c>
      <c r="O347" s="26">
        <v>3</v>
      </c>
      <c r="P347" s="24">
        <v>21</v>
      </c>
      <c r="Q347" s="23" t="s">
        <v>66</v>
      </c>
      <c r="R347" s="23"/>
      <c r="S347" s="47"/>
    </row>
    <row r="348" spans="2:19" x14ac:dyDescent="0.25">
      <c r="B348" s="181"/>
      <c r="C348" s="178"/>
      <c r="D348" s="23" t="s">
        <v>81</v>
      </c>
      <c r="E348" s="24">
        <v>4</v>
      </c>
      <c r="F348" s="24">
        <v>22</v>
      </c>
      <c r="G348" s="23" t="s">
        <v>66</v>
      </c>
      <c r="H348" s="23"/>
      <c r="I348" s="47"/>
      <c r="L348" s="181"/>
      <c r="M348" s="178"/>
      <c r="N348" s="23" t="s">
        <v>81</v>
      </c>
      <c r="O348" s="24">
        <v>4</v>
      </c>
      <c r="P348" s="24">
        <v>22</v>
      </c>
      <c r="Q348" s="23" t="s">
        <v>66</v>
      </c>
      <c r="R348" s="23"/>
      <c r="S348" s="47"/>
    </row>
    <row r="349" spans="2:19" x14ac:dyDescent="0.25">
      <c r="B349" s="181"/>
      <c r="C349" s="178"/>
      <c r="D349" s="23" t="s">
        <v>82</v>
      </c>
      <c r="E349" s="24">
        <v>5</v>
      </c>
      <c r="F349" s="24">
        <v>23</v>
      </c>
      <c r="G349" s="23" t="s">
        <v>66</v>
      </c>
      <c r="H349" s="23"/>
      <c r="I349" s="47"/>
      <c r="L349" s="181"/>
      <c r="M349" s="178"/>
      <c r="N349" s="23" t="s">
        <v>82</v>
      </c>
      <c r="O349" s="24">
        <v>5</v>
      </c>
      <c r="P349" s="24">
        <v>23</v>
      </c>
      <c r="Q349" s="23" t="s">
        <v>66</v>
      </c>
      <c r="R349" s="23"/>
      <c r="S349" s="47"/>
    </row>
    <row r="350" spans="2:19" ht="15.75" thickBot="1" x14ac:dyDescent="0.3">
      <c r="B350" s="182"/>
      <c r="C350" s="179"/>
      <c r="D350" s="23" t="s">
        <v>83</v>
      </c>
      <c r="E350" s="24">
        <v>6</v>
      </c>
      <c r="F350" s="24">
        <v>24</v>
      </c>
      <c r="G350" s="23" t="s">
        <v>66</v>
      </c>
      <c r="H350" s="23"/>
      <c r="I350" s="47"/>
      <c r="L350" s="182"/>
      <c r="M350" s="179"/>
      <c r="N350" s="23" t="s">
        <v>83</v>
      </c>
      <c r="O350" s="24">
        <v>6</v>
      </c>
      <c r="P350" s="24">
        <v>24</v>
      </c>
      <c r="Q350" s="23" t="s">
        <v>66</v>
      </c>
      <c r="R350" s="23"/>
      <c r="S350" s="47"/>
    </row>
    <row r="351" spans="2:19" x14ac:dyDescent="0.25">
      <c r="B351" s="189" t="s">
        <v>80</v>
      </c>
      <c r="C351" s="192" t="s">
        <v>77</v>
      </c>
      <c r="D351" s="27" t="s">
        <v>2</v>
      </c>
      <c r="E351" s="28">
        <v>1</v>
      </c>
      <c r="F351" s="28">
        <v>25</v>
      </c>
      <c r="G351" s="27" t="s">
        <v>66</v>
      </c>
      <c r="H351" s="27"/>
      <c r="I351" s="48"/>
      <c r="L351" s="189" t="s">
        <v>80</v>
      </c>
      <c r="M351" s="192" t="s">
        <v>77</v>
      </c>
      <c r="N351" s="27" t="s">
        <v>2</v>
      </c>
      <c r="O351" s="28">
        <v>1</v>
      </c>
      <c r="P351" s="28">
        <v>25</v>
      </c>
      <c r="Q351" s="27" t="s">
        <v>66</v>
      </c>
      <c r="R351" s="27"/>
      <c r="S351" s="48"/>
    </row>
    <row r="352" spans="2:19" x14ac:dyDescent="0.25">
      <c r="B352" s="190"/>
      <c r="C352" s="193"/>
      <c r="D352" s="27" t="s">
        <v>3</v>
      </c>
      <c r="E352" s="28">
        <v>2</v>
      </c>
      <c r="F352" s="28">
        <v>26</v>
      </c>
      <c r="G352" s="27" t="s">
        <v>66</v>
      </c>
      <c r="H352" s="27"/>
      <c r="I352" s="48"/>
      <c r="L352" s="190"/>
      <c r="M352" s="193"/>
      <c r="N352" s="27" t="s">
        <v>3</v>
      </c>
      <c r="O352" s="28">
        <v>2</v>
      </c>
      <c r="P352" s="28">
        <v>26</v>
      </c>
      <c r="Q352" s="27" t="s">
        <v>66</v>
      </c>
      <c r="R352" s="27"/>
      <c r="S352" s="48"/>
    </row>
    <row r="353" spans="2:19" x14ac:dyDescent="0.25">
      <c r="B353" s="190"/>
      <c r="C353" s="193"/>
      <c r="D353" s="27" t="s">
        <v>80</v>
      </c>
      <c r="E353" s="28">
        <v>3</v>
      </c>
      <c r="F353" s="28">
        <v>27</v>
      </c>
      <c r="G353" s="27" t="s">
        <v>66</v>
      </c>
      <c r="H353" s="27"/>
      <c r="I353" s="48"/>
      <c r="L353" s="190"/>
      <c r="M353" s="193"/>
      <c r="N353" s="27" t="s">
        <v>80</v>
      </c>
      <c r="O353" s="28">
        <v>3</v>
      </c>
      <c r="P353" s="28">
        <v>27</v>
      </c>
      <c r="Q353" s="27" t="s">
        <v>66</v>
      </c>
      <c r="R353" s="27"/>
      <c r="S353" s="48"/>
    </row>
    <row r="354" spans="2:19" x14ac:dyDescent="0.25">
      <c r="B354" s="190"/>
      <c r="C354" s="193"/>
      <c r="D354" s="27" t="s">
        <v>81</v>
      </c>
      <c r="E354" s="28">
        <v>4</v>
      </c>
      <c r="F354" s="28">
        <v>28</v>
      </c>
      <c r="G354" s="27" t="s">
        <v>66</v>
      </c>
      <c r="H354" s="27"/>
      <c r="I354" s="48"/>
      <c r="L354" s="190"/>
      <c r="M354" s="193"/>
      <c r="N354" s="27" t="s">
        <v>81</v>
      </c>
      <c r="O354" s="28">
        <v>4</v>
      </c>
      <c r="P354" s="28">
        <v>28</v>
      </c>
      <c r="Q354" s="27" t="s">
        <v>66</v>
      </c>
      <c r="R354" s="27"/>
      <c r="S354" s="48"/>
    </row>
    <row r="355" spans="2:19" x14ac:dyDescent="0.25">
      <c r="B355" s="190"/>
      <c r="C355" s="193"/>
      <c r="D355" s="27" t="s">
        <v>82</v>
      </c>
      <c r="E355" s="28">
        <v>5</v>
      </c>
      <c r="F355" s="28">
        <v>29</v>
      </c>
      <c r="G355" s="27" t="s">
        <v>66</v>
      </c>
      <c r="H355" s="27"/>
      <c r="I355" s="48"/>
      <c r="L355" s="190"/>
      <c r="M355" s="193"/>
      <c r="N355" s="27" t="s">
        <v>82</v>
      </c>
      <c r="O355" s="28">
        <v>5</v>
      </c>
      <c r="P355" s="28">
        <v>29</v>
      </c>
      <c r="Q355" s="27" t="s">
        <v>66</v>
      </c>
      <c r="R355" s="27"/>
      <c r="S355" s="48"/>
    </row>
    <row r="356" spans="2:19" ht="15.75" thickBot="1" x14ac:dyDescent="0.3">
      <c r="B356" s="190"/>
      <c r="C356" s="194"/>
      <c r="D356" s="27" t="s">
        <v>83</v>
      </c>
      <c r="E356" s="28">
        <v>6</v>
      </c>
      <c r="F356" s="28">
        <v>30</v>
      </c>
      <c r="G356" s="27" t="s">
        <v>66</v>
      </c>
      <c r="H356" s="27"/>
      <c r="I356" s="48"/>
      <c r="L356" s="190"/>
      <c r="M356" s="194"/>
      <c r="N356" s="27" t="s">
        <v>83</v>
      </c>
      <c r="O356" s="28">
        <v>6</v>
      </c>
      <c r="P356" s="28">
        <v>30</v>
      </c>
      <c r="Q356" s="27" t="s">
        <v>66</v>
      </c>
      <c r="R356" s="27"/>
      <c r="S356" s="48"/>
    </row>
    <row r="357" spans="2:19" x14ac:dyDescent="0.25">
      <c r="B357" s="190"/>
      <c r="C357" s="192" t="s">
        <v>84</v>
      </c>
      <c r="D357" s="27" t="s">
        <v>2</v>
      </c>
      <c r="E357" s="28">
        <v>1</v>
      </c>
      <c r="F357" s="28">
        <v>31</v>
      </c>
      <c r="G357" s="27" t="s">
        <v>66</v>
      </c>
      <c r="H357" s="27"/>
      <c r="I357" s="48"/>
      <c r="L357" s="190"/>
      <c r="M357" s="192" t="s">
        <v>84</v>
      </c>
      <c r="N357" s="27" t="s">
        <v>2</v>
      </c>
      <c r="O357" s="28">
        <v>1</v>
      </c>
      <c r="P357" s="28">
        <v>31</v>
      </c>
      <c r="Q357" s="27" t="s">
        <v>66</v>
      </c>
      <c r="R357" s="27"/>
      <c r="S357" s="48"/>
    </row>
    <row r="358" spans="2:19" x14ac:dyDescent="0.25">
      <c r="B358" s="190"/>
      <c r="C358" s="193"/>
      <c r="D358" s="27" t="s">
        <v>3</v>
      </c>
      <c r="E358" s="28">
        <v>2</v>
      </c>
      <c r="F358" s="28">
        <v>32</v>
      </c>
      <c r="G358" s="27" t="s">
        <v>66</v>
      </c>
      <c r="H358" s="27"/>
      <c r="I358" s="48"/>
      <c r="L358" s="190"/>
      <c r="M358" s="193"/>
      <c r="N358" s="27" t="s">
        <v>3</v>
      </c>
      <c r="O358" s="28">
        <v>2</v>
      </c>
      <c r="P358" s="28">
        <v>32</v>
      </c>
      <c r="Q358" s="27" t="s">
        <v>66</v>
      </c>
      <c r="R358" s="27"/>
      <c r="S358" s="48"/>
    </row>
    <row r="359" spans="2:19" x14ac:dyDescent="0.25">
      <c r="B359" s="190"/>
      <c r="C359" s="193"/>
      <c r="D359" s="27" t="s">
        <v>80</v>
      </c>
      <c r="E359" s="28">
        <v>3</v>
      </c>
      <c r="F359" s="28">
        <v>33</v>
      </c>
      <c r="G359" s="27" t="s">
        <v>66</v>
      </c>
      <c r="H359" s="27"/>
      <c r="I359" s="48"/>
      <c r="L359" s="190"/>
      <c r="M359" s="193"/>
      <c r="N359" s="27" t="s">
        <v>80</v>
      </c>
      <c r="O359" s="28">
        <v>3</v>
      </c>
      <c r="P359" s="28">
        <v>33</v>
      </c>
      <c r="Q359" s="27" t="s">
        <v>66</v>
      </c>
      <c r="R359" s="27"/>
      <c r="S359" s="48"/>
    </row>
    <row r="360" spans="2:19" x14ac:dyDescent="0.25">
      <c r="B360" s="190"/>
      <c r="C360" s="193"/>
      <c r="D360" s="27" t="s">
        <v>81</v>
      </c>
      <c r="E360" s="28">
        <v>4</v>
      </c>
      <c r="F360" s="28">
        <v>34</v>
      </c>
      <c r="G360" s="27" t="s">
        <v>66</v>
      </c>
      <c r="H360" s="27"/>
      <c r="I360" s="48"/>
      <c r="L360" s="190"/>
      <c r="M360" s="193"/>
      <c r="N360" s="27" t="s">
        <v>81</v>
      </c>
      <c r="O360" s="28">
        <v>4</v>
      </c>
      <c r="P360" s="28">
        <v>34</v>
      </c>
      <c r="Q360" s="27" t="s">
        <v>66</v>
      </c>
      <c r="R360" s="27"/>
      <c r="S360" s="48"/>
    </row>
    <row r="361" spans="2:19" x14ac:dyDescent="0.25">
      <c r="B361" s="190"/>
      <c r="C361" s="193"/>
      <c r="D361" s="27" t="s">
        <v>82</v>
      </c>
      <c r="E361" s="28">
        <v>5</v>
      </c>
      <c r="F361" s="28">
        <v>35</v>
      </c>
      <c r="G361" s="27" t="s">
        <v>66</v>
      </c>
      <c r="H361" s="27"/>
      <c r="I361" s="48"/>
      <c r="L361" s="190"/>
      <c r="M361" s="193"/>
      <c r="N361" s="27" t="s">
        <v>82</v>
      </c>
      <c r="O361" s="28">
        <v>5</v>
      </c>
      <c r="P361" s="28">
        <v>35</v>
      </c>
      <c r="Q361" s="27" t="s">
        <v>66</v>
      </c>
      <c r="R361" s="27"/>
      <c r="S361" s="48"/>
    </row>
    <row r="362" spans="2:19" ht="15.75" thickBot="1" x14ac:dyDescent="0.3">
      <c r="B362" s="191"/>
      <c r="C362" s="194"/>
      <c r="D362" s="27" t="s">
        <v>83</v>
      </c>
      <c r="E362" s="28">
        <v>6</v>
      </c>
      <c r="F362" s="28">
        <v>36</v>
      </c>
      <c r="G362" s="27" t="s">
        <v>66</v>
      </c>
      <c r="H362" s="27"/>
      <c r="I362" s="48"/>
      <c r="L362" s="191"/>
      <c r="M362" s="194"/>
      <c r="N362" s="27" t="s">
        <v>83</v>
      </c>
      <c r="O362" s="28">
        <v>6</v>
      </c>
      <c r="P362" s="28">
        <v>36</v>
      </c>
      <c r="Q362" s="27" t="s">
        <v>66</v>
      </c>
      <c r="R362" s="27"/>
      <c r="S362" s="48"/>
    </row>
    <row r="363" spans="2:19" x14ac:dyDescent="0.25">
      <c r="B363" s="183" t="s">
        <v>81</v>
      </c>
      <c r="C363" s="186" t="s">
        <v>77</v>
      </c>
      <c r="D363" s="29" t="s">
        <v>2</v>
      </c>
      <c r="E363" s="30">
        <v>1</v>
      </c>
      <c r="F363" s="30">
        <v>37</v>
      </c>
      <c r="G363" s="29" t="s">
        <v>66</v>
      </c>
      <c r="H363" s="29"/>
      <c r="I363" s="49"/>
      <c r="L363" s="183" t="s">
        <v>81</v>
      </c>
      <c r="M363" s="186" t="s">
        <v>77</v>
      </c>
      <c r="N363" s="29" t="s">
        <v>2</v>
      </c>
      <c r="O363" s="30">
        <v>1</v>
      </c>
      <c r="P363" s="30">
        <v>37</v>
      </c>
      <c r="Q363" s="29" t="s">
        <v>66</v>
      </c>
      <c r="R363" s="29"/>
      <c r="S363" s="49"/>
    </row>
    <row r="364" spans="2:19" x14ac:dyDescent="0.25">
      <c r="B364" s="184"/>
      <c r="C364" s="187"/>
      <c r="D364" s="29" t="s">
        <v>3</v>
      </c>
      <c r="E364" s="30">
        <v>2</v>
      </c>
      <c r="F364" s="30">
        <v>38</v>
      </c>
      <c r="G364" s="29" t="s">
        <v>66</v>
      </c>
      <c r="H364" s="29"/>
      <c r="I364" s="49"/>
      <c r="L364" s="184"/>
      <c r="M364" s="187"/>
      <c r="N364" s="29" t="s">
        <v>3</v>
      </c>
      <c r="O364" s="30">
        <v>2</v>
      </c>
      <c r="P364" s="30">
        <v>38</v>
      </c>
      <c r="Q364" s="29" t="s">
        <v>66</v>
      </c>
      <c r="R364" s="29"/>
      <c r="S364" s="49"/>
    </row>
    <row r="365" spans="2:19" x14ac:dyDescent="0.25">
      <c r="B365" s="184"/>
      <c r="C365" s="187"/>
      <c r="D365" s="29" t="s">
        <v>80</v>
      </c>
      <c r="E365" s="30">
        <v>3</v>
      </c>
      <c r="F365" s="30">
        <v>39</v>
      </c>
      <c r="G365" s="29" t="s">
        <v>66</v>
      </c>
      <c r="H365" s="29"/>
      <c r="I365" s="49"/>
      <c r="L365" s="184"/>
      <c r="M365" s="187"/>
      <c r="N365" s="29" t="s">
        <v>80</v>
      </c>
      <c r="O365" s="30">
        <v>3</v>
      </c>
      <c r="P365" s="30">
        <v>39</v>
      </c>
      <c r="Q365" s="29" t="s">
        <v>66</v>
      </c>
      <c r="R365" s="29"/>
      <c r="S365" s="49"/>
    </row>
    <row r="366" spans="2:19" x14ac:dyDescent="0.25">
      <c r="B366" s="184"/>
      <c r="C366" s="187"/>
      <c r="D366" s="29" t="s">
        <v>81</v>
      </c>
      <c r="E366" s="30">
        <v>4</v>
      </c>
      <c r="F366" s="30">
        <v>40</v>
      </c>
      <c r="G366" s="29" t="s">
        <v>66</v>
      </c>
      <c r="H366" s="29"/>
      <c r="I366" s="49"/>
      <c r="L366" s="184"/>
      <c r="M366" s="187"/>
      <c r="N366" s="29" t="s">
        <v>81</v>
      </c>
      <c r="O366" s="30">
        <v>4</v>
      </c>
      <c r="P366" s="30">
        <v>40</v>
      </c>
      <c r="Q366" s="29" t="s">
        <v>66</v>
      </c>
      <c r="R366" s="29"/>
      <c r="S366" s="49"/>
    </row>
    <row r="367" spans="2:19" x14ac:dyDescent="0.25">
      <c r="B367" s="184"/>
      <c r="C367" s="187"/>
      <c r="D367" s="29" t="s">
        <v>82</v>
      </c>
      <c r="E367" s="30">
        <v>5</v>
      </c>
      <c r="F367" s="30">
        <v>41</v>
      </c>
      <c r="G367" s="29" t="s">
        <v>66</v>
      </c>
      <c r="H367" s="29"/>
      <c r="I367" s="49"/>
      <c r="L367" s="184"/>
      <c r="M367" s="187"/>
      <c r="N367" s="29" t="s">
        <v>82</v>
      </c>
      <c r="O367" s="30">
        <v>5</v>
      </c>
      <c r="P367" s="30">
        <v>41</v>
      </c>
      <c r="Q367" s="29" t="s">
        <v>66</v>
      </c>
      <c r="R367" s="29"/>
      <c r="S367" s="49"/>
    </row>
    <row r="368" spans="2:19" ht="15.75" thickBot="1" x14ac:dyDescent="0.3">
      <c r="B368" s="184"/>
      <c r="C368" s="188"/>
      <c r="D368" s="29" t="s">
        <v>83</v>
      </c>
      <c r="E368" s="30">
        <v>6</v>
      </c>
      <c r="F368" s="30">
        <v>42</v>
      </c>
      <c r="G368" s="29" t="s">
        <v>66</v>
      </c>
      <c r="H368" s="29"/>
      <c r="I368" s="49"/>
      <c r="L368" s="184"/>
      <c r="M368" s="188"/>
      <c r="N368" s="29" t="s">
        <v>83</v>
      </c>
      <c r="O368" s="30">
        <v>6</v>
      </c>
      <c r="P368" s="30">
        <v>42</v>
      </c>
      <c r="Q368" s="29" t="s">
        <v>66</v>
      </c>
      <c r="R368" s="29"/>
      <c r="S368" s="49"/>
    </row>
    <row r="369" spans="2:19" x14ac:dyDescent="0.25">
      <c r="B369" s="184"/>
      <c r="C369" s="186" t="s">
        <v>84</v>
      </c>
      <c r="D369" s="29" t="s">
        <v>2</v>
      </c>
      <c r="E369" s="30">
        <v>1</v>
      </c>
      <c r="F369" s="30">
        <v>43</v>
      </c>
      <c r="G369" s="29" t="s">
        <v>66</v>
      </c>
      <c r="H369" s="29"/>
      <c r="I369" s="49"/>
      <c r="L369" s="184"/>
      <c r="M369" s="186" t="s">
        <v>84</v>
      </c>
      <c r="N369" s="29" t="s">
        <v>2</v>
      </c>
      <c r="O369" s="30">
        <v>1</v>
      </c>
      <c r="P369" s="30">
        <v>43</v>
      </c>
      <c r="Q369" s="29" t="s">
        <v>66</v>
      </c>
      <c r="R369" s="29"/>
      <c r="S369" s="49"/>
    </row>
    <row r="370" spans="2:19" x14ac:dyDescent="0.25">
      <c r="B370" s="184"/>
      <c r="C370" s="187"/>
      <c r="D370" s="29" t="s">
        <v>3</v>
      </c>
      <c r="E370" s="30">
        <v>2</v>
      </c>
      <c r="F370" s="30">
        <v>44</v>
      </c>
      <c r="G370" s="29" t="s">
        <v>66</v>
      </c>
      <c r="H370" s="29"/>
      <c r="I370" s="49"/>
      <c r="L370" s="184"/>
      <c r="M370" s="187"/>
      <c r="N370" s="29" t="s">
        <v>3</v>
      </c>
      <c r="O370" s="30">
        <v>2</v>
      </c>
      <c r="P370" s="30">
        <v>44</v>
      </c>
      <c r="Q370" s="29" t="s">
        <v>66</v>
      </c>
      <c r="R370" s="29"/>
      <c r="S370" s="49"/>
    </row>
    <row r="371" spans="2:19" x14ac:dyDescent="0.25">
      <c r="B371" s="184"/>
      <c r="C371" s="187"/>
      <c r="D371" s="29" t="s">
        <v>80</v>
      </c>
      <c r="E371" s="30">
        <v>3</v>
      </c>
      <c r="F371" s="30">
        <v>45</v>
      </c>
      <c r="G371" s="29" t="s">
        <v>66</v>
      </c>
      <c r="H371" s="29"/>
      <c r="I371" s="49"/>
      <c r="L371" s="184"/>
      <c r="M371" s="187"/>
      <c r="N371" s="29" t="s">
        <v>80</v>
      </c>
      <c r="O371" s="30">
        <v>3</v>
      </c>
      <c r="P371" s="30">
        <v>45</v>
      </c>
      <c r="Q371" s="29" t="s">
        <v>66</v>
      </c>
      <c r="R371" s="29"/>
      <c r="S371" s="49"/>
    </row>
    <row r="372" spans="2:19" x14ac:dyDescent="0.25">
      <c r="B372" s="184"/>
      <c r="C372" s="187"/>
      <c r="D372" s="29" t="s">
        <v>81</v>
      </c>
      <c r="E372" s="30">
        <v>4</v>
      </c>
      <c r="F372" s="30">
        <v>46</v>
      </c>
      <c r="G372" s="29" t="s">
        <v>66</v>
      </c>
      <c r="H372" s="29"/>
      <c r="I372" s="49"/>
      <c r="L372" s="184"/>
      <c r="M372" s="187"/>
      <c r="N372" s="29" t="s">
        <v>81</v>
      </c>
      <c r="O372" s="30">
        <v>4</v>
      </c>
      <c r="P372" s="30">
        <v>46</v>
      </c>
      <c r="Q372" s="29" t="s">
        <v>66</v>
      </c>
      <c r="R372" s="29"/>
      <c r="S372" s="49"/>
    </row>
    <row r="373" spans="2:19" x14ac:dyDescent="0.25">
      <c r="B373" s="184"/>
      <c r="C373" s="187"/>
      <c r="D373" s="29" t="s">
        <v>82</v>
      </c>
      <c r="E373" s="30">
        <v>5</v>
      </c>
      <c r="F373" s="30">
        <v>47</v>
      </c>
      <c r="G373" s="29" t="s">
        <v>66</v>
      </c>
      <c r="H373" s="29"/>
      <c r="I373" s="49"/>
      <c r="L373" s="184"/>
      <c r="M373" s="187"/>
      <c r="N373" s="29" t="s">
        <v>82</v>
      </c>
      <c r="O373" s="30">
        <v>5</v>
      </c>
      <c r="P373" s="30">
        <v>47</v>
      </c>
      <c r="Q373" s="29" t="s">
        <v>66</v>
      </c>
      <c r="R373" s="29"/>
      <c r="S373" s="49"/>
    </row>
    <row r="374" spans="2:19" ht="15.75" thickBot="1" x14ac:dyDescent="0.3">
      <c r="B374" s="185"/>
      <c r="C374" s="188"/>
      <c r="D374" s="29" t="s">
        <v>83</v>
      </c>
      <c r="E374" s="30">
        <v>6</v>
      </c>
      <c r="F374" s="30">
        <v>48</v>
      </c>
      <c r="G374" s="29" t="s">
        <v>66</v>
      </c>
      <c r="H374" s="29"/>
      <c r="I374" s="49"/>
      <c r="L374" s="185"/>
      <c r="M374" s="188"/>
      <c r="N374" s="29" t="s">
        <v>83</v>
      </c>
      <c r="O374" s="30">
        <v>6</v>
      </c>
      <c r="P374" s="30">
        <v>48</v>
      </c>
      <c r="Q374" s="29" t="s">
        <v>66</v>
      </c>
      <c r="R374" s="29"/>
      <c r="S374" s="49"/>
    </row>
    <row r="376" spans="2:19" ht="15.75" thickBot="1" x14ac:dyDescent="0.3"/>
    <row r="377" spans="2:19" ht="15.75" thickBot="1" x14ac:dyDescent="0.3">
      <c r="B377" s="171" t="s">
        <v>398</v>
      </c>
      <c r="C377" s="172"/>
      <c r="D377" s="172"/>
      <c r="E377" s="172"/>
      <c r="F377" s="172"/>
      <c r="G377" s="172"/>
      <c r="H377" s="172"/>
      <c r="I377" s="173"/>
      <c r="L377" s="171" t="s">
        <v>399</v>
      </c>
      <c r="M377" s="172"/>
      <c r="N377" s="172"/>
      <c r="O377" s="172"/>
      <c r="P377" s="172"/>
      <c r="Q377" s="172"/>
      <c r="R377" s="172"/>
      <c r="S377" s="173"/>
    </row>
    <row r="379" spans="2:19" ht="26.25" thickBot="1" x14ac:dyDescent="0.3">
      <c r="B379" s="15" t="s">
        <v>70</v>
      </c>
      <c r="C379" s="16" t="s">
        <v>71</v>
      </c>
      <c r="D379" s="15" t="s">
        <v>72</v>
      </c>
      <c r="E379" s="17" t="s">
        <v>73</v>
      </c>
      <c r="F379" s="17" t="s">
        <v>74</v>
      </c>
      <c r="G379" s="15" t="s">
        <v>75</v>
      </c>
      <c r="H379" s="15" t="s">
        <v>55</v>
      </c>
      <c r="I379" s="15" t="s">
        <v>76</v>
      </c>
      <c r="L379" s="15" t="s">
        <v>70</v>
      </c>
      <c r="M379" s="16" t="s">
        <v>71</v>
      </c>
      <c r="N379" s="15" t="s">
        <v>72</v>
      </c>
      <c r="O379" s="17" t="s">
        <v>73</v>
      </c>
      <c r="P379" s="17" t="s">
        <v>74</v>
      </c>
      <c r="Q379" s="15" t="s">
        <v>75</v>
      </c>
      <c r="R379" s="15" t="s">
        <v>55</v>
      </c>
      <c r="S379" s="15" t="s">
        <v>76</v>
      </c>
    </row>
    <row r="380" spans="2:19" ht="15" customHeight="1" x14ac:dyDescent="0.25">
      <c r="B380" s="174" t="s">
        <v>2</v>
      </c>
      <c r="C380" s="168" t="s">
        <v>77</v>
      </c>
      <c r="D380" s="18" t="s">
        <v>2</v>
      </c>
      <c r="E380" s="19">
        <v>1</v>
      </c>
      <c r="F380" s="19">
        <v>1</v>
      </c>
      <c r="G380" s="18" t="s">
        <v>66</v>
      </c>
      <c r="H380" s="32"/>
      <c r="I380" s="50"/>
      <c r="L380" s="174" t="s">
        <v>2</v>
      </c>
      <c r="M380" s="168" t="s">
        <v>77</v>
      </c>
      <c r="N380" s="18" t="s">
        <v>2</v>
      </c>
      <c r="O380" s="19">
        <v>1</v>
      </c>
      <c r="P380" s="19">
        <v>1</v>
      </c>
      <c r="Q380" s="18" t="s">
        <v>66</v>
      </c>
      <c r="R380" s="32"/>
      <c r="S380" s="50"/>
    </row>
    <row r="381" spans="2:19" x14ac:dyDescent="0.25">
      <c r="B381" s="175"/>
      <c r="C381" s="169"/>
      <c r="D381" s="18" t="s">
        <v>3</v>
      </c>
      <c r="E381" s="19">
        <v>2</v>
      </c>
      <c r="F381" s="19">
        <v>2</v>
      </c>
      <c r="G381" s="18" t="s">
        <v>66</v>
      </c>
      <c r="H381" s="32"/>
      <c r="I381" s="50"/>
      <c r="L381" s="175"/>
      <c r="M381" s="169"/>
      <c r="N381" s="18" t="s">
        <v>3</v>
      </c>
      <c r="O381" s="19">
        <v>2</v>
      </c>
      <c r="P381" s="19">
        <v>2</v>
      </c>
      <c r="Q381" s="18" t="s">
        <v>66</v>
      </c>
      <c r="R381" s="32"/>
      <c r="S381" s="50"/>
    </row>
    <row r="382" spans="2:19" x14ac:dyDescent="0.25">
      <c r="B382" s="175"/>
      <c r="C382" s="169"/>
      <c r="D382" s="18" t="s">
        <v>80</v>
      </c>
      <c r="E382" s="20">
        <v>3</v>
      </c>
      <c r="F382" s="20">
        <v>3</v>
      </c>
      <c r="G382" s="18" t="s">
        <v>66</v>
      </c>
      <c r="H382" s="32"/>
      <c r="I382" s="50"/>
      <c r="L382" s="175"/>
      <c r="M382" s="169"/>
      <c r="N382" s="18" t="s">
        <v>80</v>
      </c>
      <c r="O382" s="20">
        <v>3</v>
      </c>
      <c r="P382" s="20">
        <v>3</v>
      </c>
      <c r="Q382" s="18" t="s">
        <v>66</v>
      </c>
      <c r="R382" s="32"/>
      <c r="S382" s="50"/>
    </row>
    <row r="383" spans="2:19" x14ac:dyDescent="0.25">
      <c r="B383" s="175"/>
      <c r="C383" s="169"/>
      <c r="D383" s="18" t="s">
        <v>81</v>
      </c>
      <c r="E383" s="20">
        <v>4</v>
      </c>
      <c r="F383" s="20">
        <v>4</v>
      </c>
      <c r="G383" s="18" t="s">
        <v>66</v>
      </c>
      <c r="H383" s="32"/>
      <c r="I383" s="50"/>
      <c r="L383" s="175"/>
      <c r="M383" s="169"/>
      <c r="N383" s="18" t="s">
        <v>81</v>
      </c>
      <c r="O383" s="20">
        <v>4</v>
      </c>
      <c r="P383" s="20">
        <v>4</v>
      </c>
      <c r="Q383" s="18" t="s">
        <v>66</v>
      </c>
      <c r="R383" s="32"/>
      <c r="S383" s="50"/>
    </row>
    <row r="384" spans="2:19" x14ac:dyDescent="0.25">
      <c r="B384" s="175"/>
      <c r="C384" s="169"/>
      <c r="D384" s="18" t="s">
        <v>82</v>
      </c>
      <c r="E384" s="20">
        <v>5</v>
      </c>
      <c r="F384" s="20">
        <v>5</v>
      </c>
      <c r="G384" s="18" t="s">
        <v>66</v>
      </c>
      <c r="H384" s="32"/>
      <c r="I384" s="50"/>
      <c r="L384" s="175"/>
      <c r="M384" s="169"/>
      <c r="N384" s="18" t="s">
        <v>82</v>
      </c>
      <c r="O384" s="20">
        <v>5</v>
      </c>
      <c r="P384" s="20">
        <v>5</v>
      </c>
      <c r="Q384" s="18" t="s">
        <v>66</v>
      </c>
      <c r="R384" s="32"/>
      <c r="S384" s="50"/>
    </row>
    <row r="385" spans="2:19" ht="15.75" thickBot="1" x14ac:dyDescent="0.3">
      <c r="B385" s="175"/>
      <c r="C385" s="170"/>
      <c r="D385" s="18" t="s">
        <v>83</v>
      </c>
      <c r="E385" s="20">
        <v>6</v>
      </c>
      <c r="F385" s="20">
        <v>6</v>
      </c>
      <c r="G385" s="18" t="s">
        <v>66</v>
      </c>
      <c r="H385" s="32"/>
      <c r="I385" s="50"/>
      <c r="L385" s="175"/>
      <c r="M385" s="170"/>
      <c r="N385" s="18" t="s">
        <v>83</v>
      </c>
      <c r="O385" s="20">
        <v>6</v>
      </c>
      <c r="P385" s="20">
        <v>6</v>
      </c>
      <c r="Q385" s="18" t="s">
        <v>66</v>
      </c>
      <c r="R385" s="32"/>
      <c r="S385" s="50"/>
    </row>
    <row r="386" spans="2:19" x14ac:dyDescent="0.25">
      <c r="B386" s="175"/>
      <c r="C386" s="168" t="s">
        <v>84</v>
      </c>
      <c r="D386" s="18" t="s">
        <v>2</v>
      </c>
      <c r="E386" s="19">
        <v>1</v>
      </c>
      <c r="F386" s="19">
        <v>7</v>
      </c>
      <c r="G386" s="18" t="s">
        <v>78</v>
      </c>
      <c r="H386" s="156" t="s">
        <v>384</v>
      </c>
      <c r="I386" s="165" t="s">
        <v>216</v>
      </c>
      <c r="L386" s="175"/>
      <c r="M386" s="168" t="s">
        <v>84</v>
      </c>
      <c r="N386" s="18" t="s">
        <v>2</v>
      </c>
      <c r="O386" s="19">
        <v>1</v>
      </c>
      <c r="P386" s="19">
        <v>7</v>
      </c>
      <c r="Q386" s="18" t="s">
        <v>78</v>
      </c>
      <c r="R386" s="156" t="s">
        <v>384</v>
      </c>
      <c r="S386" s="165" t="s">
        <v>218</v>
      </c>
    </row>
    <row r="387" spans="2:19" x14ac:dyDescent="0.25">
      <c r="B387" s="175"/>
      <c r="C387" s="169"/>
      <c r="D387" s="18" t="s">
        <v>3</v>
      </c>
      <c r="E387" s="19">
        <v>2</v>
      </c>
      <c r="F387" s="19">
        <v>8</v>
      </c>
      <c r="G387" s="18" t="s">
        <v>78</v>
      </c>
      <c r="H387" s="157"/>
      <c r="I387" s="166"/>
      <c r="L387" s="175"/>
      <c r="M387" s="169"/>
      <c r="N387" s="18" t="s">
        <v>3</v>
      </c>
      <c r="O387" s="19">
        <v>2</v>
      </c>
      <c r="P387" s="19">
        <v>8</v>
      </c>
      <c r="Q387" s="18" t="s">
        <v>78</v>
      </c>
      <c r="R387" s="157"/>
      <c r="S387" s="166"/>
    </row>
    <row r="388" spans="2:19" x14ac:dyDescent="0.25">
      <c r="B388" s="175"/>
      <c r="C388" s="169"/>
      <c r="D388" s="18" t="s">
        <v>80</v>
      </c>
      <c r="E388" s="20">
        <v>3</v>
      </c>
      <c r="F388" s="20">
        <v>9</v>
      </c>
      <c r="G388" s="18" t="s">
        <v>66</v>
      </c>
      <c r="H388" s="157"/>
      <c r="I388" s="166"/>
      <c r="L388" s="175"/>
      <c r="M388" s="169"/>
      <c r="N388" s="18" t="s">
        <v>80</v>
      </c>
      <c r="O388" s="20">
        <v>3</v>
      </c>
      <c r="P388" s="20">
        <v>9</v>
      </c>
      <c r="Q388" s="18" t="s">
        <v>66</v>
      </c>
      <c r="R388" s="157"/>
      <c r="S388" s="166"/>
    </row>
    <row r="389" spans="2:19" x14ac:dyDescent="0.25">
      <c r="B389" s="175"/>
      <c r="C389" s="169"/>
      <c r="D389" s="18" t="s">
        <v>81</v>
      </c>
      <c r="E389" s="20">
        <v>4</v>
      </c>
      <c r="F389" s="20">
        <v>10</v>
      </c>
      <c r="G389" s="18" t="s">
        <v>66</v>
      </c>
      <c r="H389" s="157"/>
      <c r="I389" s="166"/>
      <c r="L389" s="175"/>
      <c r="M389" s="169"/>
      <c r="N389" s="18" t="s">
        <v>81</v>
      </c>
      <c r="O389" s="20">
        <v>4</v>
      </c>
      <c r="P389" s="20">
        <v>10</v>
      </c>
      <c r="Q389" s="18" t="s">
        <v>66</v>
      </c>
      <c r="R389" s="157"/>
      <c r="S389" s="166"/>
    </row>
    <row r="390" spans="2:19" x14ac:dyDescent="0.25">
      <c r="B390" s="175"/>
      <c r="C390" s="169"/>
      <c r="D390" s="18" t="s">
        <v>82</v>
      </c>
      <c r="E390" s="20">
        <v>5</v>
      </c>
      <c r="F390" s="20">
        <v>11</v>
      </c>
      <c r="G390" s="18" t="s">
        <v>66</v>
      </c>
      <c r="H390" s="157"/>
      <c r="I390" s="166"/>
      <c r="L390" s="175"/>
      <c r="M390" s="169"/>
      <c r="N390" s="18" t="s">
        <v>82</v>
      </c>
      <c r="O390" s="20">
        <v>5</v>
      </c>
      <c r="P390" s="20">
        <v>11</v>
      </c>
      <c r="Q390" s="18" t="s">
        <v>66</v>
      </c>
      <c r="R390" s="157"/>
      <c r="S390" s="166"/>
    </row>
    <row r="391" spans="2:19" ht="15.75" thickBot="1" x14ac:dyDescent="0.3">
      <c r="B391" s="176"/>
      <c r="C391" s="170"/>
      <c r="D391" s="18" t="s">
        <v>83</v>
      </c>
      <c r="E391" s="20">
        <v>6</v>
      </c>
      <c r="F391" s="20">
        <v>12</v>
      </c>
      <c r="G391" s="18" t="s">
        <v>66</v>
      </c>
      <c r="H391" s="158"/>
      <c r="I391" s="167"/>
      <c r="L391" s="176"/>
      <c r="M391" s="170"/>
      <c r="N391" s="18" t="s">
        <v>83</v>
      </c>
      <c r="O391" s="20">
        <v>6</v>
      </c>
      <c r="P391" s="20">
        <v>12</v>
      </c>
      <c r="Q391" s="18" t="s">
        <v>66</v>
      </c>
      <c r="R391" s="158"/>
      <c r="S391" s="167"/>
    </row>
    <row r="392" spans="2:19" ht="15" customHeight="1" x14ac:dyDescent="0.25">
      <c r="B392" s="180" t="s">
        <v>3</v>
      </c>
      <c r="C392" s="177" t="s">
        <v>77</v>
      </c>
      <c r="D392" s="21" t="s">
        <v>2</v>
      </c>
      <c r="E392" s="22">
        <v>1</v>
      </c>
      <c r="F392" s="22">
        <v>13</v>
      </c>
      <c r="G392" s="21" t="s">
        <v>66</v>
      </c>
      <c r="H392" s="21"/>
      <c r="I392" s="51"/>
      <c r="L392" s="180" t="s">
        <v>3</v>
      </c>
      <c r="M392" s="177" t="s">
        <v>77</v>
      </c>
      <c r="N392" s="21" t="s">
        <v>2</v>
      </c>
      <c r="O392" s="22">
        <v>1</v>
      </c>
      <c r="P392" s="22">
        <v>13</v>
      </c>
      <c r="Q392" s="21" t="s">
        <v>66</v>
      </c>
      <c r="R392" s="21"/>
      <c r="S392" s="51"/>
    </row>
    <row r="393" spans="2:19" x14ac:dyDescent="0.25">
      <c r="B393" s="181"/>
      <c r="C393" s="178"/>
      <c r="D393" s="23" t="s">
        <v>3</v>
      </c>
      <c r="E393" s="24">
        <v>2</v>
      </c>
      <c r="F393" s="24">
        <v>14</v>
      </c>
      <c r="G393" s="23" t="s">
        <v>66</v>
      </c>
      <c r="H393" s="23"/>
      <c r="I393" s="47"/>
      <c r="L393" s="181"/>
      <c r="M393" s="178"/>
      <c r="N393" s="23" t="s">
        <v>3</v>
      </c>
      <c r="O393" s="24">
        <v>2</v>
      </c>
      <c r="P393" s="24">
        <v>14</v>
      </c>
      <c r="Q393" s="23" t="s">
        <v>66</v>
      </c>
      <c r="R393" s="23"/>
      <c r="S393" s="47"/>
    </row>
    <row r="394" spans="2:19" x14ac:dyDescent="0.25">
      <c r="B394" s="181"/>
      <c r="C394" s="178"/>
      <c r="D394" s="23" t="s">
        <v>80</v>
      </c>
      <c r="E394" s="24">
        <v>3</v>
      </c>
      <c r="F394" s="24">
        <v>15</v>
      </c>
      <c r="G394" s="23" t="s">
        <v>66</v>
      </c>
      <c r="H394" s="23"/>
      <c r="I394" s="47"/>
      <c r="L394" s="181"/>
      <c r="M394" s="178"/>
      <c r="N394" s="23" t="s">
        <v>80</v>
      </c>
      <c r="O394" s="24">
        <v>3</v>
      </c>
      <c r="P394" s="24">
        <v>15</v>
      </c>
      <c r="Q394" s="23" t="s">
        <v>66</v>
      </c>
      <c r="R394" s="23"/>
      <c r="S394" s="47"/>
    </row>
    <row r="395" spans="2:19" x14ac:dyDescent="0.25">
      <c r="B395" s="181"/>
      <c r="C395" s="178"/>
      <c r="D395" s="23" t="s">
        <v>81</v>
      </c>
      <c r="E395" s="24">
        <v>4</v>
      </c>
      <c r="F395" s="24">
        <v>16</v>
      </c>
      <c r="G395" s="23" t="s">
        <v>66</v>
      </c>
      <c r="H395" s="23"/>
      <c r="I395" s="47"/>
      <c r="L395" s="181"/>
      <c r="M395" s="178"/>
      <c r="N395" s="23" t="s">
        <v>81</v>
      </c>
      <c r="O395" s="24">
        <v>4</v>
      </c>
      <c r="P395" s="24">
        <v>16</v>
      </c>
      <c r="Q395" s="23" t="s">
        <v>66</v>
      </c>
      <c r="R395" s="23"/>
      <c r="S395" s="47"/>
    </row>
    <row r="396" spans="2:19" x14ac:dyDescent="0.25">
      <c r="B396" s="181"/>
      <c r="C396" s="178"/>
      <c r="D396" s="23" t="s">
        <v>82</v>
      </c>
      <c r="E396" s="24">
        <v>5</v>
      </c>
      <c r="F396" s="24">
        <v>17</v>
      </c>
      <c r="G396" s="23" t="s">
        <v>66</v>
      </c>
      <c r="H396" s="23"/>
      <c r="I396" s="47"/>
      <c r="L396" s="181"/>
      <c r="M396" s="178"/>
      <c r="N396" s="23" t="s">
        <v>82</v>
      </c>
      <c r="O396" s="24">
        <v>5</v>
      </c>
      <c r="P396" s="24">
        <v>17</v>
      </c>
      <c r="Q396" s="23" t="s">
        <v>66</v>
      </c>
      <c r="R396" s="23"/>
      <c r="S396" s="47"/>
    </row>
    <row r="397" spans="2:19" ht="15.75" thickBot="1" x14ac:dyDescent="0.3">
      <c r="B397" s="181"/>
      <c r="C397" s="179"/>
      <c r="D397" s="23" t="s">
        <v>83</v>
      </c>
      <c r="E397" s="24">
        <v>6</v>
      </c>
      <c r="F397" s="24">
        <v>18</v>
      </c>
      <c r="G397" s="23" t="s">
        <v>66</v>
      </c>
      <c r="H397" s="23"/>
      <c r="I397" s="47"/>
      <c r="L397" s="181"/>
      <c r="M397" s="179"/>
      <c r="N397" s="23" t="s">
        <v>83</v>
      </c>
      <c r="O397" s="24">
        <v>6</v>
      </c>
      <c r="P397" s="24">
        <v>18</v>
      </c>
      <c r="Q397" s="23" t="s">
        <v>66</v>
      </c>
      <c r="R397" s="23"/>
      <c r="S397" s="47"/>
    </row>
    <row r="398" spans="2:19" x14ac:dyDescent="0.25">
      <c r="B398" s="181"/>
      <c r="C398" s="177" t="s">
        <v>84</v>
      </c>
      <c r="D398" s="23" t="s">
        <v>2</v>
      </c>
      <c r="E398" s="24">
        <v>1</v>
      </c>
      <c r="F398" s="24">
        <v>19</v>
      </c>
      <c r="G398" s="23" t="s">
        <v>66</v>
      </c>
      <c r="H398" s="23"/>
      <c r="I398" s="47"/>
      <c r="L398" s="181"/>
      <c r="M398" s="177" t="s">
        <v>84</v>
      </c>
      <c r="N398" s="23" t="s">
        <v>2</v>
      </c>
      <c r="O398" s="24">
        <v>1</v>
      </c>
      <c r="P398" s="24">
        <v>19</v>
      </c>
      <c r="Q398" s="23" t="s">
        <v>66</v>
      </c>
      <c r="R398" s="23"/>
      <c r="S398" s="47"/>
    </row>
    <row r="399" spans="2:19" x14ac:dyDescent="0.25">
      <c r="B399" s="181"/>
      <c r="C399" s="178"/>
      <c r="D399" s="23" t="s">
        <v>3</v>
      </c>
      <c r="E399" s="24">
        <v>2</v>
      </c>
      <c r="F399" s="24">
        <v>20</v>
      </c>
      <c r="G399" s="23" t="s">
        <v>66</v>
      </c>
      <c r="H399" s="23"/>
      <c r="I399" s="47"/>
      <c r="L399" s="181"/>
      <c r="M399" s="178"/>
      <c r="N399" s="23" t="s">
        <v>3</v>
      </c>
      <c r="O399" s="24">
        <v>2</v>
      </c>
      <c r="P399" s="24">
        <v>20</v>
      </c>
      <c r="Q399" s="23" t="s">
        <v>66</v>
      </c>
      <c r="R399" s="23"/>
      <c r="S399" s="47"/>
    </row>
    <row r="400" spans="2:19" x14ac:dyDescent="0.25">
      <c r="B400" s="181"/>
      <c r="C400" s="178"/>
      <c r="D400" s="23" t="s">
        <v>80</v>
      </c>
      <c r="E400" s="26">
        <v>3</v>
      </c>
      <c r="F400" s="24">
        <v>21</v>
      </c>
      <c r="G400" s="23" t="s">
        <v>66</v>
      </c>
      <c r="H400" s="23"/>
      <c r="I400" s="47"/>
      <c r="L400" s="181"/>
      <c r="M400" s="178"/>
      <c r="N400" s="23" t="s">
        <v>80</v>
      </c>
      <c r="O400" s="26">
        <v>3</v>
      </c>
      <c r="P400" s="24">
        <v>21</v>
      </c>
      <c r="Q400" s="23" t="s">
        <v>66</v>
      </c>
      <c r="R400" s="23"/>
      <c r="S400" s="47"/>
    </row>
    <row r="401" spans="2:19" x14ac:dyDescent="0.25">
      <c r="B401" s="181"/>
      <c r="C401" s="178"/>
      <c r="D401" s="23" t="s">
        <v>81</v>
      </c>
      <c r="E401" s="24">
        <v>4</v>
      </c>
      <c r="F401" s="24">
        <v>22</v>
      </c>
      <c r="G401" s="23" t="s">
        <v>66</v>
      </c>
      <c r="H401" s="23"/>
      <c r="I401" s="47"/>
      <c r="L401" s="181"/>
      <c r="M401" s="178"/>
      <c r="N401" s="23" t="s">
        <v>81</v>
      </c>
      <c r="O401" s="24">
        <v>4</v>
      </c>
      <c r="P401" s="24">
        <v>22</v>
      </c>
      <c r="Q401" s="23" t="s">
        <v>66</v>
      </c>
      <c r="R401" s="23"/>
      <c r="S401" s="47"/>
    </row>
    <row r="402" spans="2:19" x14ac:dyDescent="0.25">
      <c r="B402" s="181"/>
      <c r="C402" s="178"/>
      <c r="D402" s="23" t="s">
        <v>82</v>
      </c>
      <c r="E402" s="24">
        <v>5</v>
      </c>
      <c r="F402" s="24">
        <v>23</v>
      </c>
      <c r="G402" s="23" t="s">
        <v>66</v>
      </c>
      <c r="H402" s="23"/>
      <c r="I402" s="47"/>
      <c r="L402" s="181"/>
      <c r="M402" s="178"/>
      <c r="N402" s="23" t="s">
        <v>82</v>
      </c>
      <c r="O402" s="24">
        <v>5</v>
      </c>
      <c r="P402" s="24">
        <v>23</v>
      </c>
      <c r="Q402" s="23" t="s">
        <v>66</v>
      </c>
      <c r="R402" s="23"/>
      <c r="S402" s="47"/>
    </row>
    <row r="403" spans="2:19" ht="15.75" thickBot="1" x14ac:dyDescent="0.3">
      <c r="B403" s="182"/>
      <c r="C403" s="179"/>
      <c r="D403" s="23" t="s">
        <v>83</v>
      </c>
      <c r="E403" s="24">
        <v>6</v>
      </c>
      <c r="F403" s="24">
        <v>24</v>
      </c>
      <c r="G403" s="23" t="s">
        <v>66</v>
      </c>
      <c r="H403" s="23"/>
      <c r="I403" s="47"/>
      <c r="L403" s="182"/>
      <c r="M403" s="179"/>
      <c r="N403" s="23" t="s">
        <v>83</v>
      </c>
      <c r="O403" s="24">
        <v>6</v>
      </c>
      <c r="P403" s="24">
        <v>24</v>
      </c>
      <c r="Q403" s="23" t="s">
        <v>66</v>
      </c>
      <c r="R403" s="23"/>
      <c r="S403" s="47"/>
    </row>
    <row r="404" spans="2:19" x14ac:dyDescent="0.25">
      <c r="B404" s="189" t="s">
        <v>80</v>
      </c>
      <c r="C404" s="192" t="s">
        <v>77</v>
      </c>
      <c r="D404" s="27" t="s">
        <v>2</v>
      </c>
      <c r="E404" s="28">
        <v>1</v>
      </c>
      <c r="F404" s="28">
        <v>25</v>
      </c>
      <c r="G404" s="27" t="s">
        <v>66</v>
      </c>
      <c r="H404" s="27"/>
      <c r="I404" s="48"/>
      <c r="L404" s="189" t="s">
        <v>80</v>
      </c>
      <c r="M404" s="192" t="s">
        <v>77</v>
      </c>
      <c r="N404" s="27" t="s">
        <v>2</v>
      </c>
      <c r="O404" s="28">
        <v>1</v>
      </c>
      <c r="P404" s="28">
        <v>25</v>
      </c>
      <c r="Q404" s="27" t="s">
        <v>66</v>
      </c>
      <c r="R404" s="27"/>
      <c r="S404" s="48"/>
    </row>
    <row r="405" spans="2:19" x14ac:dyDescent="0.25">
      <c r="B405" s="190"/>
      <c r="C405" s="193"/>
      <c r="D405" s="27" t="s">
        <v>3</v>
      </c>
      <c r="E405" s="28">
        <v>2</v>
      </c>
      <c r="F405" s="28">
        <v>26</v>
      </c>
      <c r="G405" s="27" t="s">
        <v>66</v>
      </c>
      <c r="H405" s="27"/>
      <c r="I405" s="48"/>
      <c r="L405" s="190"/>
      <c r="M405" s="193"/>
      <c r="N405" s="27" t="s">
        <v>3</v>
      </c>
      <c r="O405" s="28">
        <v>2</v>
      </c>
      <c r="P405" s="28">
        <v>26</v>
      </c>
      <c r="Q405" s="27" t="s">
        <v>66</v>
      </c>
      <c r="R405" s="27"/>
      <c r="S405" s="48"/>
    </row>
    <row r="406" spans="2:19" x14ac:dyDescent="0.25">
      <c r="B406" s="190"/>
      <c r="C406" s="193"/>
      <c r="D406" s="27" t="s">
        <v>80</v>
      </c>
      <c r="E406" s="28">
        <v>3</v>
      </c>
      <c r="F406" s="28">
        <v>27</v>
      </c>
      <c r="G406" s="27" t="s">
        <v>66</v>
      </c>
      <c r="H406" s="27"/>
      <c r="I406" s="48"/>
      <c r="L406" s="190"/>
      <c r="M406" s="193"/>
      <c r="N406" s="27" t="s">
        <v>80</v>
      </c>
      <c r="O406" s="28">
        <v>3</v>
      </c>
      <c r="P406" s="28">
        <v>27</v>
      </c>
      <c r="Q406" s="27" t="s">
        <v>66</v>
      </c>
      <c r="R406" s="27"/>
      <c r="S406" s="48"/>
    </row>
    <row r="407" spans="2:19" x14ac:dyDescent="0.25">
      <c r="B407" s="190"/>
      <c r="C407" s="193"/>
      <c r="D407" s="27" t="s">
        <v>81</v>
      </c>
      <c r="E407" s="28">
        <v>4</v>
      </c>
      <c r="F407" s="28">
        <v>28</v>
      </c>
      <c r="G407" s="27" t="s">
        <v>66</v>
      </c>
      <c r="H407" s="27"/>
      <c r="I407" s="48"/>
      <c r="L407" s="190"/>
      <c r="M407" s="193"/>
      <c r="N407" s="27" t="s">
        <v>81</v>
      </c>
      <c r="O407" s="28">
        <v>4</v>
      </c>
      <c r="P407" s="28">
        <v>28</v>
      </c>
      <c r="Q407" s="27" t="s">
        <v>66</v>
      </c>
      <c r="R407" s="27"/>
      <c r="S407" s="48"/>
    </row>
    <row r="408" spans="2:19" x14ac:dyDescent="0.25">
      <c r="B408" s="190"/>
      <c r="C408" s="193"/>
      <c r="D408" s="27" t="s">
        <v>82</v>
      </c>
      <c r="E408" s="28">
        <v>5</v>
      </c>
      <c r="F408" s="28">
        <v>29</v>
      </c>
      <c r="G408" s="27" t="s">
        <v>66</v>
      </c>
      <c r="H408" s="27"/>
      <c r="I408" s="48"/>
      <c r="L408" s="190"/>
      <c r="M408" s="193"/>
      <c r="N408" s="27" t="s">
        <v>82</v>
      </c>
      <c r="O408" s="28">
        <v>5</v>
      </c>
      <c r="P408" s="28">
        <v>29</v>
      </c>
      <c r="Q408" s="27" t="s">
        <v>66</v>
      </c>
      <c r="R408" s="27"/>
      <c r="S408" s="48"/>
    </row>
    <row r="409" spans="2:19" ht="15.75" thickBot="1" x14ac:dyDescent="0.3">
      <c r="B409" s="190"/>
      <c r="C409" s="194"/>
      <c r="D409" s="27" t="s">
        <v>83</v>
      </c>
      <c r="E409" s="28">
        <v>6</v>
      </c>
      <c r="F409" s="28">
        <v>30</v>
      </c>
      <c r="G409" s="27" t="s">
        <v>66</v>
      </c>
      <c r="H409" s="27"/>
      <c r="I409" s="48"/>
      <c r="L409" s="190"/>
      <c r="M409" s="194"/>
      <c r="N409" s="27" t="s">
        <v>83</v>
      </c>
      <c r="O409" s="28">
        <v>6</v>
      </c>
      <c r="P409" s="28">
        <v>30</v>
      </c>
      <c r="Q409" s="27" t="s">
        <v>66</v>
      </c>
      <c r="R409" s="27"/>
      <c r="S409" s="48"/>
    </row>
    <row r="410" spans="2:19" x14ac:dyDescent="0.25">
      <c r="B410" s="190"/>
      <c r="C410" s="192" t="s">
        <v>84</v>
      </c>
      <c r="D410" s="27" t="s">
        <v>2</v>
      </c>
      <c r="E410" s="28">
        <v>1</v>
      </c>
      <c r="F410" s="28">
        <v>31</v>
      </c>
      <c r="G410" s="27" t="s">
        <v>66</v>
      </c>
      <c r="H410" s="27"/>
      <c r="I410" s="48"/>
      <c r="L410" s="190"/>
      <c r="M410" s="192" t="s">
        <v>84</v>
      </c>
      <c r="N410" s="27" t="s">
        <v>2</v>
      </c>
      <c r="O410" s="28">
        <v>1</v>
      </c>
      <c r="P410" s="28">
        <v>31</v>
      </c>
      <c r="Q410" s="27" t="s">
        <v>66</v>
      </c>
      <c r="R410" s="27"/>
      <c r="S410" s="48"/>
    </row>
    <row r="411" spans="2:19" x14ac:dyDescent="0.25">
      <c r="B411" s="190"/>
      <c r="C411" s="193"/>
      <c r="D411" s="27" t="s">
        <v>3</v>
      </c>
      <c r="E411" s="28">
        <v>2</v>
      </c>
      <c r="F411" s="28">
        <v>32</v>
      </c>
      <c r="G411" s="27" t="s">
        <v>66</v>
      </c>
      <c r="H411" s="27"/>
      <c r="I411" s="48"/>
      <c r="L411" s="190"/>
      <c r="M411" s="193"/>
      <c r="N411" s="27" t="s">
        <v>3</v>
      </c>
      <c r="O411" s="28">
        <v>2</v>
      </c>
      <c r="P411" s="28">
        <v>32</v>
      </c>
      <c r="Q411" s="27" t="s">
        <v>66</v>
      </c>
      <c r="R411" s="27"/>
      <c r="S411" s="48"/>
    </row>
    <row r="412" spans="2:19" x14ac:dyDescent="0.25">
      <c r="B412" s="190"/>
      <c r="C412" s="193"/>
      <c r="D412" s="27" t="s">
        <v>80</v>
      </c>
      <c r="E412" s="28">
        <v>3</v>
      </c>
      <c r="F412" s="28">
        <v>33</v>
      </c>
      <c r="G412" s="27" t="s">
        <v>66</v>
      </c>
      <c r="H412" s="27"/>
      <c r="I412" s="48"/>
      <c r="L412" s="190"/>
      <c r="M412" s="193"/>
      <c r="N412" s="27" t="s">
        <v>80</v>
      </c>
      <c r="O412" s="28">
        <v>3</v>
      </c>
      <c r="P412" s="28">
        <v>33</v>
      </c>
      <c r="Q412" s="27" t="s">
        <v>66</v>
      </c>
      <c r="R412" s="27"/>
      <c r="S412" s="48"/>
    </row>
    <row r="413" spans="2:19" x14ac:dyDescent="0.25">
      <c r="B413" s="190"/>
      <c r="C413" s="193"/>
      <c r="D413" s="27" t="s">
        <v>81</v>
      </c>
      <c r="E413" s="28">
        <v>4</v>
      </c>
      <c r="F413" s="28">
        <v>34</v>
      </c>
      <c r="G413" s="27" t="s">
        <v>66</v>
      </c>
      <c r="H413" s="27"/>
      <c r="I413" s="48"/>
      <c r="L413" s="190"/>
      <c r="M413" s="193"/>
      <c r="N413" s="27" t="s">
        <v>81</v>
      </c>
      <c r="O413" s="28">
        <v>4</v>
      </c>
      <c r="P413" s="28">
        <v>34</v>
      </c>
      <c r="Q413" s="27" t="s">
        <v>66</v>
      </c>
      <c r="R413" s="27"/>
      <c r="S413" s="48"/>
    </row>
    <row r="414" spans="2:19" x14ac:dyDescent="0.25">
      <c r="B414" s="190"/>
      <c r="C414" s="193"/>
      <c r="D414" s="27" t="s">
        <v>82</v>
      </c>
      <c r="E414" s="28">
        <v>5</v>
      </c>
      <c r="F414" s="28">
        <v>35</v>
      </c>
      <c r="G414" s="27" t="s">
        <v>66</v>
      </c>
      <c r="H414" s="27"/>
      <c r="I414" s="48"/>
      <c r="L414" s="190"/>
      <c r="M414" s="193"/>
      <c r="N414" s="27" t="s">
        <v>82</v>
      </c>
      <c r="O414" s="28">
        <v>5</v>
      </c>
      <c r="P414" s="28">
        <v>35</v>
      </c>
      <c r="Q414" s="27" t="s">
        <v>66</v>
      </c>
      <c r="R414" s="27"/>
      <c r="S414" s="48"/>
    </row>
    <row r="415" spans="2:19" ht="15.75" thickBot="1" x14ac:dyDescent="0.3">
      <c r="B415" s="191"/>
      <c r="C415" s="194"/>
      <c r="D415" s="27" t="s">
        <v>83</v>
      </c>
      <c r="E415" s="28">
        <v>6</v>
      </c>
      <c r="F415" s="28">
        <v>36</v>
      </c>
      <c r="G415" s="27" t="s">
        <v>66</v>
      </c>
      <c r="H415" s="27"/>
      <c r="I415" s="48"/>
      <c r="L415" s="191"/>
      <c r="M415" s="194"/>
      <c r="N415" s="27" t="s">
        <v>83</v>
      </c>
      <c r="O415" s="28">
        <v>6</v>
      </c>
      <c r="P415" s="28">
        <v>36</v>
      </c>
      <c r="Q415" s="27" t="s">
        <v>66</v>
      </c>
      <c r="R415" s="27"/>
      <c r="S415" s="48"/>
    </row>
    <row r="416" spans="2:19" x14ac:dyDescent="0.25">
      <c r="B416" s="183" t="s">
        <v>81</v>
      </c>
      <c r="C416" s="186" t="s">
        <v>77</v>
      </c>
      <c r="D416" s="29" t="s">
        <v>2</v>
      </c>
      <c r="E416" s="30">
        <v>1</v>
      </c>
      <c r="F416" s="30">
        <v>37</v>
      </c>
      <c r="G416" s="29" t="s">
        <v>66</v>
      </c>
      <c r="H416" s="29"/>
      <c r="I416" s="49"/>
      <c r="L416" s="183" t="s">
        <v>81</v>
      </c>
      <c r="M416" s="186" t="s">
        <v>77</v>
      </c>
      <c r="N416" s="29" t="s">
        <v>2</v>
      </c>
      <c r="O416" s="30">
        <v>1</v>
      </c>
      <c r="P416" s="30">
        <v>37</v>
      </c>
      <c r="Q416" s="29" t="s">
        <v>66</v>
      </c>
      <c r="R416" s="29"/>
      <c r="S416" s="49"/>
    </row>
    <row r="417" spans="2:19" x14ac:dyDescent="0.25">
      <c r="B417" s="184"/>
      <c r="C417" s="187"/>
      <c r="D417" s="29" t="s">
        <v>3</v>
      </c>
      <c r="E417" s="30">
        <v>2</v>
      </c>
      <c r="F417" s="30">
        <v>38</v>
      </c>
      <c r="G417" s="29" t="s">
        <v>66</v>
      </c>
      <c r="H417" s="29"/>
      <c r="I417" s="49"/>
      <c r="L417" s="184"/>
      <c r="M417" s="187"/>
      <c r="N417" s="29" t="s">
        <v>3</v>
      </c>
      <c r="O417" s="30">
        <v>2</v>
      </c>
      <c r="P417" s="30">
        <v>38</v>
      </c>
      <c r="Q417" s="29" t="s">
        <v>66</v>
      </c>
      <c r="R417" s="29"/>
      <c r="S417" s="49"/>
    </row>
    <row r="418" spans="2:19" x14ac:dyDescent="0.25">
      <c r="B418" s="184"/>
      <c r="C418" s="187"/>
      <c r="D418" s="29" t="s">
        <v>80</v>
      </c>
      <c r="E418" s="30">
        <v>3</v>
      </c>
      <c r="F418" s="30">
        <v>39</v>
      </c>
      <c r="G418" s="29" t="s">
        <v>66</v>
      </c>
      <c r="H418" s="29"/>
      <c r="I418" s="49"/>
      <c r="L418" s="184"/>
      <c r="M418" s="187"/>
      <c r="N418" s="29" t="s">
        <v>80</v>
      </c>
      <c r="O418" s="30">
        <v>3</v>
      </c>
      <c r="P418" s="30">
        <v>39</v>
      </c>
      <c r="Q418" s="29" t="s">
        <v>66</v>
      </c>
      <c r="R418" s="29"/>
      <c r="S418" s="49"/>
    </row>
    <row r="419" spans="2:19" x14ac:dyDescent="0.25">
      <c r="B419" s="184"/>
      <c r="C419" s="187"/>
      <c r="D419" s="29" t="s">
        <v>81</v>
      </c>
      <c r="E419" s="30">
        <v>4</v>
      </c>
      <c r="F419" s="30">
        <v>40</v>
      </c>
      <c r="G419" s="29" t="s">
        <v>66</v>
      </c>
      <c r="H419" s="29"/>
      <c r="I419" s="49"/>
      <c r="L419" s="184"/>
      <c r="M419" s="187"/>
      <c r="N419" s="29" t="s">
        <v>81</v>
      </c>
      <c r="O419" s="30">
        <v>4</v>
      </c>
      <c r="P419" s="30">
        <v>40</v>
      </c>
      <c r="Q419" s="29" t="s">
        <v>66</v>
      </c>
      <c r="R419" s="29"/>
      <c r="S419" s="49"/>
    </row>
    <row r="420" spans="2:19" x14ac:dyDescent="0.25">
      <c r="B420" s="184"/>
      <c r="C420" s="187"/>
      <c r="D420" s="29" t="s">
        <v>82</v>
      </c>
      <c r="E420" s="30">
        <v>5</v>
      </c>
      <c r="F420" s="30">
        <v>41</v>
      </c>
      <c r="G420" s="29" t="s">
        <v>66</v>
      </c>
      <c r="H420" s="29"/>
      <c r="I420" s="49"/>
      <c r="L420" s="184"/>
      <c r="M420" s="187"/>
      <c r="N420" s="29" t="s">
        <v>82</v>
      </c>
      <c r="O420" s="30">
        <v>5</v>
      </c>
      <c r="P420" s="30">
        <v>41</v>
      </c>
      <c r="Q420" s="29" t="s">
        <v>66</v>
      </c>
      <c r="R420" s="29"/>
      <c r="S420" s="49"/>
    </row>
    <row r="421" spans="2:19" ht="15.75" thickBot="1" x14ac:dyDescent="0.3">
      <c r="B421" s="184"/>
      <c r="C421" s="188"/>
      <c r="D421" s="29" t="s">
        <v>83</v>
      </c>
      <c r="E421" s="30">
        <v>6</v>
      </c>
      <c r="F421" s="30">
        <v>42</v>
      </c>
      <c r="G421" s="29" t="s">
        <v>66</v>
      </c>
      <c r="H421" s="29"/>
      <c r="I421" s="49"/>
      <c r="L421" s="184"/>
      <c r="M421" s="188"/>
      <c r="N421" s="29" t="s">
        <v>83</v>
      </c>
      <c r="O421" s="30">
        <v>6</v>
      </c>
      <c r="P421" s="30">
        <v>42</v>
      </c>
      <c r="Q421" s="29" t="s">
        <v>66</v>
      </c>
      <c r="R421" s="29"/>
      <c r="S421" s="49"/>
    </row>
    <row r="422" spans="2:19" x14ac:dyDescent="0.25">
      <c r="B422" s="184"/>
      <c r="C422" s="186" t="s">
        <v>84</v>
      </c>
      <c r="D422" s="29" t="s">
        <v>2</v>
      </c>
      <c r="E422" s="30">
        <v>1</v>
      </c>
      <c r="F422" s="30">
        <v>43</v>
      </c>
      <c r="G422" s="29" t="s">
        <v>66</v>
      </c>
      <c r="H422" s="29"/>
      <c r="I422" s="49"/>
      <c r="L422" s="184"/>
      <c r="M422" s="186" t="s">
        <v>84</v>
      </c>
      <c r="N422" s="29" t="s">
        <v>2</v>
      </c>
      <c r="O422" s="30">
        <v>1</v>
      </c>
      <c r="P422" s="30">
        <v>43</v>
      </c>
      <c r="Q422" s="29" t="s">
        <v>66</v>
      </c>
      <c r="R422" s="29"/>
      <c r="S422" s="49"/>
    </row>
    <row r="423" spans="2:19" x14ac:dyDescent="0.25">
      <c r="B423" s="184"/>
      <c r="C423" s="187"/>
      <c r="D423" s="29" t="s">
        <v>3</v>
      </c>
      <c r="E423" s="30">
        <v>2</v>
      </c>
      <c r="F423" s="30">
        <v>44</v>
      </c>
      <c r="G423" s="29" t="s">
        <v>66</v>
      </c>
      <c r="H423" s="29"/>
      <c r="I423" s="49"/>
      <c r="L423" s="184"/>
      <c r="M423" s="187"/>
      <c r="N423" s="29" t="s">
        <v>3</v>
      </c>
      <c r="O423" s="30">
        <v>2</v>
      </c>
      <c r="P423" s="30">
        <v>44</v>
      </c>
      <c r="Q423" s="29" t="s">
        <v>66</v>
      </c>
      <c r="R423" s="29"/>
      <c r="S423" s="49"/>
    </row>
    <row r="424" spans="2:19" x14ac:dyDescent="0.25">
      <c r="B424" s="184"/>
      <c r="C424" s="187"/>
      <c r="D424" s="29" t="s">
        <v>80</v>
      </c>
      <c r="E424" s="30">
        <v>3</v>
      </c>
      <c r="F424" s="30">
        <v>45</v>
      </c>
      <c r="G424" s="29" t="s">
        <v>66</v>
      </c>
      <c r="H424" s="29"/>
      <c r="I424" s="49"/>
      <c r="L424" s="184"/>
      <c r="M424" s="187"/>
      <c r="N424" s="29" t="s">
        <v>80</v>
      </c>
      <c r="O424" s="30">
        <v>3</v>
      </c>
      <c r="P424" s="30">
        <v>45</v>
      </c>
      <c r="Q424" s="29" t="s">
        <v>66</v>
      </c>
      <c r="R424" s="29"/>
      <c r="S424" s="49"/>
    </row>
    <row r="425" spans="2:19" x14ac:dyDescent="0.25">
      <c r="B425" s="184"/>
      <c r="C425" s="187"/>
      <c r="D425" s="29" t="s">
        <v>81</v>
      </c>
      <c r="E425" s="30">
        <v>4</v>
      </c>
      <c r="F425" s="30">
        <v>46</v>
      </c>
      <c r="G425" s="29" t="s">
        <v>66</v>
      </c>
      <c r="H425" s="29"/>
      <c r="I425" s="49"/>
      <c r="L425" s="184"/>
      <c r="M425" s="187"/>
      <c r="N425" s="29" t="s">
        <v>81</v>
      </c>
      <c r="O425" s="30">
        <v>4</v>
      </c>
      <c r="P425" s="30">
        <v>46</v>
      </c>
      <c r="Q425" s="29" t="s">
        <v>66</v>
      </c>
      <c r="R425" s="29"/>
      <c r="S425" s="49"/>
    </row>
    <row r="426" spans="2:19" x14ac:dyDescent="0.25">
      <c r="B426" s="184"/>
      <c r="C426" s="187"/>
      <c r="D426" s="29" t="s">
        <v>82</v>
      </c>
      <c r="E426" s="30">
        <v>5</v>
      </c>
      <c r="F426" s="30">
        <v>47</v>
      </c>
      <c r="G426" s="29" t="s">
        <v>66</v>
      </c>
      <c r="H426" s="29"/>
      <c r="I426" s="49"/>
      <c r="L426" s="184"/>
      <c r="M426" s="187"/>
      <c r="N426" s="29" t="s">
        <v>82</v>
      </c>
      <c r="O426" s="30">
        <v>5</v>
      </c>
      <c r="P426" s="30">
        <v>47</v>
      </c>
      <c r="Q426" s="29" t="s">
        <v>66</v>
      </c>
      <c r="R426" s="29"/>
      <c r="S426" s="49"/>
    </row>
    <row r="427" spans="2:19" ht="15.75" thickBot="1" x14ac:dyDescent="0.3">
      <c r="B427" s="185"/>
      <c r="C427" s="188"/>
      <c r="D427" s="29" t="s">
        <v>83</v>
      </c>
      <c r="E427" s="30">
        <v>6</v>
      </c>
      <c r="F427" s="30">
        <v>48</v>
      </c>
      <c r="G427" s="29" t="s">
        <v>66</v>
      </c>
      <c r="H427" s="29"/>
      <c r="I427" s="49"/>
      <c r="L427" s="185"/>
      <c r="M427" s="188"/>
      <c r="N427" s="29" t="s">
        <v>83</v>
      </c>
      <c r="O427" s="30">
        <v>6</v>
      </c>
      <c r="P427" s="30">
        <v>48</v>
      </c>
      <c r="Q427" s="29" t="s">
        <v>66</v>
      </c>
      <c r="R427" s="29"/>
      <c r="S427" s="49"/>
    </row>
    <row r="429" spans="2:19" ht="15.75" thickBot="1" x14ac:dyDescent="0.3"/>
    <row r="430" spans="2:19" ht="15.75" thickBot="1" x14ac:dyDescent="0.3">
      <c r="B430" s="171" t="s">
        <v>400</v>
      </c>
      <c r="C430" s="172"/>
      <c r="D430" s="172"/>
      <c r="E430" s="172"/>
      <c r="F430" s="172"/>
      <c r="G430" s="172"/>
      <c r="H430" s="172"/>
      <c r="I430" s="173"/>
      <c r="L430" s="171" t="s">
        <v>401</v>
      </c>
      <c r="M430" s="172"/>
      <c r="N430" s="172"/>
      <c r="O430" s="172"/>
      <c r="P430" s="172"/>
      <c r="Q430" s="172"/>
      <c r="R430" s="172"/>
      <c r="S430" s="173"/>
    </row>
    <row r="432" spans="2:19" ht="26.25" thickBot="1" x14ac:dyDescent="0.3">
      <c r="B432" s="15" t="s">
        <v>70</v>
      </c>
      <c r="C432" s="16" t="s">
        <v>71</v>
      </c>
      <c r="D432" s="15" t="s">
        <v>72</v>
      </c>
      <c r="E432" s="17" t="s">
        <v>73</v>
      </c>
      <c r="F432" s="17" t="s">
        <v>74</v>
      </c>
      <c r="G432" s="15" t="s">
        <v>75</v>
      </c>
      <c r="H432" s="15" t="s">
        <v>55</v>
      </c>
      <c r="I432" s="15" t="s">
        <v>76</v>
      </c>
      <c r="L432" s="15" t="s">
        <v>70</v>
      </c>
      <c r="M432" s="16" t="s">
        <v>71</v>
      </c>
      <c r="N432" s="15" t="s">
        <v>72</v>
      </c>
      <c r="O432" s="17" t="s">
        <v>73</v>
      </c>
      <c r="P432" s="17" t="s">
        <v>74</v>
      </c>
      <c r="Q432" s="15" t="s">
        <v>75</v>
      </c>
      <c r="R432" s="15" t="s">
        <v>55</v>
      </c>
      <c r="S432" s="15" t="s">
        <v>76</v>
      </c>
    </row>
    <row r="433" spans="2:19" ht="15" customHeight="1" x14ac:dyDescent="0.25">
      <c r="B433" s="174" t="s">
        <v>2</v>
      </c>
      <c r="C433" s="168" t="s">
        <v>77</v>
      </c>
      <c r="D433" s="18" t="s">
        <v>2</v>
      </c>
      <c r="E433" s="19">
        <v>1</v>
      </c>
      <c r="F433" s="19">
        <v>1</v>
      </c>
      <c r="G433" s="18" t="s">
        <v>66</v>
      </c>
      <c r="H433" s="32"/>
      <c r="I433" s="50"/>
      <c r="L433" s="174" t="s">
        <v>2</v>
      </c>
      <c r="M433" s="168" t="s">
        <v>77</v>
      </c>
      <c r="N433" s="18" t="s">
        <v>2</v>
      </c>
      <c r="O433" s="19">
        <v>1</v>
      </c>
      <c r="P433" s="19">
        <v>1</v>
      </c>
      <c r="Q433" s="18" t="s">
        <v>66</v>
      </c>
      <c r="R433" s="32"/>
      <c r="S433" s="50"/>
    </row>
    <row r="434" spans="2:19" x14ac:dyDescent="0.25">
      <c r="B434" s="175"/>
      <c r="C434" s="169"/>
      <c r="D434" s="18" t="s">
        <v>3</v>
      </c>
      <c r="E434" s="19">
        <v>2</v>
      </c>
      <c r="F434" s="19">
        <v>2</v>
      </c>
      <c r="G434" s="18" t="s">
        <v>66</v>
      </c>
      <c r="H434" s="32"/>
      <c r="I434" s="50"/>
      <c r="L434" s="175"/>
      <c r="M434" s="169"/>
      <c r="N434" s="18" t="s">
        <v>3</v>
      </c>
      <c r="O434" s="19">
        <v>2</v>
      </c>
      <c r="P434" s="19">
        <v>2</v>
      </c>
      <c r="Q434" s="18" t="s">
        <v>66</v>
      </c>
      <c r="R434" s="32"/>
      <c r="S434" s="50"/>
    </row>
    <row r="435" spans="2:19" x14ac:dyDescent="0.25">
      <c r="B435" s="175"/>
      <c r="C435" s="169"/>
      <c r="D435" s="18" t="s">
        <v>80</v>
      </c>
      <c r="E435" s="20">
        <v>3</v>
      </c>
      <c r="F435" s="20">
        <v>3</v>
      </c>
      <c r="G435" s="18" t="s">
        <v>66</v>
      </c>
      <c r="H435" s="32"/>
      <c r="I435" s="50"/>
      <c r="L435" s="175"/>
      <c r="M435" s="169"/>
      <c r="N435" s="18" t="s">
        <v>80</v>
      </c>
      <c r="O435" s="20">
        <v>3</v>
      </c>
      <c r="P435" s="20">
        <v>3</v>
      </c>
      <c r="Q435" s="18" t="s">
        <v>66</v>
      </c>
      <c r="R435" s="32"/>
      <c r="S435" s="50"/>
    </row>
    <row r="436" spans="2:19" x14ac:dyDescent="0.25">
      <c r="B436" s="175"/>
      <c r="C436" s="169"/>
      <c r="D436" s="18" t="s">
        <v>81</v>
      </c>
      <c r="E436" s="20">
        <v>4</v>
      </c>
      <c r="F436" s="20">
        <v>4</v>
      </c>
      <c r="G436" s="18" t="s">
        <v>66</v>
      </c>
      <c r="H436" s="32"/>
      <c r="I436" s="50"/>
      <c r="L436" s="175"/>
      <c r="M436" s="169"/>
      <c r="N436" s="18" t="s">
        <v>81</v>
      </c>
      <c r="O436" s="20">
        <v>4</v>
      </c>
      <c r="P436" s="20">
        <v>4</v>
      </c>
      <c r="Q436" s="18" t="s">
        <v>66</v>
      </c>
      <c r="R436" s="32"/>
      <c r="S436" s="50"/>
    </row>
    <row r="437" spans="2:19" x14ac:dyDescent="0.25">
      <c r="B437" s="175"/>
      <c r="C437" s="169"/>
      <c r="D437" s="18" t="s">
        <v>82</v>
      </c>
      <c r="E437" s="20">
        <v>5</v>
      </c>
      <c r="F437" s="20">
        <v>5</v>
      </c>
      <c r="G437" s="18" t="s">
        <v>66</v>
      </c>
      <c r="H437" s="32"/>
      <c r="I437" s="50"/>
      <c r="L437" s="175"/>
      <c r="M437" s="169"/>
      <c r="N437" s="18" t="s">
        <v>82</v>
      </c>
      <c r="O437" s="20">
        <v>5</v>
      </c>
      <c r="P437" s="20">
        <v>5</v>
      </c>
      <c r="Q437" s="18" t="s">
        <v>66</v>
      </c>
      <c r="R437" s="32"/>
      <c r="S437" s="50"/>
    </row>
    <row r="438" spans="2:19" ht="15.75" thickBot="1" x14ac:dyDescent="0.3">
      <c r="B438" s="175"/>
      <c r="C438" s="170"/>
      <c r="D438" s="18" t="s">
        <v>83</v>
      </c>
      <c r="E438" s="20">
        <v>6</v>
      </c>
      <c r="F438" s="20">
        <v>6</v>
      </c>
      <c r="G438" s="18" t="s">
        <v>66</v>
      </c>
      <c r="H438" s="32"/>
      <c r="I438" s="50"/>
      <c r="L438" s="175"/>
      <c r="M438" s="170"/>
      <c r="N438" s="18" t="s">
        <v>83</v>
      </c>
      <c r="O438" s="20">
        <v>6</v>
      </c>
      <c r="P438" s="20">
        <v>6</v>
      </c>
      <c r="Q438" s="18" t="s">
        <v>66</v>
      </c>
      <c r="R438" s="32"/>
      <c r="S438" s="50"/>
    </row>
    <row r="439" spans="2:19" x14ac:dyDescent="0.25">
      <c r="B439" s="175"/>
      <c r="C439" s="168" t="s">
        <v>84</v>
      </c>
      <c r="D439" s="18" t="s">
        <v>2</v>
      </c>
      <c r="E439" s="19">
        <v>1</v>
      </c>
      <c r="F439" s="19">
        <v>7</v>
      </c>
      <c r="G439" s="18" t="s">
        <v>78</v>
      </c>
      <c r="H439" s="156" t="s">
        <v>384</v>
      </c>
      <c r="I439" s="165" t="s">
        <v>217</v>
      </c>
      <c r="L439" s="175"/>
      <c r="M439" s="168" t="s">
        <v>84</v>
      </c>
      <c r="N439" s="18" t="s">
        <v>2</v>
      </c>
      <c r="O439" s="19">
        <v>1</v>
      </c>
      <c r="P439" s="19">
        <v>7</v>
      </c>
      <c r="Q439" s="18" t="s">
        <v>78</v>
      </c>
      <c r="R439" s="156" t="s">
        <v>384</v>
      </c>
      <c r="S439" s="165" t="s">
        <v>219</v>
      </c>
    </row>
    <row r="440" spans="2:19" x14ac:dyDescent="0.25">
      <c r="B440" s="175"/>
      <c r="C440" s="169"/>
      <c r="D440" s="18" t="s">
        <v>3</v>
      </c>
      <c r="E440" s="19">
        <v>2</v>
      </c>
      <c r="F440" s="19">
        <v>8</v>
      </c>
      <c r="G440" s="18" t="s">
        <v>78</v>
      </c>
      <c r="H440" s="157"/>
      <c r="I440" s="166"/>
      <c r="L440" s="175"/>
      <c r="M440" s="169"/>
      <c r="N440" s="18" t="s">
        <v>3</v>
      </c>
      <c r="O440" s="19">
        <v>2</v>
      </c>
      <c r="P440" s="19">
        <v>8</v>
      </c>
      <c r="Q440" s="18" t="s">
        <v>78</v>
      </c>
      <c r="R440" s="157"/>
      <c r="S440" s="166"/>
    </row>
    <row r="441" spans="2:19" x14ac:dyDescent="0.25">
      <c r="B441" s="175"/>
      <c r="C441" s="169"/>
      <c r="D441" s="18" t="s">
        <v>80</v>
      </c>
      <c r="E441" s="20">
        <v>3</v>
      </c>
      <c r="F441" s="20">
        <v>9</v>
      </c>
      <c r="G441" s="18" t="s">
        <v>66</v>
      </c>
      <c r="H441" s="157"/>
      <c r="I441" s="166"/>
      <c r="L441" s="175"/>
      <c r="M441" s="169"/>
      <c r="N441" s="18" t="s">
        <v>80</v>
      </c>
      <c r="O441" s="20">
        <v>3</v>
      </c>
      <c r="P441" s="20">
        <v>9</v>
      </c>
      <c r="Q441" s="18" t="s">
        <v>66</v>
      </c>
      <c r="R441" s="157"/>
      <c r="S441" s="166"/>
    </row>
    <row r="442" spans="2:19" x14ac:dyDescent="0.25">
      <c r="B442" s="175"/>
      <c r="C442" s="169"/>
      <c r="D442" s="18" t="s">
        <v>81</v>
      </c>
      <c r="E442" s="20">
        <v>4</v>
      </c>
      <c r="F442" s="20">
        <v>10</v>
      </c>
      <c r="G442" s="18" t="s">
        <v>66</v>
      </c>
      <c r="H442" s="157"/>
      <c r="I442" s="166"/>
      <c r="L442" s="175"/>
      <c r="M442" s="169"/>
      <c r="N442" s="18" t="s">
        <v>81</v>
      </c>
      <c r="O442" s="20">
        <v>4</v>
      </c>
      <c r="P442" s="20">
        <v>10</v>
      </c>
      <c r="Q442" s="18" t="s">
        <v>66</v>
      </c>
      <c r="R442" s="157"/>
      <c r="S442" s="166"/>
    </row>
    <row r="443" spans="2:19" x14ac:dyDescent="0.25">
      <c r="B443" s="175"/>
      <c r="C443" s="169"/>
      <c r="D443" s="18" t="s">
        <v>82</v>
      </c>
      <c r="E443" s="20">
        <v>5</v>
      </c>
      <c r="F443" s="20">
        <v>11</v>
      </c>
      <c r="G443" s="18" t="s">
        <v>66</v>
      </c>
      <c r="H443" s="157"/>
      <c r="I443" s="166"/>
      <c r="L443" s="175"/>
      <c r="M443" s="169"/>
      <c r="N443" s="18" t="s">
        <v>82</v>
      </c>
      <c r="O443" s="20">
        <v>5</v>
      </c>
      <c r="P443" s="20">
        <v>11</v>
      </c>
      <c r="Q443" s="18" t="s">
        <v>66</v>
      </c>
      <c r="R443" s="157"/>
      <c r="S443" s="166"/>
    </row>
    <row r="444" spans="2:19" ht="15.75" thickBot="1" x14ac:dyDescent="0.3">
      <c r="B444" s="176"/>
      <c r="C444" s="170"/>
      <c r="D444" s="18" t="s">
        <v>83</v>
      </c>
      <c r="E444" s="20">
        <v>6</v>
      </c>
      <c r="F444" s="20">
        <v>12</v>
      </c>
      <c r="G444" s="18" t="s">
        <v>66</v>
      </c>
      <c r="H444" s="158"/>
      <c r="I444" s="167"/>
      <c r="L444" s="176"/>
      <c r="M444" s="170"/>
      <c r="N444" s="18" t="s">
        <v>83</v>
      </c>
      <c r="O444" s="20">
        <v>6</v>
      </c>
      <c r="P444" s="20">
        <v>12</v>
      </c>
      <c r="Q444" s="18" t="s">
        <v>66</v>
      </c>
      <c r="R444" s="158"/>
      <c r="S444" s="167"/>
    </row>
    <row r="445" spans="2:19" x14ac:dyDescent="0.25">
      <c r="B445" s="180" t="s">
        <v>3</v>
      </c>
      <c r="C445" s="177" t="s">
        <v>77</v>
      </c>
      <c r="D445" s="21" t="s">
        <v>2</v>
      </c>
      <c r="E445" s="22">
        <v>1</v>
      </c>
      <c r="F445" s="22">
        <v>13</v>
      </c>
      <c r="G445" s="21" t="s">
        <v>66</v>
      </c>
      <c r="H445" s="21"/>
      <c r="I445" s="51"/>
      <c r="L445" s="180" t="s">
        <v>3</v>
      </c>
      <c r="M445" s="177" t="s">
        <v>77</v>
      </c>
      <c r="N445" s="21" t="s">
        <v>2</v>
      </c>
      <c r="O445" s="22">
        <v>1</v>
      </c>
      <c r="P445" s="22">
        <v>13</v>
      </c>
      <c r="Q445" s="21" t="s">
        <v>66</v>
      </c>
      <c r="R445" s="21"/>
      <c r="S445" s="51"/>
    </row>
    <row r="446" spans="2:19" x14ac:dyDescent="0.25">
      <c r="B446" s="181"/>
      <c r="C446" s="178"/>
      <c r="D446" s="23" t="s">
        <v>3</v>
      </c>
      <c r="E446" s="24">
        <v>2</v>
      </c>
      <c r="F446" s="24">
        <v>14</v>
      </c>
      <c r="G446" s="23" t="s">
        <v>66</v>
      </c>
      <c r="H446" s="23"/>
      <c r="I446" s="47"/>
      <c r="L446" s="181"/>
      <c r="M446" s="178"/>
      <c r="N446" s="23" t="s">
        <v>3</v>
      </c>
      <c r="O446" s="24">
        <v>2</v>
      </c>
      <c r="P446" s="24">
        <v>14</v>
      </c>
      <c r="Q446" s="23" t="s">
        <v>66</v>
      </c>
      <c r="R446" s="23"/>
      <c r="S446" s="47"/>
    </row>
    <row r="447" spans="2:19" x14ac:dyDescent="0.25">
      <c r="B447" s="181"/>
      <c r="C447" s="178"/>
      <c r="D447" s="23" t="s">
        <v>80</v>
      </c>
      <c r="E447" s="24">
        <v>3</v>
      </c>
      <c r="F447" s="24">
        <v>15</v>
      </c>
      <c r="G447" s="23" t="s">
        <v>66</v>
      </c>
      <c r="H447" s="23"/>
      <c r="I447" s="47"/>
      <c r="L447" s="181"/>
      <c r="M447" s="178"/>
      <c r="N447" s="23" t="s">
        <v>80</v>
      </c>
      <c r="O447" s="24">
        <v>3</v>
      </c>
      <c r="P447" s="24">
        <v>15</v>
      </c>
      <c r="Q447" s="23" t="s">
        <v>66</v>
      </c>
      <c r="R447" s="23"/>
      <c r="S447" s="47"/>
    </row>
    <row r="448" spans="2:19" x14ac:dyDescent="0.25">
      <c r="B448" s="181"/>
      <c r="C448" s="178"/>
      <c r="D448" s="23" t="s">
        <v>81</v>
      </c>
      <c r="E448" s="24">
        <v>4</v>
      </c>
      <c r="F448" s="24">
        <v>16</v>
      </c>
      <c r="G448" s="23" t="s">
        <v>66</v>
      </c>
      <c r="H448" s="23"/>
      <c r="I448" s="47"/>
      <c r="L448" s="181"/>
      <c r="M448" s="178"/>
      <c r="N448" s="23" t="s">
        <v>81</v>
      </c>
      <c r="O448" s="24">
        <v>4</v>
      </c>
      <c r="P448" s="24">
        <v>16</v>
      </c>
      <c r="Q448" s="23" t="s">
        <v>66</v>
      </c>
      <c r="R448" s="23"/>
      <c r="S448" s="47"/>
    </row>
    <row r="449" spans="2:19" x14ac:dyDescent="0.25">
      <c r="B449" s="181"/>
      <c r="C449" s="178"/>
      <c r="D449" s="23" t="s">
        <v>82</v>
      </c>
      <c r="E449" s="24">
        <v>5</v>
      </c>
      <c r="F449" s="24">
        <v>17</v>
      </c>
      <c r="G449" s="23" t="s">
        <v>66</v>
      </c>
      <c r="H449" s="23"/>
      <c r="I449" s="47"/>
      <c r="L449" s="181"/>
      <c r="M449" s="178"/>
      <c r="N449" s="23" t="s">
        <v>82</v>
      </c>
      <c r="O449" s="24">
        <v>5</v>
      </c>
      <c r="P449" s="24">
        <v>17</v>
      </c>
      <c r="Q449" s="23" t="s">
        <v>66</v>
      </c>
      <c r="R449" s="23"/>
      <c r="S449" s="47"/>
    </row>
    <row r="450" spans="2:19" ht="15.75" thickBot="1" x14ac:dyDescent="0.3">
      <c r="B450" s="181"/>
      <c r="C450" s="179"/>
      <c r="D450" s="23" t="s">
        <v>83</v>
      </c>
      <c r="E450" s="24">
        <v>6</v>
      </c>
      <c r="F450" s="24">
        <v>18</v>
      </c>
      <c r="G450" s="23" t="s">
        <v>66</v>
      </c>
      <c r="H450" s="23"/>
      <c r="I450" s="47"/>
      <c r="L450" s="181"/>
      <c r="M450" s="179"/>
      <c r="N450" s="23" t="s">
        <v>83</v>
      </c>
      <c r="O450" s="24">
        <v>6</v>
      </c>
      <c r="P450" s="24">
        <v>18</v>
      </c>
      <c r="Q450" s="23" t="s">
        <v>66</v>
      </c>
      <c r="R450" s="23"/>
      <c r="S450" s="47"/>
    </row>
    <row r="451" spans="2:19" x14ac:dyDescent="0.25">
      <c r="B451" s="181"/>
      <c r="C451" s="177" t="s">
        <v>84</v>
      </c>
      <c r="D451" s="23" t="s">
        <v>2</v>
      </c>
      <c r="E451" s="24">
        <v>1</v>
      </c>
      <c r="F451" s="24">
        <v>19</v>
      </c>
      <c r="G451" s="23" t="s">
        <v>66</v>
      </c>
      <c r="H451" s="23"/>
      <c r="I451" s="47"/>
      <c r="L451" s="181"/>
      <c r="M451" s="177" t="s">
        <v>84</v>
      </c>
      <c r="N451" s="23" t="s">
        <v>2</v>
      </c>
      <c r="O451" s="24">
        <v>1</v>
      </c>
      <c r="P451" s="24">
        <v>19</v>
      </c>
      <c r="Q451" s="23" t="s">
        <v>66</v>
      </c>
      <c r="R451" s="23"/>
      <c r="S451" s="47"/>
    </row>
    <row r="452" spans="2:19" x14ac:dyDescent="0.25">
      <c r="B452" s="181"/>
      <c r="C452" s="178"/>
      <c r="D452" s="23" t="s">
        <v>3</v>
      </c>
      <c r="E452" s="24">
        <v>2</v>
      </c>
      <c r="F452" s="24">
        <v>20</v>
      </c>
      <c r="G452" s="23" t="s">
        <v>66</v>
      </c>
      <c r="H452" s="23"/>
      <c r="I452" s="47"/>
      <c r="L452" s="181"/>
      <c r="M452" s="178"/>
      <c r="N452" s="23" t="s">
        <v>3</v>
      </c>
      <c r="O452" s="24">
        <v>2</v>
      </c>
      <c r="P452" s="24">
        <v>20</v>
      </c>
      <c r="Q452" s="23" t="s">
        <v>66</v>
      </c>
      <c r="R452" s="23"/>
      <c r="S452" s="47"/>
    </row>
    <row r="453" spans="2:19" x14ac:dyDescent="0.25">
      <c r="B453" s="181"/>
      <c r="C453" s="178"/>
      <c r="D453" s="23" t="s">
        <v>80</v>
      </c>
      <c r="E453" s="26">
        <v>3</v>
      </c>
      <c r="F453" s="24">
        <v>21</v>
      </c>
      <c r="G453" s="23" t="s">
        <v>66</v>
      </c>
      <c r="H453" s="23"/>
      <c r="I453" s="47"/>
      <c r="L453" s="181"/>
      <c r="M453" s="178"/>
      <c r="N453" s="23" t="s">
        <v>80</v>
      </c>
      <c r="O453" s="26">
        <v>3</v>
      </c>
      <c r="P453" s="24">
        <v>21</v>
      </c>
      <c r="Q453" s="23" t="s">
        <v>66</v>
      </c>
      <c r="R453" s="23"/>
      <c r="S453" s="47"/>
    </row>
    <row r="454" spans="2:19" x14ac:dyDescent="0.25">
      <c r="B454" s="181"/>
      <c r="C454" s="178"/>
      <c r="D454" s="23" t="s">
        <v>81</v>
      </c>
      <c r="E454" s="24">
        <v>4</v>
      </c>
      <c r="F454" s="24">
        <v>22</v>
      </c>
      <c r="G454" s="23" t="s">
        <v>66</v>
      </c>
      <c r="H454" s="23"/>
      <c r="I454" s="47"/>
      <c r="L454" s="181"/>
      <c r="M454" s="178"/>
      <c r="N454" s="23" t="s">
        <v>81</v>
      </c>
      <c r="O454" s="24">
        <v>4</v>
      </c>
      <c r="P454" s="24">
        <v>22</v>
      </c>
      <c r="Q454" s="23" t="s">
        <v>66</v>
      </c>
      <c r="R454" s="23"/>
      <c r="S454" s="47"/>
    </row>
    <row r="455" spans="2:19" x14ac:dyDescent="0.25">
      <c r="B455" s="181"/>
      <c r="C455" s="178"/>
      <c r="D455" s="23" t="s">
        <v>82</v>
      </c>
      <c r="E455" s="24">
        <v>5</v>
      </c>
      <c r="F455" s="24">
        <v>23</v>
      </c>
      <c r="G455" s="23" t="s">
        <v>66</v>
      </c>
      <c r="H455" s="23"/>
      <c r="I455" s="47"/>
      <c r="L455" s="181"/>
      <c r="M455" s="178"/>
      <c r="N455" s="23" t="s">
        <v>82</v>
      </c>
      <c r="O455" s="24">
        <v>5</v>
      </c>
      <c r="P455" s="24">
        <v>23</v>
      </c>
      <c r="Q455" s="23" t="s">
        <v>66</v>
      </c>
      <c r="R455" s="23"/>
      <c r="S455" s="47"/>
    </row>
    <row r="456" spans="2:19" ht="15.75" thickBot="1" x14ac:dyDescent="0.3">
      <c r="B456" s="182"/>
      <c r="C456" s="179"/>
      <c r="D456" s="23" t="s">
        <v>83</v>
      </c>
      <c r="E456" s="24">
        <v>6</v>
      </c>
      <c r="F456" s="24">
        <v>24</v>
      </c>
      <c r="G456" s="23" t="s">
        <v>66</v>
      </c>
      <c r="H456" s="23"/>
      <c r="I456" s="47"/>
      <c r="L456" s="182"/>
      <c r="M456" s="179"/>
      <c r="N456" s="23" t="s">
        <v>83</v>
      </c>
      <c r="O456" s="24">
        <v>6</v>
      </c>
      <c r="P456" s="24">
        <v>24</v>
      </c>
      <c r="Q456" s="23" t="s">
        <v>66</v>
      </c>
      <c r="R456" s="23"/>
      <c r="S456" s="47"/>
    </row>
    <row r="457" spans="2:19" x14ac:dyDescent="0.25">
      <c r="B457" s="189" t="s">
        <v>80</v>
      </c>
      <c r="C457" s="192" t="s">
        <v>77</v>
      </c>
      <c r="D457" s="27" t="s">
        <v>2</v>
      </c>
      <c r="E457" s="28">
        <v>1</v>
      </c>
      <c r="F457" s="28">
        <v>25</v>
      </c>
      <c r="G457" s="27" t="s">
        <v>66</v>
      </c>
      <c r="H457" s="27"/>
      <c r="I457" s="48"/>
      <c r="L457" s="189" t="s">
        <v>80</v>
      </c>
      <c r="M457" s="192" t="s">
        <v>77</v>
      </c>
      <c r="N457" s="27" t="s">
        <v>2</v>
      </c>
      <c r="O457" s="28">
        <v>1</v>
      </c>
      <c r="P457" s="28">
        <v>25</v>
      </c>
      <c r="Q457" s="27" t="s">
        <v>66</v>
      </c>
      <c r="R457" s="27"/>
      <c r="S457" s="48"/>
    </row>
    <row r="458" spans="2:19" x14ac:dyDescent="0.25">
      <c r="B458" s="190"/>
      <c r="C458" s="193"/>
      <c r="D458" s="27" t="s">
        <v>3</v>
      </c>
      <c r="E458" s="28">
        <v>2</v>
      </c>
      <c r="F458" s="28">
        <v>26</v>
      </c>
      <c r="G458" s="27" t="s">
        <v>66</v>
      </c>
      <c r="H458" s="27"/>
      <c r="I458" s="48"/>
      <c r="L458" s="190"/>
      <c r="M458" s="193"/>
      <c r="N458" s="27" t="s">
        <v>3</v>
      </c>
      <c r="O458" s="28">
        <v>2</v>
      </c>
      <c r="P458" s="28">
        <v>26</v>
      </c>
      <c r="Q458" s="27" t="s">
        <v>66</v>
      </c>
      <c r="R458" s="27"/>
      <c r="S458" s="48"/>
    </row>
    <row r="459" spans="2:19" x14ac:dyDescent="0.25">
      <c r="B459" s="190"/>
      <c r="C459" s="193"/>
      <c r="D459" s="27" t="s">
        <v>80</v>
      </c>
      <c r="E459" s="28">
        <v>3</v>
      </c>
      <c r="F459" s="28">
        <v>27</v>
      </c>
      <c r="G459" s="27" t="s">
        <v>66</v>
      </c>
      <c r="H459" s="27"/>
      <c r="I459" s="48"/>
      <c r="L459" s="190"/>
      <c r="M459" s="193"/>
      <c r="N459" s="27" t="s">
        <v>80</v>
      </c>
      <c r="O459" s="28">
        <v>3</v>
      </c>
      <c r="P459" s="28">
        <v>27</v>
      </c>
      <c r="Q459" s="27" t="s">
        <v>66</v>
      </c>
      <c r="R459" s="27"/>
      <c r="S459" s="48"/>
    </row>
    <row r="460" spans="2:19" x14ac:dyDescent="0.25">
      <c r="B460" s="190"/>
      <c r="C460" s="193"/>
      <c r="D460" s="27" t="s">
        <v>81</v>
      </c>
      <c r="E460" s="28">
        <v>4</v>
      </c>
      <c r="F460" s="28">
        <v>28</v>
      </c>
      <c r="G460" s="27" t="s">
        <v>66</v>
      </c>
      <c r="H460" s="27"/>
      <c r="I460" s="48"/>
      <c r="L460" s="190"/>
      <c r="M460" s="193"/>
      <c r="N460" s="27" t="s">
        <v>81</v>
      </c>
      <c r="O460" s="28">
        <v>4</v>
      </c>
      <c r="P460" s="28">
        <v>28</v>
      </c>
      <c r="Q460" s="27" t="s">
        <v>66</v>
      </c>
      <c r="R460" s="27"/>
      <c r="S460" s="48"/>
    </row>
    <row r="461" spans="2:19" x14ac:dyDescent="0.25">
      <c r="B461" s="190"/>
      <c r="C461" s="193"/>
      <c r="D461" s="27" t="s">
        <v>82</v>
      </c>
      <c r="E461" s="28">
        <v>5</v>
      </c>
      <c r="F461" s="28">
        <v>29</v>
      </c>
      <c r="G461" s="27" t="s">
        <v>66</v>
      </c>
      <c r="H461" s="27"/>
      <c r="I461" s="48"/>
      <c r="L461" s="190"/>
      <c r="M461" s="193"/>
      <c r="N461" s="27" t="s">
        <v>82</v>
      </c>
      <c r="O461" s="28">
        <v>5</v>
      </c>
      <c r="P461" s="28">
        <v>29</v>
      </c>
      <c r="Q461" s="27" t="s">
        <v>66</v>
      </c>
      <c r="R461" s="27"/>
      <c r="S461" s="48"/>
    </row>
    <row r="462" spans="2:19" ht="15.75" thickBot="1" x14ac:dyDescent="0.3">
      <c r="B462" s="190"/>
      <c r="C462" s="194"/>
      <c r="D462" s="27" t="s">
        <v>83</v>
      </c>
      <c r="E462" s="28">
        <v>6</v>
      </c>
      <c r="F462" s="28">
        <v>30</v>
      </c>
      <c r="G462" s="27" t="s">
        <v>66</v>
      </c>
      <c r="H462" s="27"/>
      <c r="I462" s="48"/>
      <c r="L462" s="190"/>
      <c r="M462" s="194"/>
      <c r="N462" s="27" t="s">
        <v>83</v>
      </c>
      <c r="O462" s="28">
        <v>6</v>
      </c>
      <c r="P462" s="28">
        <v>30</v>
      </c>
      <c r="Q462" s="27" t="s">
        <v>66</v>
      </c>
      <c r="R462" s="27"/>
      <c r="S462" s="48"/>
    </row>
    <row r="463" spans="2:19" x14ac:dyDescent="0.25">
      <c r="B463" s="190"/>
      <c r="C463" s="192" t="s">
        <v>84</v>
      </c>
      <c r="D463" s="27" t="s">
        <v>2</v>
      </c>
      <c r="E463" s="28">
        <v>1</v>
      </c>
      <c r="F463" s="28">
        <v>31</v>
      </c>
      <c r="G463" s="27" t="s">
        <v>66</v>
      </c>
      <c r="H463" s="27"/>
      <c r="I463" s="48"/>
      <c r="L463" s="190"/>
      <c r="M463" s="192" t="s">
        <v>84</v>
      </c>
      <c r="N463" s="27" t="s">
        <v>2</v>
      </c>
      <c r="O463" s="28">
        <v>1</v>
      </c>
      <c r="P463" s="28">
        <v>31</v>
      </c>
      <c r="Q463" s="27" t="s">
        <v>66</v>
      </c>
      <c r="R463" s="27"/>
      <c r="S463" s="48"/>
    </row>
    <row r="464" spans="2:19" x14ac:dyDescent="0.25">
      <c r="B464" s="190"/>
      <c r="C464" s="193"/>
      <c r="D464" s="27" t="s">
        <v>3</v>
      </c>
      <c r="E464" s="28">
        <v>2</v>
      </c>
      <c r="F464" s="28">
        <v>32</v>
      </c>
      <c r="G464" s="27" t="s">
        <v>66</v>
      </c>
      <c r="H464" s="27"/>
      <c r="I464" s="48"/>
      <c r="L464" s="190"/>
      <c r="M464" s="193"/>
      <c r="N464" s="27" t="s">
        <v>3</v>
      </c>
      <c r="O464" s="28">
        <v>2</v>
      </c>
      <c r="P464" s="28">
        <v>32</v>
      </c>
      <c r="Q464" s="27" t="s">
        <v>66</v>
      </c>
      <c r="R464" s="27"/>
      <c r="S464" s="48"/>
    </row>
    <row r="465" spans="2:19" x14ac:dyDescent="0.25">
      <c r="B465" s="190"/>
      <c r="C465" s="193"/>
      <c r="D465" s="27" t="s">
        <v>80</v>
      </c>
      <c r="E465" s="28">
        <v>3</v>
      </c>
      <c r="F465" s="28">
        <v>33</v>
      </c>
      <c r="G465" s="27" t="s">
        <v>66</v>
      </c>
      <c r="H465" s="27"/>
      <c r="I465" s="48"/>
      <c r="L465" s="190"/>
      <c r="M465" s="193"/>
      <c r="N465" s="27" t="s">
        <v>80</v>
      </c>
      <c r="O465" s="28">
        <v>3</v>
      </c>
      <c r="P465" s="28">
        <v>33</v>
      </c>
      <c r="Q465" s="27" t="s">
        <v>66</v>
      </c>
      <c r="R465" s="27"/>
      <c r="S465" s="48"/>
    </row>
    <row r="466" spans="2:19" x14ac:dyDescent="0.25">
      <c r="B466" s="190"/>
      <c r="C466" s="193"/>
      <c r="D466" s="27" t="s">
        <v>81</v>
      </c>
      <c r="E466" s="28">
        <v>4</v>
      </c>
      <c r="F466" s="28">
        <v>34</v>
      </c>
      <c r="G466" s="27" t="s">
        <v>66</v>
      </c>
      <c r="H466" s="27"/>
      <c r="I466" s="48"/>
      <c r="L466" s="190"/>
      <c r="M466" s="193"/>
      <c r="N466" s="27" t="s">
        <v>81</v>
      </c>
      <c r="O466" s="28">
        <v>4</v>
      </c>
      <c r="P466" s="28">
        <v>34</v>
      </c>
      <c r="Q466" s="27" t="s">
        <v>66</v>
      </c>
      <c r="R466" s="27"/>
      <c r="S466" s="48"/>
    </row>
    <row r="467" spans="2:19" x14ac:dyDescent="0.25">
      <c r="B467" s="190"/>
      <c r="C467" s="193"/>
      <c r="D467" s="27" t="s">
        <v>82</v>
      </c>
      <c r="E467" s="28">
        <v>5</v>
      </c>
      <c r="F467" s="28">
        <v>35</v>
      </c>
      <c r="G467" s="27" t="s">
        <v>66</v>
      </c>
      <c r="H467" s="27"/>
      <c r="I467" s="48"/>
      <c r="L467" s="190"/>
      <c r="M467" s="193"/>
      <c r="N467" s="27" t="s">
        <v>82</v>
      </c>
      <c r="O467" s="28">
        <v>5</v>
      </c>
      <c r="P467" s="28">
        <v>35</v>
      </c>
      <c r="Q467" s="27" t="s">
        <v>66</v>
      </c>
      <c r="R467" s="27"/>
      <c r="S467" s="48"/>
    </row>
    <row r="468" spans="2:19" ht="15.75" thickBot="1" x14ac:dyDescent="0.3">
      <c r="B468" s="191"/>
      <c r="C468" s="194"/>
      <c r="D468" s="27" t="s">
        <v>83</v>
      </c>
      <c r="E468" s="28">
        <v>6</v>
      </c>
      <c r="F468" s="28">
        <v>36</v>
      </c>
      <c r="G468" s="27" t="s">
        <v>66</v>
      </c>
      <c r="H468" s="27"/>
      <c r="I468" s="48"/>
      <c r="L468" s="191"/>
      <c r="M468" s="194"/>
      <c r="N468" s="27" t="s">
        <v>83</v>
      </c>
      <c r="O468" s="28">
        <v>6</v>
      </c>
      <c r="P468" s="28">
        <v>36</v>
      </c>
      <c r="Q468" s="27" t="s">
        <v>66</v>
      </c>
      <c r="R468" s="27"/>
      <c r="S468" s="48"/>
    </row>
    <row r="469" spans="2:19" x14ac:dyDescent="0.25">
      <c r="B469" s="183" t="s">
        <v>81</v>
      </c>
      <c r="C469" s="186" t="s">
        <v>77</v>
      </c>
      <c r="D469" s="29" t="s">
        <v>2</v>
      </c>
      <c r="E469" s="30">
        <v>1</v>
      </c>
      <c r="F469" s="30">
        <v>37</v>
      </c>
      <c r="G469" s="29" t="s">
        <v>66</v>
      </c>
      <c r="H469" s="29"/>
      <c r="I469" s="49"/>
      <c r="L469" s="183" t="s">
        <v>81</v>
      </c>
      <c r="M469" s="186" t="s">
        <v>77</v>
      </c>
      <c r="N469" s="29" t="s">
        <v>2</v>
      </c>
      <c r="O469" s="30">
        <v>1</v>
      </c>
      <c r="P469" s="30">
        <v>37</v>
      </c>
      <c r="Q469" s="29" t="s">
        <v>66</v>
      </c>
      <c r="R469" s="29"/>
      <c r="S469" s="49"/>
    </row>
    <row r="470" spans="2:19" x14ac:dyDescent="0.25">
      <c r="B470" s="184"/>
      <c r="C470" s="187"/>
      <c r="D470" s="29" t="s">
        <v>3</v>
      </c>
      <c r="E470" s="30">
        <v>2</v>
      </c>
      <c r="F470" s="30">
        <v>38</v>
      </c>
      <c r="G470" s="29" t="s">
        <v>66</v>
      </c>
      <c r="H470" s="29"/>
      <c r="I470" s="49"/>
      <c r="L470" s="184"/>
      <c r="M470" s="187"/>
      <c r="N470" s="29" t="s">
        <v>3</v>
      </c>
      <c r="O470" s="30">
        <v>2</v>
      </c>
      <c r="P470" s="30">
        <v>38</v>
      </c>
      <c r="Q470" s="29" t="s">
        <v>66</v>
      </c>
      <c r="R470" s="29"/>
      <c r="S470" s="49"/>
    </row>
    <row r="471" spans="2:19" x14ac:dyDescent="0.25">
      <c r="B471" s="184"/>
      <c r="C471" s="187"/>
      <c r="D471" s="29" t="s">
        <v>80</v>
      </c>
      <c r="E471" s="30">
        <v>3</v>
      </c>
      <c r="F471" s="30">
        <v>39</v>
      </c>
      <c r="G471" s="29" t="s">
        <v>66</v>
      </c>
      <c r="H471" s="29"/>
      <c r="I471" s="49"/>
      <c r="L471" s="184"/>
      <c r="M471" s="187"/>
      <c r="N471" s="29" t="s">
        <v>80</v>
      </c>
      <c r="O471" s="30">
        <v>3</v>
      </c>
      <c r="P471" s="30">
        <v>39</v>
      </c>
      <c r="Q471" s="29" t="s">
        <v>66</v>
      </c>
      <c r="R471" s="29"/>
      <c r="S471" s="49"/>
    </row>
    <row r="472" spans="2:19" x14ac:dyDescent="0.25">
      <c r="B472" s="184"/>
      <c r="C472" s="187"/>
      <c r="D472" s="29" t="s">
        <v>81</v>
      </c>
      <c r="E472" s="30">
        <v>4</v>
      </c>
      <c r="F472" s="30">
        <v>40</v>
      </c>
      <c r="G472" s="29" t="s">
        <v>66</v>
      </c>
      <c r="H472" s="29"/>
      <c r="I472" s="49"/>
      <c r="L472" s="184"/>
      <c r="M472" s="187"/>
      <c r="N472" s="29" t="s">
        <v>81</v>
      </c>
      <c r="O472" s="30">
        <v>4</v>
      </c>
      <c r="P472" s="30">
        <v>40</v>
      </c>
      <c r="Q472" s="29" t="s">
        <v>66</v>
      </c>
      <c r="R472" s="29"/>
      <c r="S472" s="49"/>
    </row>
    <row r="473" spans="2:19" x14ac:dyDescent="0.25">
      <c r="B473" s="184"/>
      <c r="C473" s="187"/>
      <c r="D473" s="29" t="s">
        <v>82</v>
      </c>
      <c r="E473" s="30">
        <v>5</v>
      </c>
      <c r="F473" s="30">
        <v>41</v>
      </c>
      <c r="G473" s="29" t="s">
        <v>66</v>
      </c>
      <c r="H473" s="29"/>
      <c r="I473" s="49"/>
      <c r="L473" s="184"/>
      <c r="M473" s="187"/>
      <c r="N473" s="29" t="s">
        <v>82</v>
      </c>
      <c r="O473" s="30">
        <v>5</v>
      </c>
      <c r="P473" s="30">
        <v>41</v>
      </c>
      <c r="Q473" s="29" t="s">
        <v>66</v>
      </c>
      <c r="R473" s="29"/>
      <c r="S473" s="49"/>
    </row>
    <row r="474" spans="2:19" ht="15.75" thickBot="1" x14ac:dyDescent="0.3">
      <c r="B474" s="184"/>
      <c r="C474" s="188"/>
      <c r="D474" s="29" t="s">
        <v>83</v>
      </c>
      <c r="E474" s="30">
        <v>6</v>
      </c>
      <c r="F474" s="30">
        <v>42</v>
      </c>
      <c r="G474" s="29" t="s">
        <v>66</v>
      </c>
      <c r="H474" s="29"/>
      <c r="I474" s="49"/>
      <c r="L474" s="184"/>
      <c r="M474" s="188"/>
      <c r="N474" s="29" t="s">
        <v>83</v>
      </c>
      <c r="O474" s="30">
        <v>6</v>
      </c>
      <c r="P474" s="30">
        <v>42</v>
      </c>
      <c r="Q474" s="29" t="s">
        <v>66</v>
      </c>
      <c r="R474" s="29"/>
      <c r="S474" s="49"/>
    </row>
    <row r="475" spans="2:19" x14ac:dyDescent="0.25">
      <c r="B475" s="184"/>
      <c r="C475" s="186" t="s">
        <v>84</v>
      </c>
      <c r="D475" s="29" t="s">
        <v>2</v>
      </c>
      <c r="E475" s="30">
        <v>1</v>
      </c>
      <c r="F475" s="30">
        <v>43</v>
      </c>
      <c r="G475" s="29" t="s">
        <v>66</v>
      </c>
      <c r="H475" s="29"/>
      <c r="I475" s="49"/>
      <c r="L475" s="184"/>
      <c r="M475" s="186" t="s">
        <v>84</v>
      </c>
      <c r="N475" s="29" t="s">
        <v>2</v>
      </c>
      <c r="O475" s="30">
        <v>1</v>
      </c>
      <c r="P475" s="30">
        <v>43</v>
      </c>
      <c r="Q475" s="29" t="s">
        <v>66</v>
      </c>
      <c r="R475" s="29"/>
      <c r="S475" s="49"/>
    </row>
    <row r="476" spans="2:19" x14ac:dyDescent="0.25">
      <c r="B476" s="184"/>
      <c r="C476" s="187"/>
      <c r="D476" s="29" t="s">
        <v>3</v>
      </c>
      <c r="E476" s="30">
        <v>2</v>
      </c>
      <c r="F476" s="30">
        <v>44</v>
      </c>
      <c r="G476" s="29" t="s">
        <v>66</v>
      </c>
      <c r="H476" s="29"/>
      <c r="I476" s="49"/>
      <c r="L476" s="184"/>
      <c r="M476" s="187"/>
      <c r="N476" s="29" t="s">
        <v>3</v>
      </c>
      <c r="O476" s="30">
        <v>2</v>
      </c>
      <c r="P476" s="30">
        <v>44</v>
      </c>
      <c r="Q476" s="29" t="s">
        <v>66</v>
      </c>
      <c r="R476" s="29"/>
      <c r="S476" s="49"/>
    </row>
    <row r="477" spans="2:19" x14ac:dyDescent="0.25">
      <c r="B477" s="184"/>
      <c r="C477" s="187"/>
      <c r="D477" s="29" t="s">
        <v>80</v>
      </c>
      <c r="E477" s="30">
        <v>3</v>
      </c>
      <c r="F477" s="30">
        <v>45</v>
      </c>
      <c r="G477" s="29" t="s">
        <v>66</v>
      </c>
      <c r="H477" s="29"/>
      <c r="I477" s="49"/>
      <c r="L477" s="184"/>
      <c r="M477" s="187"/>
      <c r="N477" s="29" t="s">
        <v>80</v>
      </c>
      <c r="O477" s="30">
        <v>3</v>
      </c>
      <c r="P477" s="30">
        <v>45</v>
      </c>
      <c r="Q477" s="29" t="s">
        <v>66</v>
      </c>
      <c r="R477" s="29"/>
      <c r="S477" s="49"/>
    </row>
    <row r="478" spans="2:19" x14ac:dyDescent="0.25">
      <c r="B478" s="184"/>
      <c r="C478" s="187"/>
      <c r="D478" s="29" t="s">
        <v>81</v>
      </c>
      <c r="E478" s="30">
        <v>4</v>
      </c>
      <c r="F478" s="30">
        <v>46</v>
      </c>
      <c r="G478" s="29" t="s">
        <v>66</v>
      </c>
      <c r="H478" s="29"/>
      <c r="I478" s="49"/>
      <c r="L478" s="184"/>
      <c r="M478" s="187"/>
      <c r="N478" s="29" t="s">
        <v>81</v>
      </c>
      <c r="O478" s="30">
        <v>4</v>
      </c>
      <c r="P478" s="30">
        <v>46</v>
      </c>
      <c r="Q478" s="29" t="s">
        <v>66</v>
      </c>
      <c r="R478" s="29"/>
      <c r="S478" s="49"/>
    </row>
    <row r="479" spans="2:19" x14ac:dyDescent="0.25">
      <c r="B479" s="184"/>
      <c r="C479" s="187"/>
      <c r="D479" s="29" t="s">
        <v>82</v>
      </c>
      <c r="E479" s="30">
        <v>5</v>
      </c>
      <c r="F479" s="30">
        <v>47</v>
      </c>
      <c r="G479" s="29" t="s">
        <v>66</v>
      </c>
      <c r="H479" s="29"/>
      <c r="I479" s="49"/>
      <c r="L479" s="184"/>
      <c r="M479" s="187"/>
      <c r="N479" s="29" t="s">
        <v>82</v>
      </c>
      <c r="O479" s="30">
        <v>5</v>
      </c>
      <c r="P479" s="30">
        <v>47</v>
      </c>
      <c r="Q479" s="29" t="s">
        <v>66</v>
      </c>
      <c r="R479" s="29"/>
      <c r="S479" s="49"/>
    </row>
    <row r="480" spans="2:19" ht="15.75" thickBot="1" x14ac:dyDescent="0.3">
      <c r="B480" s="185"/>
      <c r="C480" s="188"/>
      <c r="D480" s="29" t="s">
        <v>83</v>
      </c>
      <c r="E480" s="30">
        <v>6</v>
      </c>
      <c r="F480" s="30">
        <v>48</v>
      </c>
      <c r="G480" s="29" t="s">
        <v>66</v>
      </c>
      <c r="H480" s="29"/>
      <c r="I480" s="49"/>
      <c r="L480" s="185"/>
      <c r="M480" s="188"/>
      <c r="N480" s="29" t="s">
        <v>83</v>
      </c>
      <c r="O480" s="30">
        <v>6</v>
      </c>
      <c r="P480" s="30">
        <v>48</v>
      </c>
      <c r="Q480" s="29" t="s">
        <v>66</v>
      </c>
      <c r="R480" s="29"/>
      <c r="S480" s="49"/>
    </row>
    <row r="489" spans="2:19" ht="15.75" thickBot="1" x14ac:dyDescent="0.3"/>
    <row r="490" spans="2:19" ht="15.75" thickBot="1" x14ac:dyDescent="0.3">
      <c r="B490" s="171" t="s">
        <v>402</v>
      </c>
      <c r="C490" s="172"/>
      <c r="D490" s="172"/>
      <c r="E490" s="172"/>
      <c r="F490" s="172"/>
      <c r="G490" s="172"/>
      <c r="H490" s="172"/>
      <c r="I490" s="173"/>
      <c r="L490" s="171" t="s">
        <v>403</v>
      </c>
      <c r="M490" s="172"/>
      <c r="N490" s="172"/>
      <c r="O490" s="172"/>
      <c r="P490" s="172"/>
      <c r="Q490" s="172"/>
      <c r="R490" s="172"/>
      <c r="S490" s="173"/>
    </row>
    <row r="492" spans="2:19" ht="26.25" thickBot="1" x14ac:dyDescent="0.3">
      <c r="B492" s="15" t="s">
        <v>70</v>
      </c>
      <c r="C492" s="16" t="s">
        <v>71</v>
      </c>
      <c r="D492" s="15" t="s">
        <v>72</v>
      </c>
      <c r="E492" s="17" t="s">
        <v>73</v>
      </c>
      <c r="F492" s="17" t="s">
        <v>74</v>
      </c>
      <c r="G492" s="15" t="s">
        <v>75</v>
      </c>
      <c r="H492" s="15" t="s">
        <v>55</v>
      </c>
      <c r="I492" s="15" t="s">
        <v>76</v>
      </c>
      <c r="L492" s="15" t="s">
        <v>70</v>
      </c>
      <c r="M492" s="16" t="s">
        <v>71</v>
      </c>
      <c r="N492" s="15" t="s">
        <v>72</v>
      </c>
      <c r="O492" s="17" t="s">
        <v>73</v>
      </c>
      <c r="P492" s="17" t="s">
        <v>74</v>
      </c>
      <c r="Q492" s="15" t="s">
        <v>75</v>
      </c>
      <c r="R492" s="15" t="s">
        <v>55</v>
      </c>
      <c r="S492" s="15" t="s">
        <v>76</v>
      </c>
    </row>
    <row r="493" spans="2:19" x14ac:dyDescent="0.25">
      <c r="B493" s="174" t="s">
        <v>2</v>
      </c>
      <c r="C493" s="168" t="s">
        <v>77</v>
      </c>
      <c r="D493" s="18" t="s">
        <v>2</v>
      </c>
      <c r="E493" s="19">
        <v>1</v>
      </c>
      <c r="F493" s="19">
        <v>1</v>
      </c>
      <c r="G493" s="18" t="s">
        <v>66</v>
      </c>
      <c r="H493" s="32"/>
      <c r="I493" s="50"/>
      <c r="L493" s="174" t="s">
        <v>2</v>
      </c>
      <c r="M493" s="168" t="s">
        <v>77</v>
      </c>
      <c r="N493" s="18" t="s">
        <v>2</v>
      </c>
      <c r="O493" s="19">
        <v>1</v>
      </c>
      <c r="P493" s="19">
        <v>1</v>
      </c>
      <c r="Q493" s="18" t="s">
        <v>66</v>
      </c>
      <c r="R493" s="32"/>
      <c r="S493" s="50"/>
    </row>
    <row r="494" spans="2:19" x14ac:dyDescent="0.25">
      <c r="B494" s="175"/>
      <c r="C494" s="169"/>
      <c r="D494" s="18" t="s">
        <v>3</v>
      </c>
      <c r="E494" s="19">
        <v>2</v>
      </c>
      <c r="F494" s="19">
        <v>2</v>
      </c>
      <c r="G494" s="18" t="s">
        <v>66</v>
      </c>
      <c r="H494" s="32"/>
      <c r="I494" s="50"/>
      <c r="L494" s="175"/>
      <c r="M494" s="169"/>
      <c r="N494" s="18" t="s">
        <v>3</v>
      </c>
      <c r="O494" s="19">
        <v>2</v>
      </c>
      <c r="P494" s="19">
        <v>2</v>
      </c>
      <c r="Q494" s="18" t="s">
        <v>66</v>
      </c>
      <c r="R494" s="32"/>
      <c r="S494" s="50"/>
    </row>
    <row r="495" spans="2:19" x14ac:dyDescent="0.25">
      <c r="B495" s="175"/>
      <c r="C495" s="169"/>
      <c r="D495" s="18" t="s">
        <v>80</v>
      </c>
      <c r="E495" s="20">
        <v>3</v>
      </c>
      <c r="F495" s="20">
        <v>3</v>
      </c>
      <c r="G495" s="18" t="s">
        <v>66</v>
      </c>
      <c r="H495" s="32"/>
      <c r="I495" s="50"/>
      <c r="L495" s="175"/>
      <c r="M495" s="169"/>
      <c r="N495" s="18" t="s">
        <v>80</v>
      </c>
      <c r="O495" s="20">
        <v>3</v>
      </c>
      <c r="P495" s="20">
        <v>3</v>
      </c>
      <c r="Q495" s="18" t="s">
        <v>66</v>
      </c>
      <c r="R495" s="32"/>
      <c r="S495" s="50"/>
    </row>
    <row r="496" spans="2:19" x14ac:dyDescent="0.25">
      <c r="B496" s="175"/>
      <c r="C496" s="169"/>
      <c r="D496" s="18" t="s">
        <v>81</v>
      </c>
      <c r="E496" s="20">
        <v>4</v>
      </c>
      <c r="F496" s="20">
        <v>4</v>
      </c>
      <c r="G496" s="18" t="s">
        <v>66</v>
      </c>
      <c r="H496" s="32"/>
      <c r="I496" s="50"/>
      <c r="L496" s="175"/>
      <c r="M496" s="169"/>
      <c r="N496" s="18" t="s">
        <v>81</v>
      </c>
      <c r="O496" s="20">
        <v>4</v>
      </c>
      <c r="P496" s="20">
        <v>4</v>
      </c>
      <c r="Q496" s="18" t="s">
        <v>66</v>
      </c>
      <c r="R496" s="32"/>
      <c r="S496" s="50"/>
    </row>
    <row r="497" spans="2:19" x14ac:dyDescent="0.25">
      <c r="B497" s="175"/>
      <c r="C497" s="169"/>
      <c r="D497" s="18" t="s">
        <v>82</v>
      </c>
      <c r="E497" s="20">
        <v>5</v>
      </c>
      <c r="F497" s="20">
        <v>5</v>
      </c>
      <c r="G497" s="18" t="s">
        <v>66</v>
      </c>
      <c r="H497" s="32"/>
      <c r="I497" s="50"/>
      <c r="L497" s="175"/>
      <c r="M497" s="169"/>
      <c r="N497" s="18" t="s">
        <v>82</v>
      </c>
      <c r="O497" s="20">
        <v>5</v>
      </c>
      <c r="P497" s="20">
        <v>5</v>
      </c>
      <c r="Q497" s="18" t="s">
        <v>66</v>
      </c>
      <c r="R497" s="32"/>
      <c r="S497" s="50"/>
    </row>
    <row r="498" spans="2:19" ht="15.75" thickBot="1" x14ac:dyDescent="0.3">
      <c r="B498" s="175"/>
      <c r="C498" s="170"/>
      <c r="D498" s="18" t="s">
        <v>83</v>
      </c>
      <c r="E498" s="20">
        <v>6</v>
      </c>
      <c r="F498" s="20">
        <v>6</v>
      </c>
      <c r="G498" s="18" t="s">
        <v>66</v>
      </c>
      <c r="H498" s="32"/>
      <c r="I498" s="50"/>
      <c r="L498" s="175"/>
      <c r="M498" s="170"/>
      <c r="N498" s="18" t="s">
        <v>83</v>
      </c>
      <c r="O498" s="20">
        <v>6</v>
      </c>
      <c r="P498" s="20">
        <v>6</v>
      </c>
      <c r="Q498" s="18" t="s">
        <v>66</v>
      </c>
      <c r="R498" s="32"/>
      <c r="S498" s="50"/>
    </row>
    <row r="499" spans="2:19" x14ac:dyDescent="0.25">
      <c r="B499" s="175"/>
      <c r="C499" s="168" t="s">
        <v>84</v>
      </c>
      <c r="D499" s="18" t="s">
        <v>2</v>
      </c>
      <c r="E499" s="19">
        <v>1</v>
      </c>
      <c r="F499" s="19">
        <v>7</v>
      </c>
      <c r="G499" s="18" t="s">
        <v>66</v>
      </c>
      <c r="H499" s="32"/>
      <c r="I499" s="50"/>
      <c r="L499" s="175"/>
      <c r="M499" s="168" t="s">
        <v>84</v>
      </c>
      <c r="N499" s="18" t="s">
        <v>2</v>
      </c>
      <c r="O499" s="19">
        <v>1</v>
      </c>
      <c r="P499" s="19">
        <v>7</v>
      </c>
      <c r="Q499" s="18" t="s">
        <v>66</v>
      </c>
      <c r="R499" s="32"/>
      <c r="S499" s="50"/>
    </row>
    <row r="500" spans="2:19" x14ac:dyDescent="0.25">
      <c r="B500" s="175"/>
      <c r="C500" s="169"/>
      <c r="D500" s="18" t="s">
        <v>3</v>
      </c>
      <c r="E500" s="19">
        <v>2</v>
      </c>
      <c r="F500" s="19">
        <v>8</v>
      </c>
      <c r="G500" s="18" t="s">
        <v>66</v>
      </c>
      <c r="H500" s="32"/>
      <c r="I500" s="50"/>
      <c r="L500" s="175"/>
      <c r="M500" s="169"/>
      <c r="N500" s="18" t="s">
        <v>3</v>
      </c>
      <c r="O500" s="19">
        <v>2</v>
      </c>
      <c r="P500" s="19">
        <v>8</v>
      </c>
      <c r="Q500" s="18" t="s">
        <v>66</v>
      </c>
      <c r="R500" s="32"/>
      <c r="S500" s="50"/>
    </row>
    <row r="501" spans="2:19" x14ac:dyDescent="0.25">
      <c r="B501" s="175"/>
      <c r="C501" s="169"/>
      <c r="D501" s="18" t="s">
        <v>80</v>
      </c>
      <c r="E501" s="20">
        <v>3</v>
      </c>
      <c r="F501" s="20">
        <v>9</v>
      </c>
      <c r="G501" s="18" t="s">
        <v>66</v>
      </c>
      <c r="H501" s="32"/>
      <c r="I501" s="50"/>
      <c r="L501" s="175"/>
      <c r="M501" s="169"/>
      <c r="N501" s="18" t="s">
        <v>80</v>
      </c>
      <c r="O501" s="20">
        <v>3</v>
      </c>
      <c r="P501" s="20">
        <v>9</v>
      </c>
      <c r="Q501" s="18" t="s">
        <v>66</v>
      </c>
      <c r="R501" s="32"/>
      <c r="S501" s="50"/>
    </row>
    <row r="502" spans="2:19" x14ac:dyDescent="0.25">
      <c r="B502" s="175"/>
      <c r="C502" s="169"/>
      <c r="D502" s="18" t="s">
        <v>81</v>
      </c>
      <c r="E502" s="20">
        <v>4</v>
      </c>
      <c r="F502" s="20">
        <v>10</v>
      </c>
      <c r="G502" s="18" t="s">
        <v>66</v>
      </c>
      <c r="H502" s="32"/>
      <c r="I502" s="50"/>
      <c r="L502" s="175"/>
      <c r="M502" s="169"/>
      <c r="N502" s="18" t="s">
        <v>81</v>
      </c>
      <c r="O502" s="20">
        <v>4</v>
      </c>
      <c r="P502" s="20">
        <v>10</v>
      </c>
      <c r="Q502" s="18" t="s">
        <v>66</v>
      </c>
      <c r="R502" s="32"/>
      <c r="S502" s="50"/>
    </row>
    <row r="503" spans="2:19" x14ac:dyDescent="0.25">
      <c r="B503" s="175"/>
      <c r="C503" s="169"/>
      <c r="D503" s="18" t="s">
        <v>82</v>
      </c>
      <c r="E503" s="20">
        <v>5</v>
      </c>
      <c r="F503" s="20">
        <v>11</v>
      </c>
      <c r="G503" s="18" t="s">
        <v>66</v>
      </c>
      <c r="H503" s="32"/>
      <c r="I503" s="50"/>
      <c r="L503" s="175"/>
      <c r="M503" s="169"/>
      <c r="N503" s="18" t="s">
        <v>82</v>
      </c>
      <c r="O503" s="20">
        <v>5</v>
      </c>
      <c r="P503" s="20">
        <v>11</v>
      </c>
      <c r="Q503" s="18" t="s">
        <v>66</v>
      </c>
      <c r="R503" s="32"/>
      <c r="S503" s="50"/>
    </row>
    <row r="504" spans="2:19" ht="15.75" thickBot="1" x14ac:dyDescent="0.3">
      <c r="B504" s="176"/>
      <c r="C504" s="170"/>
      <c r="D504" s="18" t="s">
        <v>83</v>
      </c>
      <c r="E504" s="20">
        <v>6</v>
      </c>
      <c r="F504" s="20">
        <v>12</v>
      </c>
      <c r="G504" s="18" t="s">
        <v>66</v>
      </c>
      <c r="H504" s="32"/>
      <c r="I504" s="50"/>
      <c r="L504" s="176"/>
      <c r="M504" s="170"/>
      <c r="N504" s="18" t="s">
        <v>83</v>
      </c>
      <c r="O504" s="20">
        <v>6</v>
      </c>
      <c r="P504" s="20">
        <v>12</v>
      </c>
      <c r="Q504" s="18" t="s">
        <v>66</v>
      </c>
      <c r="R504" s="32"/>
      <c r="S504" s="50"/>
    </row>
    <row r="505" spans="2:19" x14ac:dyDescent="0.25">
      <c r="B505" s="180" t="s">
        <v>3</v>
      </c>
      <c r="C505" s="177" t="s">
        <v>77</v>
      </c>
      <c r="D505" s="21" t="s">
        <v>2</v>
      </c>
      <c r="E505" s="22">
        <v>1</v>
      </c>
      <c r="F505" s="22">
        <v>13</v>
      </c>
      <c r="G505" s="21" t="s">
        <v>78</v>
      </c>
      <c r="H505" s="159" t="s">
        <v>385</v>
      </c>
      <c r="I505" s="162" t="s">
        <v>156</v>
      </c>
      <c r="L505" s="180" t="s">
        <v>3</v>
      </c>
      <c r="M505" s="177" t="s">
        <v>77</v>
      </c>
      <c r="N505" s="21" t="s">
        <v>2</v>
      </c>
      <c r="O505" s="22">
        <v>1</v>
      </c>
      <c r="P505" s="22">
        <v>13</v>
      </c>
      <c r="Q505" s="21" t="s">
        <v>78</v>
      </c>
      <c r="R505" s="159" t="s">
        <v>385</v>
      </c>
      <c r="S505" s="162" t="s">
        <v>222</v>
      </c>
    </row>
    <row r="506" spans="2:19" x14ac:dyDescent="0.25">
      <c r="B506" s="181"/>
      <c r="C506" s="178"/>
      <c r="D506" s="23" t="s">
        <v>3</v>
      </c>
      <c r="E506" s="24">
        <v>2</v>
      </c>
      <c r="F506" s="24">
        <v>14</v>
      </c>
      <c r="G506" s="23" t="s">
        <v>78</v>
      </c>
      <c r="H506" s="160"/>
      <c r="I506" s="163"/>
      <c r="L506" s="181"/>
      <c r="M506" s="178"/>
      <c r="N506" s="23" t="s">
        <v>3</v>
      </c>
      <c r="O506" s="24">
        <v>2</v>
      </c>
      <c r="P506" s="24">
        <v>14</v>
      </c>
      <c r="Q506" s="23" t="s">
        <v>78</v>
      </c>
      <c r="R506" s="160"/>
      <c r="S506" s="163"/>
    </row>
    <row r="507" spans="2:19" x14ac:dyDescent="0.25">
      <c r="B507" s="181"/>
      <c r="C507" s="178"/>
      <c r="D507" s="23" t="s">
        <v>80</v>
      </c>
      <c r="E507" s="24">
        <v>3</v>
      </c>
      <c r="F507" s="24">
        <v>15</v>
      </c>
      <c r="G507" s="23" t="s">
        <v>66</v>
      </c>
      <c r="H507" s="160"/>
      <c r="I507" s="163"/>
      <c r="L507" s="181"/>
      <c r="M507" s="178"/>
      <c r="N507" s="23" t="s">
        <v>80</v>
      </c>
      <c r="O507" s="24">
        <v>3</v>
      </c>
      <c r="P507" s="24">
        <v>15</v>
      </c>
      <c r="Q507" s="23" t="s">
        <v>66</v>
      </c>
      <c r="R507" s="160"/>
      <c r="S507" s="163"/>
    </row>
    <row r="508" spans="2:19" x14ac:dyDescent="0.25">
      <c r="B508" s="181"/>
      <c r="C508" s="178"/>
      <c r="D508" s="23" t="s">
        <v>81</v>
      </c>
      <c r="E508" s="24">
        <v>4</v>
      </c>
      <c r="F508" s="24">
        <v>16</v>
      </c>
      <c r="G508" s="23" t="s">
        <v>66</v>
      </c>
      <c r="H508" s="160"/>
      <c r="I508" s="163"/>
      <c r="L508" s="181"/>
      <c r="M508" s="178"/>
      <c r="N508" s="23" t="s">
        <v>81</v>
      </c>
      <c r="O508" s="24">
        <v>4</v>
      </c>
      <c r="P508" s="24">
        <v>16</v>
      </c>
      <c r="Q508" s="23" t="s">
        <v>66</v>
      </c>
      <c r="R508" s="160"/>
      <c r="S508" s="163"/>
    </row>
    <row r="509" spans="2:19" x14ac:dyDescent="0.25">
      <c r="B509" s="181"/>
      <c r="C509" s="178"/>
      <c r="D509" s="23" t="s">
        <v>82</v>
      </c>
      <c r="E509" s="24">
        <v>5</v>
      </c>
      <c r="F509" s="24">
        <v>17</v>
      </c>
      <c r="G509" s="23" t="s">
        <v>66</v>
      </c>
      <c r="H509" s="160"/>
      <c r="I509" s="163"/>
      <c r="L509" s="181"/>
      <c r="M509" s="178"/>
      <c r="N509" s="23" t="s">
        <v>82</v>
      </c>
      <c r="O509" s="24">
        <v>5</v>
      </c>
      <c r="P509" s="24">
        <v>17</v>
      </c>
      <c r="Q509" s="23" t="s">
        <v>66</v>
      </c>
      <c r="R509" s="160"/>
      <c r="S509" s="163"/>
    </row>
    <row r="510" spans="2:19" ht="15.75" thickBot="1" x14ac:dyDescent="0.3">
      <c r="B510" s="181"/>
      <c r="C510" s="179"/>
      <c r="D510" s="23" t="s">
        <v>83</v>
      </c>
      <c r="E510" s="24">
        <v>6</v>
      </c>
      <c r="F510" s="24">
        <v>18</v>
      </c>
      <c r="G510" s="23" t="s">
        <v>66</v>
      </c>
      <c r="H510" s="161"/>
      <c r="I510" s="164"/>
      <c r="L510" s="181"/>
      <c r="M510" s="179"/>
      <c r="N510" s="23" t="s">
        <v>83</v>
      </c>
      <c r="O510" s="24">
        <v>6</v>
      </c>
      <c r="P510" s="24">
        <v>18</v>
      </c>
      <c r="Q510" s="23" t="s">
        <v>66</v>
      </c>
      <c r="R510" s="161"/>
      <c r="S510" s="164"/>
    </row>
    <row r="511" spans="2:19" x14ac:dyDescent="0.25">
      <c r="B511" s="181"/>
      <c r="C511" s="177" t="s">
        <v>84</v>
      </c>
      <c r="D511" s="23" t="s">
        <v>2</v>
      </c>
      <c r="E511" s="24">
        <v>1</v>
      </c>
      <c r="F511" s="24">
        <v>19</v>
      </c>
      <c r="G511" s="23" t="s">
        <v>66</v>
      </c>
      <c r="H511" s="23"/>
      <c r="I511" s="47"/>
      <c r="L511" s="181"/>
      <c r="M511" s="177" t="s">
        <v>84</v>
      </c>
      <c r="N511" s="23" t="s">
        <v>2</v>
      </c>
      <c r="O511" s="24">
        <v>1</v>
      </c>
      <c r="P511" s="24">
        <v>19</v>
      </c>
      <c r="Q511" s="23" t="s">
        <v>66</v>
      </c>
      <c r="R511" s="23"/>
      <c r="S511" s="47"/>
    </row>
    <row r="512" spans="2:19" x14ac:dyDescent="0.25">
      <c r="B512" s="181"/>
      <c r="C512" s="178"/>
      <c r="D512" s="23" t="s">
        <v>3</v>
      </c>
      <c r="E512" s="24">
        <v>2</v>
      </c>
      <c r="F512" s="24">
        <v>20</v>
      </c>
      <c r="G512" s="23" t="s">
        <v>66</v>
      </c>
      <c r="H512" s="23"/>
      <c r="I512" s="47"/>
      <c r="L512" s="181"/>
      <c r="M512" s="178"/>
      <c r="N512" s="23" t="s">
        <v>3</v>
      </c>
      <c r="O512" s="24">
        <v>2</v>
      </c>
      <c r="P512" s="24">
        <v>20</v>
      </c>
      <c r="Q512" s="23" t="s">
        <v>66</v>
      </c>
      <c r="R512" s="23"/>
      <c r="S512" s="47"/>
    </row>
    <row r="513" spans="2:19" x14ac:dyDescent="0.25">
      <c r="B513" s="181"/>
      <c r="C513" s="178"/>
      <c r="D513" s="23" t="s">
        <v>80</v>
      </c>
      <c r="E513" s="26">
        <v>3</v>
      </c>
      <c r="F513" s="24">
        <v>21</v>
      </c>
      <c r="G513" s="23" t="s">
        <v>66</v>
      </c>
      <c r="H513" s="23"/>
      <c r="I513" s="47"/>
      <c r="L513" s="181"/>
      <c r="M513" s="178"/>
      <c r="N513" s="23" t="s">
        <v>80</v>
      </c>
      <c r="O513" s="26">
        <v>3</v>
      </c>
      <c r="P513" s="24">
        <v>21</v>
      </c>
      <c r="Q513" s="23" t="s">
        <v>66</v>
      </c>
      <c r="R513" s="23"/>
      <c r="S513" s="47"/>
    </row>
    <row r="514" spans="2:19" x14ac:dyDescent="0.25">
      <c r="B514" s="181"/>
      <c r="C514" s="178"/>
      <c r="D514" s="23" t="s">
        <v>81</v>
      </c>
      <c r="E514" s="24">
        <v>4</v>
      </c>
      <c r="F514" s="24">
        <v>22</v>
      </c>
      <c r="G514" s="23" t="s">
        <v>66</v>
      </c>
      <c r="H514" s="23"/>
      <c r="I514" s="47"/>
      <c r="L514" s="181"/>
      <c r="M514" s="178"/>
      <c r="N514" s="23" t="s">
        <v>81</v>
      </c>
      <c r="O514" s="24">
        <v>4</v>
      </c>
      <c r="P514" s="24">
        <v>22</v>
      </c>
      <c r="Q514" s="23" t="s">
        <v>66</v>
      </c>
      <c r="R514" s="23"/>
      <c r="S514" s="47"/>
    </row>
    <row r="515" spans="2:19" x14ac:dyDescent="0.25">
      <c r="B515" s="181"/>
      <c r="C515" s="178"/>
      <c r="D515" s="23" t="s">
        <v>82</v>
      </c>
      <c r="E515" s="24">
        <v>5</v>
      </c>
      <c r="F515" s="24">
        <v>23</v>
      </c>
      <c r="G515" s="23" t="s">
        <v>66</v>
      </c>
      <c r="H515" s="23"/>
      <c r="I515" s="47"/>
      <c r="L515" s="181"/>
      <c r="M515" s="178"/>
      <c r="N515" s="23" t="s">
        <v>82</v>
      </c>
      <c r="O515" s="24">
        <v>5</v>
      </c>
      <c r="P515" s="24">
        <v>23</v>
      </c>
      <c r="Q515" s="23" t="s">
        <v>66</v>
      </c>
      <c r="R515" s="23"/>
      <c r="S515" s="47"/>
    </row>
    <row r="516" spans="2:19" ht="15.75" thickBot="1" x14ac:dyDescent="0.3">
      <c r="B516" s="182"/>
      <c r="C516" s="179"/>
      <c r="D516" s="23" t="s">
        <v>83</v>
      </c>
      <c r="E516" s="24">
        <v>6</v>
      </c>
      <c r="F516" s="24">
        <v>24</v>
      </c>
      <c r="G516" s="23" t="s">
        <v>66</v>
      </c>
      <c r="H516" s="23"/>
      <c r="I516" s="47"/>
      <c r="L516" s="182"/>
      <c r="M516" s="179"/>
      <c r="N516" s="23" t="s">
        <v>83</v>
      </c>
      <c r="O516" s="24">
        <v>6</v>
      </c>
      <c r="P516" s="24">
        <v>24</v>
      </c>
      <c r="Q516" s="23" t="s">
        <v>66</v>
      </c>
      <c r="R516" s="23"/>
      <c r="S516" s="47"/>
    </row>
    <row r="517" spans="2:19" x14ac:dyDescent="0.25">
      <c r="B517" s="189" t="s">
        <v>80</v>
      </c>
      <c r="C517" s="192" t="s">
        <v>77</v>
      </c>
      <c r="D517" s="27" t="s">
        <v>2</v>
      </c>
      <c r="E517" s="28">
        <v>1</v>
      </c>
      <c r="F517" s="28">
        <v>25</v>
      </c>
      <c r="G517" s="27" t="s">
        <v>66</v>
      </c>
      <c r="H517" s="27"/>
      <c r="I517" s="48"/>
      <c r="L517" s="189" t="s">
        <v>80</v>
      </c>
      <c r="M517" s="192" t="s">
        <v>77</v>
      </c>
      <c r="N517" s="27" t="s">
        <v>2</v>
      </c>
      <c r="O517" s="28">
        <v>1</v>
      </c>
      <c r="P517" s="28">
        <v>25</v>
      </c>
      <c r="Q517" s="27" t="s">
        <v>66</v>
      </c>
      <c r="R517" s="27"/>
      <c r="S517" s="48"/>
    </row>
    <row r="518" spans="2:19" x14ac:dyDescent="0.25">
      <c r="B518" s="190"/>
      <c r="C518" s="193"/>
      <c r="D518" s="27" t="s">
        <v>3</v>
      </c>
      <c r="E518" s="28">
        <v>2</v>
      </c>
      <c r="F518" s="28">
        <v>26</v>
      </c>
      <c r="G518" s="27" t="s">
        <v>66</v>
      </c>
      <c r="H518" s="27"/>
      <c r="I518" s="48"/>
      <c r="L518" s="190"/>
      <c r="M518" s="193"/>
      <c r="N518" s="27" t="s">
        <v>3</v>
      </c>
      <c r="O518" s="28">
        <v>2</v>
      </c>
      <c r="P518" s="28">
        <v>26</v>
      </c>
      <c r="Q518" s="27" t="s">
        <v>66</v>
      </c>
      <c r="R518" s="27"/>
      <c r="S518" s="48"/>
    </row>
    <row r="519" spans="2:19" x14ac:dyDescent="0.25">
      <c r="B519" s="190"/>
      <c r="C519" s="193"/>
      <c r="D519" s="27" t="s">
        <v>80</v>
      </c>
      <c r="E519" s="28">
        <v>3</v>
      </c>
      <c r="F519" s="28">
        <v>27</v>
      </c>
      <c r="G519" s="27" t="s">
        <v>66</v>
      </c>
      <c r="H519" s="27"/>
      <c r="I519" s="48"/>
      <c r="L519" s="190"/>
      <c r="M519" s="193"/>
      <c r="N519" s="27" t="s">
        <v>80</v>
      </c>
      <c r="O519" s="28">
        <v>3</v>
      </c>
      <c r="P519" s="28">
        <v>27</v>
      </c>
      <c r="Q519" s="27" t="s">
        <v>66</v>
      </c>
      <c r="R519" s="27"/>
      <c r="S519" s="48"/>
    </row>
    <row r="520" spans="2:19" x14ac:dyDescent="0.25">
      <c r="B520" s="190"/>
      <c r="C520" s="193"/>
      <c r="D520" s="27" t="s">
        <v>81</v>
      </c>
      <c r="E520" s="28">
        <v>4</v>
      </c>
      <c r="F520" s="28">
        <v>28</v>
      </c>
      <c r="G520" s="27" t="s">
        <v>66</v>
      </c>
      <c r="H520" s="27"/>
      <c r="I520" s="48"/>
      <c r="L520" s="190"/>
      <c r="M520" s="193"/>
      <c r="N520" s="27" t="s">
        <v>81</v>
      </c>
      <c r="O520" s="28">
        <v>4</v>
      </c>
      <c r="P520" s="28">
        <v>28</v>
      </c>
      <c r="Q520" s="27" t="s">
        <v>66</v>
      </c>
      <c r="R520" s="27"/>
      <c r="S520" s="48"/>
    </row>
    <row r="521" spans="2:19" x14ac:dyDescent="0.25">
      <c r="B521" s="190"/>
      <c r="C521" s="193"/>
      <c r="D521" s="27" t="s">
        <v>82</v>
      </c>
      <c r="E521" s="28">
        <v>5</v>
      </c>
      <c r="F521" s="28">
        <v>29</v>
      </c>
      <c r="G521" s="27" t="s">
        <v>66</v>
      </c>
      <c r="H521" s="27"/>
      <c r="I521" s="48"/>
      <c r="L521" s="190"/>
      <c r="M521" s="193"/>
      <c r="N521" s="27" t="s">
        <v>82</v>
      </c>
      <c r="O521" s="28">
        <v>5</v>
      </c>
      <c r="P521" s="28">
        <v>29</v>
      </c>
      <c r="Q521" s="27" t="s">
        <v>66</v>
      </c>
      <c r="R521" s="27"/>
      <c r="S521" s="48"/>
    </row>
    <row r="522" spans="2:19" ht="15.75" thickBot="1" x14ac:dyDescent="0.3">
      <c r="B522" s="190"/>
      <c r="C522" s="194"/>
      <c r="D522" s="27" t="s">
        <v>83</v>
      </c>
      <c r="E522" s="28">
        <v>6</v>
      </c>
      <c r="F522" s="28">
        <v>30</v>
      </c>
      <c r="G522" s="27" t="s">
        <v>66</v>
      </c>
      <c r="H522" s="27"/>
      <c r="I522" s="48"/>
      <c r="L522" s="190"/>
      <c r="M522" s="194"/>
      <c r="N522" s="27" t="s">
        <v>83</v>
      </c>
      <c r="O522" s="28">
        <v>6</v>
      </c>
      <c r="P522" s="28">
        <v>30</v>
      </c>
      <c r="Q522" s="27" t="s">
        <v>66</v>
      </c>
      <c r="R522" s="27"/>
      <c r="S522" s="48"/>
    </row>
    <row r="523" spans="2:19" x14ac:dyDescent="0.25">
      <c r="B523" s="190"/>
      <c r="C523" s="192" t="s">
        <v>84</v>
      </c>
      <c r="D523" s="27" t="s">
        <v>2</v>
      </c>
      <c r="E523" s="28">
        <v>1</v>
      </c>
      <c r="F523" s="28">
        <v>31</v>
      </c>
      <c r="G523" s="27" t="s">
        <v>66</v>
      </c>
      <c r="H523" s="27"/>
      <c r="I523" s="48"/>
      <c r="L523" s="190"/>
      <c r="M523" s="192" t="s">
        <v>84</v>
      </c>
      <c r="N523" s="27" t="s">
        <v>2</v>
      </c>
      <c r="O523" s="28">
        <v>1</v>
      </c>
      <c r="P523" s="28">
        <v>31</v>
      </c>
      <c r="Q523" s="27" t="s">
        <v>66</v>
      </c>
      <c r="R523" s="27"/>
      <c r="S523" s="48"/>
    </row>
    <row r="524" spans="2:19" x14ac:dyDescent="0.25">
      <c r="B524" s="190"/>
      <c r="C524" s="193"/>
      <c r="D524" s="27" t="s">
        <v>3</v>
      </c>
      <c r="E524" s="28">
        <v>2</v>
      </c>
      <c r="F524" s="28">
        <v>32</v>
      </c>
      <c r="G524" s="27" t="s">
        <v>66</v>
      </c>
      <c r="H524" s="27"/>
      <c r="I524" s="48"/>
      <c r="L524" s="190"/>
      <c r="M524" s="193"/>
      <c r="N524" s="27" t="s">
        <v>3</v>
      </c>
      <c r="O524" s="28">
        <v>2</v>
      </c>
      <c r="P524" s="28">
        <v>32</v>
      </c>
      <c r="Q524" s="27" t="s">
        <v>66</v>
      </c>
      <c r="R524" s="27"/>
      <c r="S524" s="48"/>
    </row>
    <row r="525" spans="2:19" x14ac:dyDescent="0.25">
      <c r="B525" s="190"/>
      <c r="C525" s="193"/>
      <c r="D525" s="27" t="s">
        <v>80</v>
      </c>
      <c r="E525" s="28">
        <v>3</v>
      </c>
      <c r="F525" s="28">
        <v>33</v>
      </c>
      <c r="G525" s="27" t="s">
        <v>66</v>
      </c>
      <c r="H525" s="27"/>
      <c r="I525" s="48"/>
      <c r="L525" s="190"/>
      <c r="M525" s="193"/>
      <c r="N525" s="27" t="s">
        <v>80</v>
      </c>
      <c r="O525" s="28">
        <v>3</v>
      </c>
      <c r="P525" s="28">
        <v>33</v>
      </c>
      <c r="Q525" s="27" t="s">
        <v>66</v>
      </c>
      <c r="R525" s="27"/>
      <c r="S525" s="48"/>
    </row>
    <row r="526" spans="2:19" x14ac:dyDescent="0.25">
      <c r="B526" s="190"/>
      <c r="C526" s="193"/>
      <c r="D526" s="27" t="s">
        <v>81</v>
      </c>
      <c r="E526" s="28">
        <v>4</v>
      </c>
      <c r="F526" s="28">
        <v>34</v>
      </c>
      <c r="G526" s="27" t="s">
        <v>66</v>
      </c>
      <c r="H526" s="27"/>
      <c r="I526" s="48"/>
      <c r="L526" s="190"/>
      <c r="M526" s="193"/>
      <c r="N526" s="27" t="s">
        <v>81</v>
      </c>
      <c r="O526" s="28">
        <v>4</v>
      </c>
      <c r="P526" s="28">
        <v>34</v>
      </c>
      <c r="Q526" s="27" t="s">
        <v>66</v>
      </c>
      <c r="R526" s="27"/>
      <c r="S526" s="48"/>
    </row>
    <row r="527" spans="2:19" x14ac:dyDescent="0.25">
      <c r="B527" s="190"/>
      <c r="C527" s="193"/>
      <c r="D527" s="27" t="s">
        <v>82</v>
      </c>
      <c r="E527" s="28">
        <v>5</v>
      </c>
      <c r="F527" s="28">
        <v>35</v>
      </c>
      <c r="G527" s="27" t="s">
        <v>66</v>
      </c>
      <c r="H527" s="27"/>
      <c r="I527" s="48"/>
      <c r="L527" s="190"/>
      <c r="M527" s="193"/>
      <c r="N527" s="27" t="s">
        <v>82</v>
      </c>
      <c r="O527" s="28">
        <v>5</v>
      </c>
      <c r="P527" s="28">
        <v>35</v>
      </c>
      <c r="Q527" s="27" t="s">
        <v>66</v>
      </c>
      <c r="R527" s="27"/>
      <c r="S527" s="48"/>
    </row>
    <row r="528" spans="2:19" ht="15.75" thickBot="1" x14ac:dyDescent="0.3">
      <c r="B528" s="191"/>
      <c r="C528" s="194"/>
      <c r="D528" s="27" t="s">
        <v>83</v>
      </c>
      <c r="E528" s="28">
        <v>6</v>
      </c>
      <c r="F528" s="28">
        <v>36</v>
      </c>
      <c r="G528" s="27" t="s">
        <v>66</v>
      </c>
      <c r="H528" s="27"/>
      <c r="I528" s="48"/>
      <c r="L528" s="191"/>
      <c r="M528" s="194"/>
      <c r="N528" s="27" t="s">
        <v>83</v>
      </c>
      <c r="O528" s="28">
        <v>6</v>
      </c>
      <c r="P528" s="28">
        <v>36</v>
      </c>
      <c r="Q528" s="27" t="s">
        <v>66</v>
      </c>
      <c r="R528" s="27"/>
      <c r="S528" s="48"/>
    </row>
    <row r="529" spans="2:29" x14ac:dyDescent="0.25">
      <c r="B529" s="183" t="s">
        <v>81</v>
      </c>
      <c r="C529" s="186" t="s">
        <v>77</v>
      </c>
      <c r="D529" s="29" t="s">
        <v>2</v>
      </c>
      <c r="E529" s="30">
        <v>1</v>
      </c>
      <c r="F529" s="30">
        <v>37</v>
      </c>
      <c r="G529" s="29" t="s">
        <v>66</v>
      </c>
      <c r="H529" s="31"/>
      <c r="I529" s="60"/>
      <c r="L529" s="183" t="s">
        <v>81</v>
      </c>
      <c r="M529" s="186" t="s">
        <v>77</v>
      </c>
      <c r="N529" s="29" t="s">
        <v>2</v>
      </c>
      <c r="O529" s="30">
        <v>1</v>
      </c>
      <c r="P529" s="30">
        <v>37</v>
      </c>
      <c r="Q529" s="29" t="s">
        <v>66</v>
      </c>
      <c r="R529" s="29"/>
      <c r="S529" s="49"/>
    </row>
    <row r="530" spans="2:29" x14ac:dyDescent="0.25">
      <c r="B530" s="184"/>
      <c r="C530" s="187"/>
      <c r="D530" s="29" t="s">
        <v>3</v>
      </c>
      <c r="E530" s="30">
        <v>2</v>
      </c>
      <c r="F530" s="30">
        <v>38</v>
      </c>
      <c r="G530" s="29" t="s">
        <v>66</v>
      </c>
      <c r="H530" s="31"/>
      <c r="I530" s="60"/>
      <c r="L530" s="184"/>
      <c r="M530" s="187"/>
      <c r="N530" s="29" t="s">
        <v>3</v>
      </c>
      <c r="O530" s="30">
        <v>2</v>
      </c>
      <c r="P530" s="30">
        <v>38</v>
      </c>
      <c r="Q530" s="29" t="s">
        <v>66</v>
      </c>
      <c r="R530" s="29"/>
      <c r="S530" s="49"/>
    </row>
    <row r="531" spans="2:29" x14ac:dyDescent="0.25">
      <c r="B531" s="184"/>
      <c r="C531" s="187"/>
      <c r="D531" s="29" t="s">
        <v>80</v>
      </c>
      <c r="E531" s="30">
        <v>3</v>
      </c>
      <c r="F531" s="30">
        <v>39</v>
      </c>
      <c r="G531" s="29" t="s">
        <v>66</v>
      </c>
      <c r="H531" s="31"/>
      <c r="I531" s="60"/>
      <c r="L531" s="184"/>
      <c r="M531" s="187"/>
      <c r="N531" s="29" t="s">
        <v>80</v>
      </c>
      <c r="O531" s="30">
        <v>3</v>
      </c>
      <c r="P531" s="30">
        <v>39</v>
      </c>
      <c r="Q531" s="29" t="s">
        <v>66</v>
      </c>
      <c r="R531" s="29"/>
      <c r="S531" s="49"/>
    </row>
    <row r="532" spans="2:29" x14ac:dyDescent="0.25">
      <c r="B532" s="184"/>
      <c r="C532" s="187"/>
      <c r="D532" s="29" t="s">
        <v>81</v>
      </c>
      <c r="E532" s="30">
        <v>4</v>
      </c>
      <c r="F532" s="30">
        <v>40</v>
      </c>
      <c r="G532" s="29" t="s">
        <v>66</v>
      </c>
      <c r="H532" s="31"/>
      <c r="I532" s="60"/>
      <c r="L532" s="184"/>
      <c r="M532" s="187"/>
      <c r="N532" s="29" t="s">
        <v>81</v>
      </c>
      <c r="O532" s="30">
        <v>4</v>
      </c>
      <c r="P532" s="30">
        <v>40</v>
      </c>
      <c r="Q532" s="29" t="s">
        <v>66</v>
      </c>
      <c r="R532" s="29"/>
      <c r="S532" s="49"/>
    </row>
    <row r="533" spans="2:29" x14ac:dyDescent="0.25">
      <c r="B533" s="184"/>
      <c r="C533" s="187"/>
      <c r="D533" s="29" t="s">
        <v>82</v>
      </c>
      <c r="E533" s="30">
        <v>5</v>
      </c>
      <c r="F533" s="30">
        <v>41</v>
      </c>
      <c r="G533" s="29" t="s">
        <v>66</v>
      </c>
      <c r="H533" s="31"/>
      <c r="I533" s="60"/>
      <c r="L533" s="184"/>
      <c r="M533" s="187"/>
      <c r="N533" s="29" t="s">
        <v>82</v>
      </c>
      <c r="O533" s="30">
        <v>5</v>
      </c>
      <c r="P533" s="30">
        <v>41</v>
      </c>
      <c r="Q533" s="29" t="s">
        <v>66</v>
      </c>
      <c r="R533" s="29"/>
      <c r="S533" s="49"/>
    </row>
    <row r="534" spans="2:29" ht="15.75" thickBot="1" x14ac:dyDescent="0.3">
      <c r="B534" s="184"/>
      <c r="C534" s="188"/>
      <c r="D534" s="29" t="s">
        <v>83</v>
      </c>
      <c r="E534" s="30">
        <v>6</v>
      </c>
      <c r="F534" s="30">
        <v>42</v>
      </c>
      <c r="G534" s="29" t="s">
        <v>66</v>
      </c>
      <c r="H534" s="31"/>
      <c r="I534" s="60"/>
      <c r="L534" s="184"/>
      <c r="M534" s="188"/>
      <c r="N534" s="29" t="s">
        <v>83</v>
      </c>
      <c r="O534" s="30">
        <v>6</v>
      </c>
      <c r="P534" s="30">
        <v>42</v>
      </c>
      <c r="Q534" s="29" t="s">
        <v>66</v>
      </c>
      <c r="R534" s="29"/>
      <c r="S534" s="49"/>
    </row>
    <row r="535" spans="2:29" x14ac:dyDescent="0.25">
      <c r="B535" s="184"/>
      <c r="C535" s="186" t="s">
        <v>84</v>
      </c>
      <c r="D535" s="29" t="s">
        <v>2</v>
      </c>
      <c r="E535" s="30">
        <v>1</v>
      </c>
      <c r="F535" s="30">
        <v>43</v>
      </c>
      <c r="G535" s="29" t="s">
        <v>66</v>
      </c>
      <c r="H535" s="29"/>
      <c r="I535" s="49"/>
      <c r="L535" s="184"/>
      <c r="M535" s="186" t="s">
        <v>84</v>
      </c>
      <c r="N535" s="29" t="s">
        <v>2</v>
      </c>
      <c r="O535" s="30">
        <v>1</v>
      </c>
      <c r="P535" s="30">
        <v>43</v>
      </c>
      <c r="Q535" s="29" t="s">
        <v>66</v>
      </c>
      <c r="R535" s="29"/>
      <c r="S535" s="49"/>
    </row>
    <row r="536" spans="2:29" x14ac:dyDescent="0.25">
      <c r="B536" s="184"/>
      <c r="C536" s="187"/>
      <c r="D536" s="29" t="s">
        <v>3</v>
      </c>
      <c r="E536" s="30">
        <v>2</v>
      </c>
      <c r="F536" s="30">
        <v>44</v>
      </c>
      <c r="G536" s="29" t="s">
        <v>66</v>
      </c>
      <c r="H536" s="29"/>
      <c r="I536" s="49"/>
      <c r="L536" s="184"/>
      <c r="M536" s="187"/>
      <c r="N536" s="29" t="s">
        <v>3</v>
      </c>
      <c r="O536" s="30">
        <v>2</v>
      </c>
      <c r="P536" s="30">
        <v>44</v>
      </c>
      <c r="Q536" s="29" t="s">
        <v>66</v>
      </c>
      <c r="R536" s="29"/>
      <c r="S536" s="49"/>
    </row>
    <row r="537" spans="2:29" x14ac:dyDescent="0.25">
      <c r="B537" s="184"/>
      <c r="C537" s="187"/>
      <c r="D537" s="29" t="s">
        <v>80</v>
      </c>
      <c r="E537" s="30">
        <v>3</v>
      </c>
      <c r="F537" s="30">
        <v>45</v>
      </c>
      <c r="G537" s="29" t="s">
        <v>66</v>
      </c>
      <c r="H537" s="29"/>
      <c r="I537" s="49"/>
      <c r="L537" s="184"/>
      <c r="M537" s="187"/>
      <c r="N537" s="29" t="s">
        <v>80</v>
      </c>
      <c r="O537" s="30">
        <v>3</v>
      </c>
      <c r="P537" s="30">
        <v>45</v>
      </c>
      <c r="Q537" s="29" t="s">
        <v>66</v>
      </c>
      <c r="R537" s="29"/>
      <c r="S537" s="49"/>
    </row>
    <row r="538" spans="2:29" x14ac:dyDescent="0.25">
      <c r="B538" s="184"/>
      <c r="C538" s="187"/>
      <c r="D538" s="29" t="s">
        <v>81</v>
      </c>
      <c r="E538" s="30">
        <v>4</v>
      </c>
      <c r="F538" s="30">
        <v>46</v>
      </c>
      <c r="G538" s="29" t="s">
        <v>66</v>
      </c>
      <c r="H538" s="29"/>
      <c r="I538" s="49"/>
      <c r="L538" s="184"/>
      <c r="M538" s="187"/>
      <c r="N538" s="29" t="s">
        <v>81</v>
      </c>
      <c r="O538" s="30">
        <v>4</v>
      </c>
      <c r="P538" s="30">
        <v>46</v>
      </c>
      <c r="Q538" s="29" t="s">
        <v>66</v>
      </c>
      <c r="R538" s="29"/>
      <c r="S538" s="49"/>
    </row>
    <row r="539" spans="2:29" x14ac:dyDescent="0.25">
      <c r="B539" s="184"/>
      <c r="C539" s="187"/>
      <c r="D539" s="29" t="s">
        <v>82</v>
      </c>
      <c r="E539" s="30">
        <v>5</v>
      </c>
      <c r="F539" s="30">
        <v>47</v>
      </c>
      <c r="G539" s="29" t="s">
        <v>66</v>
      </c>
      <c r="H539" s="29"/>
      <c r="I539" s="49"/>
      <c r="L539" s="184"/>
      <c r="M539" s="187"/>
      <c r="N539" s="29" t="s">
        <v>82</v>
      </c>
      <c r="O539" s="30">
        <v>5</v>
      </c>
      <c r="P539" s="30">
        <v>47</v>
      </c>
      <c r="Q539" s="29" t="s">
        <v>66</v>
      </c>
      <c r="R539" s="29"/>
      <c r="S539" s="49"/>
    </row>
    <row r="540" spans="2:29" ht="15.75" thickBot="1" x14ac:dyDescent="0.3">
      <c r="B540" s="185"/>
      <c r="C540" s="188"/>
      <c r="D540" s="29" t="s">
        <v>83</v>
      </c>
      <c r="E540" s="30">
        <v>6</v>
      </c>
      <c r="F540" s="30">
        <v>48</v>
      </c>
      <c r="G540" s="29" t="s">
        <v>66</v>
      </c>
      <c r="H540" s="29"/>
      <c r="I540" s="49"/>
      <c r="L540" s="185"/>
      <c r="M540" s="188"/>
      <c r="N540" s="29" t="s">
        <v>83</v>
      </c>
      <c r="O540" s="30">
        <v>6</v>
      </c>
      <c r="P540" s="30">
        <v>48</v>
      </c>
      <c r="Q540" s="29" t="s">
        <v>66</v>
      </c>
      <c r="R540" s="29"/>
      <c r="S540" s="49"/>
    </row>
    <row r="543" spans="2:29" ht="15.75" thickBot="1" x14ac:dyDescent="0.3"/>
    <row r="544" spans="2:29" ht="15.75" thickBot="1" x14ac:dyDescent="0.3">
      <c r="B544" s="171" t="s">
        <v>404</v>
      </c>
      <c r="C544" s="172"/>
      <c r="D544" s="172"/>
      <c r="E544" s="172"/>
      <c r="F544" s="172"/>
      <c r="G544" s="172"/>
      <c r="H544" s="172"/>
      <c r="I544" s="173"/>
      <c r="L544" s="171" t="s">
        <v>405</v>
      </c>
      <c r="M544" s="172"/>
      <c r="N544" s="172"/>
      <c r="O544" s="172"/>
      <c r="P544" s="172"/>
      <c r="Q544" s="172"/>
      <c r="R544" s="172"/>
      <c r="S544" s="173"/>
      <c r="V544" s="35"/>
      <c r="W544" s="35"/>
      <c r="X544" s="35"/>
      <c r="Y544" s="35"/>
      <c r="Z544" s="35"/>
      <c r="AA544" s="35"/>
      <c r="AB544" s="35"/>
      <c r="AC544" s="35"/>
    </row>
    <row r="545" spans="2:29" x14ac:dyDescent="0.25">
      <c r="V545" s="36"/>
      <c r="W545" s="36"/>
      <c r="X545" s="36"/>
      <c r="Y545" s="36"/>
      <c r="Z545" s="36"/>
      <c r="AA545" s="36"/>
      <c r="AB545" s="36"/>
      <c r="AC545" s="36"/>
    </row>
    <row r="546" spans="2:29" ht="26.25" thickBot="1" x14ac:dyDescent="0.3">
      <c r="B546" s="15" t="s">
        <v>70</v>
      </c>
      <c r="C546" s="16" t="s">
        <v>71</v>
      </c>
      <c r="D546" s="15" t="s">
        <v>72</v>
      </c>
      <c r="E546" s="17" t="s">
        <v>73</v>
      </c>
      <c r="F546" s="17" t="s">
        <v>74</v>
      </c>
      <c r="G546" s="15" t="s">
        <v>75</v>
      </c>
      <c r="H546" s="15" t="s">
        <v>55</v>
      </c>
      <c r="I546" s="15" t="s">
        <v>76</v>
      </c>
      <c r="L546" s="15" t="s">
        <v>70</v>
      </c>
      <c r="M546" s="16" t="s">
        <v>71</v>
      </c>
      <c r="N546" s="15" t="s">
        <v>72</v>
      </c>
      <c r="O546" s="17" t="s">
        <v>73</v>
      </c>
      <c r="P546" s="17" t="s">
        <v>74</v>
      </c>
      <c r="Q546" s="15" t="s">
        <v>75</v>
      </c>
      <c r="R546" s="15" t="s">
        <v>55</v>
      </c>
      <c r="S546" s="15" t="s">
        <v>76</v>
      </c>
      <c r="V546" s="37"/>
      <c r="W546" s="37"/>
      <c r="X546" s="37"/>
      <c r="Y546" s="37"/>
      <c r="Z546" s="37"/>
      <c r="AA546" s="37"/>
      <c r="AB546" s="37"/>
      <c r="AC546" s="37"/>
    </row>
    <row r="547" spans="2:29" x14ac:dyDescent="0.25">
      <c r="B547" s="174" t="s">
        <v>2</v>
      </c>
      <c r="C547" s="168" t="s">
        <v>77</v>
      </c>
      <c r="D547" s="18" t="s">
        <v>2</v>
      </c>
      <c r="E547" s="19">
        <v>1</v>
      </c>
      <c r="F547" s="19">
        <v>1</v>
      </c>
      <c r="G547" s="18" t="s">
        <v>66</v>
      </c>
      <c r="H547" s="32"/>
      <c r="I547" s="50"/>
      <c r="L547" s="174" t="s">
        <v>2</v>
      </c>
      <c r="M547" s="168" t="s">
        <v>77</v>
      </c>
      <c r="N547" s="18" t="s">
        <v>2</v>
      </c>
      <c r="O547" s="19">
        <v>1</v>
      </c>
      <c r="P547" s="19">
        <v>1</v>
      </c>
      <c r="Q547" s="18" t="s">
        <v>66</v>
      </c>
      <c r="R547" s="32"/>
      <c r="S547" s="50"/>
      <c r="V547" s="38"/>
      <c r="W547" s="38"/>
      <c r="X547" s="39"/>
      <c r="Y547" s="40"/>
      <c r="Z547" s="40"/>
      <c r="AA547" s="39"/>
      <c r="AB547" s="38"/>
      <c r="AC547" s="41"/>
    </row>
    <row r="548" spans="2:29" x14ac:dyDescent="0.25">
      <c r="B548" s="175"/>
      <c r="C548" s="169"/>
      <c r="D548" s="18" t="s">
        <v>3</v>
      </c>
      <c r="E548" s="19">
        <v>2</v>
      </c>
      <c r="F548" s="19">
        <v>2</v>
      </c>
      <c r="G548" s="18" t="s">
        <v>66</v>
      </c>
      <c r="H548" s="32"/>
      <c r="I548" s="50"/>
      <c r="L548" s="175"/>
      <c r="M548" s="169"/>
      <c r="N548" s="18" t="s">
        <v>3</v>
      </c>
      <c r="O548" s="19">
        <v>2</v>
      </c>
      <c r="P548" s="19">
        <v>2</v>
      </c>
      <c r="Q548" s="18" t="s">
        <v>66</v>
      </c>
      <c r="R548" s="32"/>
      <c r="S548" s="50"/>
      <c r="V548" s="38"/>
      <c r="W548" s="38"/>
      <c r="X548" s="39"/>
      <c r="Y548" s="40"/>
      <c r="Z548" s="40"/>
      <c r="AA548" s="39"/>
      <c r="AB548" s="38"/>
      <c r="AC548" s="41"/>
    </row>
    <row r="549" spans="2:29" x14ac:dyDescent="0.25">
      <c r="B549" s="175"/>
      <c r="C549" s="169"/>
      <c r="D549" s="18" t="s">
        <v>80</v>
      </c>
      <c r="E549" s="20">
        <v>3</v>
      </c>
      <c r="F549" s="20">
        <v>3</v>
      </c>
      <c r="G549" s="18" t="s">
        <v>66</v>
      </c>
      <c r="H549" s="32"/>
      <c r="I549" s="50"/>
      <c r="L549" s="175"/>
      <c r="M549" s="169"/>
      <c r="N549" s="18" t="s">
        <v>80</v>
      </c>
      <c r="O549" s="20">
        <v>3</v>
      </c>
      <c r="P549" s="20">
        <v>3</v>
      </c>
      <c r="Q549" s="18" t="s">
        <v>66</v>
      </c>
      <c r="R549" s="32"/>
      <c r="S549" s="50"/>
      <c r="V549" s="38"/>
      <c r="W549" s="38"/>
      <c r="X549" s="39"/>
      <c r="Y549" s="42"/>
      <c r="Z549" s="42"/>
      <c r="AA549" s="39"/>
      <c r="AB549" s="38"/>
      <c r="AC549" s="41"/>
    </row>
    <row r="550" spans="2:29" x14ac:dyDescent="0.25">
      <c r="B550" s="175"/>
      <c r="C550" s="169"/>
      <c r="D550" s="18" t="s">
        <v>81</v>
      </c>
      <c r="E550" s="20">
        <v>4</v>
      </c>
      <c r="F550" s="20">
        <v>4</v>
      </c>
      <c r="G550" s="18" t="s">
        <v>66</v>
      </c>
      <c r="H550" s="32"/>
      <c r="I550" s="50"/>
      <c r="L550" s="175"/>
      <c r="M550" s="169"/>
      <c r="N550" s="18" t="s">
        <v>81</v>
      </c>
      <c r="O550" s="20">
        <v>4</v>
      </c>
      <c r="P550" s="20">
        <v>4</v>
      </c>
      <c r="Q550" s="18" t="s">
        <v>66</v>
      </c>
      <c r="R550" s="32"/>
      <c r="S550" s="50"/>
      <c r="V550" s="38"/>
      <c r="W550" s="38"/>
      <c r="X550" s="39"/>
      <c r="Y550" s="42"/>
      <c r="Z550" s="42"/>
      <c r="AA550" s="39"/>
      <c r="AB550" s="38"/>
      <c r="AC550" s="41"/>
    </row>
    <row r="551" spans="2:29" x14ac:dyDescent="0.25">
      <c r="B551" s="175"/>
      <c r="C551" s="169"/>
      <c r="D551" s="18" t="s">
        <v>82</v>
      </c>
      <c r="E551" s="20">
        <v>5</v>
      </c>
      <c r="F551" s="20">
        <v>5</v>
      </c>
      <c r="G551" s="18" t="s">
        <v>66</v>
      </c>
      <c r="H551" s="32"/>
      <c r="I551" s="50"/>
      <c r="L551" s="175"/>
      <c r="M551" s="169"/>
      <c r="N551" s="18" t="s">
        <v>82</v>
      </c>
      <c r="O551" s="20">
        <v>5</v>
      </c>
      <c r="P551" s="20">
        <v>5</v>
      </c>
      <c r="Q551" s="18" t="s">
        <v>66</v>
      </c>
      <c r="R551" s="32"/>
      <c r="S551" s="50"/>
      <c r="V551" s="38"/>
      <c r="W551" s="38"/>
      <c r="X551" s="39"/>
      <c r="Y551" s="42"/>
      <c r="Z551" s="42"/>
      <c r="AA551" s="39"/>
      <c r="AB551" s="38"/>
      <c r="AC551" s="41"/>
    </row>
    <row r="552" spans="2:29" ht="15.75" thickBot="1" x14ac:dyDescent="0.3">
      <c r="B552" s="175"/>
      <c r="C552" s="170"/>
      <c r="D552" s="18" t="s">
        <v>83</v>
      </c>
      <c r="E552" s="20">
        <v>6</v>
      </c>
      <c r="F552" s="20">
        <v>6</v>
      </c>
      <c r="G552" s="18" t="s">
        <v>66</v>
      </c>
      <c r="H552" s="32"/>
      <c r="I552" s="50"/>
      <c r="L552" s="175"/>
      <c r="M552" s="170"/>
      <c r="N552" s="18" t="s">
        <v>83</v>
      </c>
      <c r="O552" s="20">
        <v>6</v>
      </c>
      <c r="P552" s="20">
        <v>6</v>
      </c>
      <c r="Q552" s="18" t="s">
        <v>66</v>
      </c>
      <c r="R552" s="32"/>
      <c r="S552" s="50"/>
      <c r="V552" s="38"/>
      <c r="W552" s="38"/>
      <c r="X552" s="39"/>
      <c r="Y552" s="42"/>
      <c r="Z552" s="42"/>
      <c r="AA552" s="39"/>
      <c r="AB552" s="38"/>
      <c r="AC552" s="41"/>
    </row>
    <row r="553" spans="2:29" x14ac:dyDescent="0.25">
      <c r="B553" s="175"/>
      <c r="C553" s="168" t="s">
        <v>84</v>
      </c>
      <c r="D553" s="18" t="s">
        <v>2</v>
      </c>
      <c r="E553" s="19">
        <v>1</v>
      </c>
      <c r="F553" s="19">
        <v>7</v>
      </c>
      <c r="G553" s="18" t="s">
        <v>66</v>
      </c>
      <c r="H553" s="32"/>
      <c r="I553" s="50"/>
      <c r="L553" s="175"/>
      <c r="M553" s="168" t="s">
        <v>84</v>
      </c>
      <c r="N553" s="18" t="s">
        <v>2</v>
      </c>
      <c r="O553" s="19">
        <v>1</v>
      </c>
      <c r="P553" s="19">
        <v>7</v>
      </c>
      <c r="Q553" s="18" t="s">
        <v>66</v>
      </c>
      <c r="R553" s="32"/>
      <c r="S553" s="50"/>
      <c r="V553" s="38"/>
      <c r="W553" s="38"/>
      <c r="X553" s="39"/>
      <c r="Y553" s="40"/>
      <c r="Z553" s="40"/>
      <c r="AA553" s="39"/>
      <c r="AB553" s="38"/>
      <c r="AC553" s="41"/>
    </row>
    <row r="554" spans="2:29" x14ac:dyDescent="0.25">
      <c r="B554" s="175"/>
      <c r="C554" s="169"/>
      <c r="D554" s="18" t="s">
        <v>3</v>
      </c>
      <c r="E554" s="19">
        <v>2</v>
      </c>
      <c r="F554" s="19">
        <v>8</v>
      </c>
      <c r="G554" s="18" t="s">
        <v>66</v>
      </c>
      <c r="H554" s="32"/>
      <c r="I554" s="50"/>
      <c r="L554" s="175"/>
      <c r="M554" s="169"/>
      <c r="N554" s="18" t="s">
        <v>3</v>
      </c>
      <c r="O554" s="19">
        <v>2</v>
      </c>
      <c r="P554" s="19">
        <v>8</v>
      </c>
      <c r="Q554" s="18" t="s">
        <v>66</v>
      </c>
      <c r="R554" s="32"/>
      <c r="S554" s="50"/>
      <c r="V554" s="38"/>
      <c r="W554" s="38"/>
      <c r="X554" s="39"/>
      <c r="Y554" s="40"/>
      <c r="Z554" s="40"/>
      <c r="AA554" s="39"/>
      <c r="AB554" s="38"/>
      <c r="AC554" s="41"/>
    </row>
    <row r="555" spans="2:29" x14ac:dyDescent="0.25">
      <c r="B555" s="175"/>
      <c r="C555" s="169"/>
      <c r="D555" s="18" t="s">
        <v>80</v>
      </c>
      <c r="E555" s="20">
        <v>3</v>
      </c>
      <c r="F555" s="20">
        <v>9</v>
      </c>
      <c r="G555" s="18" t="s">
        <v>66</v>
      </c>
      <c r="H555" s="32"/>
      <c r="I555" s="50"/>
      <c r="L555" s="175"/>
      <c r="M555" s="169"/>
      <c r="N555" s="18" t="s">
        <v>80</v>
      </c>
      <c r="O555" s="20">
        <v>3</v>
      </c>
      <c r="P555" s="20">
        <v>9</v>
      </c>
      <c r="Q555" s="18" t="s">
        <v>66</v>
      </c>
      <c r="R555" s="32"/>
      <c r="S555" s="50"/>
      <c r="V555" s="38"/>
      <c r="W555" s="38"/>
      <c r="X555" s="39"/>
      <c r="Y555" s="42"/>
      <c r="Z555" s="42"/>
      <c r="AA555" s="39"/>
      <c r="AB555" s="38"/>
      <c r="AC555" s="41"/>
    </row>
    <row r="556" spans="2:29" x14ac:dyDescent="0.25">
      <c r="B556" s="175"/>
      <c r="C556" s="169"/>
      <c r="D556" s="18" t="s">
        <v>81</v>
      </c>
      <c r="E556" s="20">
        <v>4</v>
      </c>
      <c r="F556" s="20">
        <v>10</v>
      </c>
      <c r="G556" s="18" t="s">
        <v>66</v>
      </c>
      <c r="H556" s="32"/>
      <c r="I556" s="50"/>
      <c r="L556" s="175"/>
      <c r="M556" s="169"/>
      <c r="N556" s="18" t="s">
        <v>81</v>
      </c>
      <c r="O556" s="20">
        <v>4</v>
      </c>
      <c r="P556" s="20">
        <v>10</v>
      </c>
      <c r="Q556" s="18" t="s">
        <v>66</v>
      </c>
      <c r="R556" s="32"/>
      <c r="S556" s="50"/>
      <c r="V556" s="38"/>
      <c r="W556" s="38"/>
      <c r="X556" s="39"/>
      <c r="Y556" s="42"/>
      <c r="Z556" s="42"/>
      <c r="AA556" s="39"/>
      <c r="AB556" s="38"/>
      <c r="AC556" s="41"/>
    </row>
    <row r="557" spans="2:29" x14ac:dyDescent="0.25">
      <c r="B557" s="175"/>
      <c r="C557" s="169"/>
      <c r="D557" s="18" t="s">
        <v>82</v>
      </c>
      <c r="E557" s="20">
        <v>5</v>
      </c>
      <c r="F557" s="20">
        <v>11</v>
      </c>
      <c r="G557" s="18" t="s">
        <v>66</v>
      </c>
      <c r="H557" s="32"/>
      <c r="I557" s="50"/>
      <c r="L557" s="175"/>
      <c r="M557" s="169"/>
      <c r="N557" s="18" t="s">
        <v>82</v>
      </c>
      <c r="O557" s="20">
        <v>5</v>
      </c>
      <c r="P557" s="20">
        <v>11</v>
      </c>
      <c r="Q557" s="18" t="s">
        <v>66</v>
      </c>
      <c r="R557" s="32"/>
      <c r="S557" s="50"/>
      <c r="V557" s="38"/>
      <c r="W557" s="38"/>
      <c r="X557" s="39"/>
      <c r="Y557" s="42"/>
      <c r="Z557" s="42"/>
      <c r="AA557" s="39"/>
      <c r="AB557" s="38"/>
      <c r="AC557" s="41"/>
    </row>
    <row r="558" spans="2:29" ht="15.75" thickBot="1" x14ac:dyDescent="0.3">
      <c r="B558" s="176"/>
      <c r="C558" s="170"/>
      <c r="D558" s="18" t="s">
        <v>83</v>
      </c>
      <c r="E558" s="20">
        <v>6</v>
      </c>
      <c r="F558" s="20">
        <v>12</v>
      </c>
      <c r="G558" s="18" t="s">
        <v>66</v>
      </c>
      <c r="H558" s="32"/>
      <c r="I558" s="50"/>
      <c r="L558" s="176"/>
      <c r="M558" s="170"/>
      <c r="N558" s="18" t="s">
        <v>83</v>
      </c>
      <c r="O558" s="20">
        <v>6</v>
      </c>
      <c r="P558" s="20">
        <v>12</v>
      </c>
      <c r="Q558" s="18" t="s">
        <v>66</v>
      </c>
      <c r="R558" s="32"/>
      <c r="S558" s="50"/>
      <c r="V558" s="38"/>
      <c r="W558" s="38"/>
      <c r="X558" s="39"/>
      <c r="Y558" s="42"/>
      <c r="Z558" s="42"/>
      <c r="AA558" s="39"/>
      <c r="AB558" s="38"/>
      <c r="AC558" s="41"/>
    </row>
    <row r="559" spans="2:29" x14ac:dyDescent="0.25">
      <c r="B559" s="180" t="s">
        <v>3</v>
      </c>
      <c r="C559" s="177" t="s">
        <v>77</v>
      </c>
      <c r="D559" s="21" t="s">
        <v>2</v>
      </c>
      <c r="E559" s="22">
        <v>1</v>
      </c>
      <c r="F559" s="22">
        <v>13</v>
      </c>
      <c r="G559" s="21" t="s">
        <v>78</v>
      </c>
      <c r="H559" s="159" t="s">
        <v>385</v>
      </c>
      <c r="I559" s="162" t="s">
        <v>221</v>
      </c>
      <c r="L559" s="180" t="s">
        <v>3</v>
      </c>
      <c r="M559" s="177" t="s">
        <v>77</v>
      </c>
      <c r="N559" s="21" t="s">
        <v>2</v>
      </c>
      <c r="O559" s="22">
        <v>1</v>
      </c>
      <c r="P559" s="22">
        <v>13</v>
      </c>
      <c r="Q559" s="21" t="s">
        <v>78</v>
      </c>
      <c r="R559" s="159" t="s">
        <v>385</v>
      </c>
      <c r="S559" s="162" t="s">
        <v>223</v>
      </c>
      <c r="V559" s="38"/>
      <c r="W559" s="38"/>
      <c r="X559" s="39"/>
      <c r="Y559" s="42"/>
      <c r="Z559" s="42"/>
      <c r="AA559" s="39"/>
      <c r="AB559" s="39"/>
      <c r="AC559" s="36"/>
    </row>
    <row r="560" spans="2:29" x14ac:dyDescent="0.25">
      <c r="B560" s="181"/>
      <c r="C560" s="178"/>
      <c r="D560" s="23" t="s">
        <v>3</v>
      </c>
      <c r="E560" s="24">
        <v>2</v>
      </c>
      <c r="F560" s="24">
        <v>14</v>
      </c>
      <c r="G560" s="23" t="s">
        <v>78</v>
      </c>
      <c r="H560" s="160"/>
      <c r="I560" s="163"/>
      <c r="L560" s="181"/>
      <c r="M560" s="178"/>
      <c r="N560" s="23" t="s">
        <v>3</v>
      </c>
      <c r="O560" s="24">
        <v>2</v>
      </c>
      <c r="P560" s="24">
        <v>14</v>
      </c>
      <c r="Q560" s="23" t="s">
        <v>78</v>
      </c>
      <c r="R560" s="160"/>
      <c r="S560" s="163"/>
      <c r="V560" s="38"/>
      <c r="W560" s="38"/>
      <c r="X560" s="39"/>
      <c r="Y560" s="42"/>
      <c r="Z560" s="42"/>
      <c r="AA560" s="39"/>
      <c r="AB560" s="39"/>
      <c r="AC560" s="36"/>
    </row>
    <row r="561" spans="2:29" x14ac:dyDescent="0.25">
      <c r="B561" s="181"/>
      <c r="C561" s="178"/>
      <c r="D561" s="23" t="s">
        <v>80</v>
      </c>
      <c r="E561" s="24">
        <v>3</v>
      </c>
      <c r="F561" s="24">
        <v>15</v>
      </c>
      <c r="G561" s="23" t="s">
        <v>66</v>
      </c>
      <c r="H561" s="160"/>
      <c r="I561" s="163"/>
      <c r="L561" s="181"/>
      <c r="M561" s="178"/>
      <c r="N561" s="23" t="s">
        <v>80</v>
      </c>
      <c r="O561" s="24">
        <v>3</v>
      </c>
      <c r="P561" s="24">
        <v>15</v>
      </c>
      <c r="Q561" s="23" t="s">
        <v>66</v>
      </c>
      <c r="R561" s="160"/>
      <c r="S561" s="163"/>
      <c r="V561" s="38"/>
      <c r="W561" s="38"/>
      <c r="X561" s="39"/>
      <c r="Y561" s="42"/>
      <c r="Z561" s="42"/>
      <c r="AA561" s="39"/>
      <c r="AB561" s="39"/>
      <c r="AC561" s="36"/>
    </row>
    <row r="562" spans="2:29" x14ac:dyDescent="0.25">
      <c r="B562" s="181"/>
      <c r="C562" s="178"/>
      <c r="D562" s="23" t="s">
        <v>81</v>
      </c>
      <c r="E562" s="24">
        <v>4</v>
      </c>
      <c r="F562" s="24">
        <v>16</v>
      </c>
      <c r="G562" s="23" t="s">
        <v>66</v>
      </c>
      <c r="H562" s="160"/>
      <c r="I562" s="163"/>
      <c r="L562" s="181"/>
      <c r="M562" s="178"/>
      <c r="N562" s="23" t="s">
        <v>81</v>
      </c>
      <c r="O562" s="24">
        <v>4</v>
      </c>
      <c r="P562" s="24">
        <v>16</v>
      </c>
      <c r="Q562" s="23" t="s">
        <v>66</v>
      </c>
      <c r="R562" s="160"/>
      <c r="S562" s="163"/>
      <c r="V562" s="38"/>
      <c r="W562" s="38"/>
      <c r="X562" s="39"/>
      <c r="Y562" s="42"/>
      <c r="Z562" s="42"/>
      <c r="AA562" s="39"/>
      <c r="AB562" s="39"/>
      <c r="AC562" s="36"/>
    </row>
    <row r="563" spans="2:29" x14ac:dyDescent="0.25">
      <c r="B563" s="181"/>
      <c r="C563" s="178"/>
      <c r="D563" s="23" t="s">
        <v>82</v>
      </c>
      <c r="E563" s="24">
        <v>5</v>
      </c>
      <c r="F563" s="24">
        <v>17</v>
      </c>
      <c r="G563" s="23" t="s">
        <v>66</v>
      </c>
      <c r="H563" s="160"/>
      <c r="I563" s="163"/>
      <c r="L563" s="181"/>
      <c r="M563" s="178"/>
      <c r="N563" s="23" t="s">
        <v>82</v>
      </c>
      <c r="O563" s="24">
        <v>5</v>
      </c>
      <c r="P563" s="24">
        <v>17</v>
      </c>
      <c r="Q563" s="23" t="s">
        <v>66</v>
      </c>
      <c r="R563" s="160"/>
      <c r="S563" s="163"/>
      <c r="V563" s="38"/>
      <c r="W563" s="38"/>
      <c r="X563" s="39"/>
      <c r="Y563" s="42"/>
      <c r="Z563" s="42"/>
      <c r="AA563" s="39"/>
      <c r="AB563" s="39"/>
      <c r="AC563" s="36"/>
    </row>
    <row r="564" spans="2:29" ht="15.75" thickBot="1" x14ac:dyDescent="0.3">
      <c r="B564" s="181"/>
      <c r="C564" s="179"/>
      <c r="D564" s="23" t="s">
        <v>83</v>
      </c>
      <c r="E564" s="24">
        <v>6</v>
      </c>
      <c r="F564" s="24">
        <v>18</v>
      </c>
      <c r="G564" s="23" t="s">
        <v>66</v>
      </c>
      <c r="H564" s="161"/>
      <c r="I564" s="164"/>
      <c r="L564" s="181"/>
      <c r="M564" s="179"/>
      <c r="N564" s="23" t="s">
        <v>83</v>
      </c>
      <c r="O564" s="24">
        <v>6</v>
      </c>
      <c r="P564" s="24">
        <v>18</v>
      </c>
      <c r="Q564" s="23" t="s">
        <v>66</v>
      </c>
      <c r="R564" s="161"/>
      <c r="S564" s="164"/>
      <c r="V564" s="38"/>
      <c r="W564" s="38"/>
      <c r="X564" s="39"/>
      <c r="Y564" s="42"/>
      <c r="Z564" s="42"/>
      <c r="AA564" s="39"/>
      <c r="AB564" s="39"/>
      <c r="AC564" s="36"/>
    </row>
    <row r="565" spans="2:29" x14ac:dyDescent="0.25">
      <c r="B565" s="181"/>
      <c r="C565" s="177" t="s">
        <v>84</v>
      </c>
      <c r="D565" s="23" t="s">
        <v>2</v>
      </c>
      <c r="E565" s="24">
        <v>1</v>
      </c>
      <c r="F565" s="24">
        <v>19</v>
      </c>
      <c r="G565" s="23" t="s">
        <v>66</v>
      </c>
      <c r="H565" s="23"/>
      <c r="I565" s="47"/>
      <c r="L565" s="181"/>
      <c r="M565" s="177" t="s">
        <v>84</v>
      </c>
      <c r="N565" s="23" t="s">
        <v>2</v>
      </c>
      <c r="O565" s="24">
        <v>1</v>
      </c>
      <c r="P565" s="24">
        <v>19</v>
      </c>
      <c r="Q565" s="23" t="s">
        <v>66</v>
      </c>
      <c r="R565" s="23"/>
      <c r="S565" s="47"/>
      <c r="V565" s="38"/>
      <c r="W565" s="38"/>
      <c r="X565" s="39"/>
      <c r="Y565" s="42"/>
      <c r="Z565" s="42"/>
      <c r="AA565" s="39"/>
      <c r="AB565" s="39"/>
      <c r="AC565" s="36"/>
    </row>
    <row r="566" spans="2:29" x14ac:dyDescent="0.25">
      <c r="B566" s="181"/>
      <c r="C566" s="178"/>
      <c r="D566" s="23" t="s">
        <v>3</v>
      </c>
      <c r="E566" s="24">
        <v>2</v>
      </c>
      <c r="F566" s="24">
        <v>20</v>
      </c>
      <c r="G566" s="23" t="s">
        <v>66</v>
      </c>
      <c r="H566" s="23"/>
      <c r="I566" s="47"/>
      <c r="L566" s="181"/>
      <c r="M566" s="178"/>
      <c r="N566" s="23" t="s">
        <v>3</v>
      </c>
      <c r="O566" s="24">
        <v>2</v>
      </c>
      <c r="P566" s="24">
        <v>20</v>
      </c>
      <c r="Q566" s="23" t="s">
        <v>66</v>
      </c>
      <c r="R566" s="23"/>
      <c r="S566" s="47"/>
      <c r="V566" s="38"/>
      <c r="W566" s="38"/>
      <c r="X566" s="39"/>
      <c r="Y566" s="42"/>
      <c r="Z566" s="42"/>
      <c r="AA566" s="39"/>
      <c r="AB566" s="39"/>
      <c r="AC566" s="36"/>
    </row>
    <row r="567" spans="2:29" x14ac:dyDescent="0.25">
      <c r="B567" s="181"/>
      <c r="C567" s="178"/>
      <c r="D567" s="23" t="s">
        <v>80</v>
      </c>
      <c r="E567" s="26">
        <v>3</v>
      </c>
      <c r="F567" s="24">
        <v>21</v>
      </c>
      <c r="G567" s="23" t="s">
        <v>66</v>
      </c>
      <c r="H567" s="23"/>
      <c r="I567" s="47"/>
      <c r="L567" s="181"/>
      <c r="M567" s="178"/>
      <c r="N567" s="23" t="s">
        <v>80</v>
      </c>
      <c r="O567" s="26">
        <v>3</v>
      </c>
      <c r="P567" s="24">
        <v>21</v>
      </c>
      <c r="Q567" s="23" t="s">
        <v>66</v>
      </c>
      <c r="R567" s="23"/>
      <c r="S567" s="47"/>
      <c r="V567" s="38"/>
      <c r="W567" s="38"/>
      <c r="X567" s="39"/>
      <c r="Y567" s="43"/>
      <c r="Z567" s="42"/>
      <c r="AA567" s="39"/>
      <c r="AB567" s="39"/>
      <c r="AC567" s="36"/>
    </row>
    <row r="568" spans="2:29" x14ac:dyDescent="0.25">
      <c r="B568" s="181"/>
      <c r="C568" s="178"/>
      <c r="D568" s="23" t="s">
        <v>81</v>
      </c>
      <c r="E568" s="24">
        <v>4</v>
      </c>
      <c r="F568" s="24">
        <v>22</v>
      </c>
      <c r="G568" s="23" t="s">
        <v>66</v>
      </c>
      <c r="H568" s="23"/>
      <c r="I568" s="47"/>
      <c r="L568" s="181"/>
      <c r="M568" s="178"/>
      <c r="N568" s="23" t="s">
        <v>81</v>
      </c>
      <c r="O568" s="24">
        <v>4</v>
      </c>
      <c r="P568" s="24">
        <v>22</v>
      </c>
      <c r="Q568" s="23" t="s">
        <v>66</v>
      </c>
      <c r="R568" s="23"/>
      <c r="S568" s="47"/>
      <c r="V568" s="38"/>
      <c r="W568" s="38"/>
      <c r="X568" s="39"/>
      <c r="Y568" s="42"/>
      <c r="Z568" s="42"/>
      <c r="AA568" s="39"/>
      <c r="AB568" s="39"/>
      <c r="AC568" s="36"/>
    </row>
    <row r="569" spans="2:29" x14ac:dyDescent="0.25">
      <c r="B569" s="181"/>
      <c r="C569" s="178"/>
      <c r="D569" s="23" t="s">
        <v>82</v>
      </c>
      <c r="E569" s="24">
        <v>5</v>
      </c>
      <c r="F569" s="24">
        <v>23</v>
      </c>
      <c r="G569" s="23" t="s">
        <v>66</v>
      </c>
      <c r="H569" s="23"/>
      <c r="I569" s="47"/>
      <c r="L569" s="181"/>
      <c r="M569" s="178"/>
      <c r="N569" s="23" t="s">
        <v>82</v>
      </c>
      <c r="O569" s="24">
        <v>5</v>
      </c>
      <c r="P569" s="24">
        <v>23</v>
      </c>
      <c r="Q569" s="23" t="s">
        <v>66</v>
      </c>
      <c r="R569" s="23"/>
      <c r="S569" s="47"/>
      <c r="V569" s="38"/>
      <c r="W569" s="38"/>
      <c r="X569" s="39"/>
      <c r="Y569" s="42"/>
      <c r="Z569" s="42"/>
      <c r="AA569" s="39"/>
      <c r="AB569" s="39"/>
      <c r="AC569" s="36"/>
    </row>
    <row r="570" spans="2:29" ht="15.75" thickBot="1" x14ac:dyDescent="0.3">
      <c r="B570" s="182"/>
      <c r="C570" s="179"/>
      <c r="D570" s="23" t="s">
        <v>83</v>
      </c>
      <c r="E570" s="24">
        <v>6</v>
      </c>
      <c r="F570" s="24">
        <v>24</v>
      </c>
      <c r="G570" s="23" t="s">
        <v>66</v>
      </c>
      <c r="H570" s="23"/>
      <c r="I570" s="47"/>
      <c r="L570" s="182"/>
      <c r="M570" s="179"/>
      <c r="N570" s="23" t="s">
        <v>83</v>
      </c>
      <c r="O570" s="24">
        <v>6</v>
      </c>
      <c r="P570" s="24">
        <v>24</v>
      </c>
      <c r="Q570" s="23" t="s">
        <v>66</v>
      </c>
      <c r="R570" s="23"/>
      <c r="S570" s="47"/>
      <c r="V570" s="38"/>
      <c r="W570" s="38"/>
      <c r="X570" s="39"/>
      <c r="Y570" s="42"/>
      <c r="Z570" s="42"/>
      <c r="AA570" s="39"/>
      <c r="AB570" s="39"/>
      <c r="AC570" s="36"/>
    </row>
    <row r="571" spans="2:29" x14ac:dyDescent="0.25">
      <c r="B571" s="189" t="s">
        <v>80</v>
      </c>
      <c r="C571" s="192" t="s">
        <v>77</v>
      </c>
      <c r="D571" s="27" t="s">
        <v>2</v>
      </c>
      <c r="E571" s="28">
        <v>1</v>
      </c>
      <c r="F571" s="28">
        <v>25</v>
      </c>
      <c r="G571" s="27" t="s">
        <v>66</v>
      </c>
      <c r="H571" s="27"/>
      <c r="I571" s="48"/>
      <c r="L571" s="189" t="s">
        <v>80</v>
      </c>
      <c r="M571" s="192" t="s">
        <v>77</v>
      </c>
      <c r="N571" s="27" t="s">
        <v>2</v>
      </c>
      <c r="O571" s="28">
        <v>1</v>
      </c>
      <c r="P571" s="28">
        <v>25</v>
      </c>
      <c r="Q571" s="27" t="s">
        <v>66</v>
      </c>
      <c r="R571" s="27"/>
      <c r="S571" s="48"/>
      <c r="V571" s="38"/>
      <c r="W571" s="38"/>
      <c r="X571" s="39"/>
      <c r="Y571" s="42"/>
      <c r="Z571" s="42"/>
      <c r="AA571" s="39"/>
      <c r="AB571" s="39"/>
      <c r="AC571" s="36"/>
    </row>
    <row r="572" spans="2:29" x14ac:dyDescent="0.25">
      <c r="B572" s="190"/>
      <c r="C572" s="193"/>
      <c r="D572" s="27" t="s">
        <v>3</v>
      </c>
      <c r="E572" s="28">
        <v>2</v>
      </c>
      <c r="F572" s="28">
        <v>26</v>
      </c>
      <c r="G572" s="27" t="s">
        <v>66</v>
      </c>
      <c r="H572" s="27"/>
      <c r="I572" s="48"/>
      <c r="L572" s="190"/>
      <c r="M572" s="193"/>
      <c r="N572" s="27" t="s">
        <v>3</v>
      </c>
      <c r="O572" s="28">
        <v>2</v>
      </c>
      <c r="P572" s="28">
        <v>26</v>
      </c>
      <c r="Q572" s="27" t="s">
        <v>66</v>
      </c>
      <c r="R572" s="27"/>
      <c r="S572" s="48"/>
      <c r="V572" s="38"/>
      <c r="W572" s="38"/>
      <c r="X572" s="39"/>
      <c r="Y572" s="42"/>
      <c r="Z572" s="42"/>
      <c r="AA572" s="39"/>
      <c r="AB572" s="39"/>
      <c r="AC572" s="36"/>
    </row>
    <row r="573" spans="2:29" x14ac:dyDescent="0.25">
      <c r="B573" s="190"/>
      <c r="C573" s="193"/>
      <c r="D573" s="27" t="s">
        <v>80</v>
      </c>
      <c r="E573" s="28">
        <v>3</v>
      </c>
      <c r="F573" s="28">
        <v>27</v>
      </c>
      <c r="G573" s="27" t="s">
        <v>66</v>
      </c>
      <c r="H573" s="27"/>
      <c r="I573" s="48"/>
      <c r="L573" s="190"/>
      <c r="M573" s="193"/>
      <c r="N573" s="27" t="s">
        <v>80</v>
      </c>
      <c r="O573" s="28">
        <v>3</v>
      </c>
      <c r="P573" s="28">
        <v>27</v>
      </c>
      <c r="Q573" s="27" t="s">
        <v>66</v>
      </c>
      <c r="R573" s="27"/>
      <c r="S573" s="48"/>
      <c r="V573" s="38"/>
      <c r="W573" s="38"/>
      <c r="X573" s="39"/>
      <c r="Y573" s="42"/>
      <c r="Z573" s="42"/>
      <c r="AA573" s="39"/>
      <c r="AB573" s="39"/>
      <c r="AC573" s="36"/>
    </row>
    <row r="574" spans="2:29" x14ac:dyDescent="0.25">
      <c r="B574" s="190"/>
      <c r="C574" s="193"/>
      <c r="D574" s="27" t="s">
        <v>81</v>
      </c>
      <c r="E574" s="28">
        <v>4</v>
      </c>
      <c r="F574" s="28">
        <v>28</v>
      </c>
      <c r="G574" s="27" t="s">
        <v>66</v>
      </c>
      <c r="H574" s="27"/>
      <c r="I574" s="48"/>
      <c r="L574" s="190"/>
      <c r="M574" s="193"/>
      <c r="N574" s="27" t="s">
        <v>81</v>
      </c>
      <c r="O574" s="28">
        <v>4</v>
      </c>
      <c r="P574" s="28">
        <v>28</v>
      </c>
      <c r="Q574" s="27" t="s">
        <v>66</v>
      </c>
      <c r="R574" s="27"/>
      <c r="S574" s="48"/>
      <c r="V574" s="38"/>
      <c r="W574" s="38"/>
      <c r="X574" s="39"/>
      <c r="Y574" s="42"/>
      <c r="Z574" s="42"/>
      <c r="AA574" s="39"/>
      <c r="AB574" s="39"/>
      <c r="AC574" s="36"/>
    </row>
    <row r="575" spans="2:29" x14ac:dyDescent="0.25">
      <c r="B575" s="190"/>
      <c r="C575" s="193"/>
      <c r="D575" s="27" t="s">
        <v>82</v>
      </c>
      <c r="E575" s="28">
        <v>5</v>
      </c>
      <c r="F575" s="28">
        <v>29</v>
      </c>
      <c r="G575" s="27" t="s">
        <v>66</v>
      </c>
      <c r="H575" s="27"/>
      <c r="I575" s="48"/>
      <c r="L575" s="190"/>
      <c r="M575" s="193"/>
      <c r="N575" s="27" t="s">
        <v>82</v>
      </c>
      <c r="O575" s="28">
        <v>5</v>
      </c>
      <c r="P575" s="28">
        <v>29</v>
      </c>
      <c r="Q575" s="27" t="s">
        <v>66</v>
      </c>
      <c r="R575" s="27"/>
      <c r="S575" s="48"/>
      <c r="V575" s="38"/>
      <c r="W575" s="38"/>
      <c r="X575" s="39"/>
      <c r="Y575" s="42"/>
      <c r="Z575" s="42"/>
      <c r="AA575" s="39"/>
      <c r="AB575" s="39"/>
      <c r="AC575" s="36"/>
    </row>
    <row r="576" spans="2:29" ht="15.75" thickBot="1" x14ac:dyDescent="0.3">
      <c r="B576" s="190"/>
      <c r="C576" s="194"/>
      <c r="D576" s="27" t="s">
        <v>83</v>
      </c>
      <c r="E576" s="28">
        <v>6</v>
      </c>
      <c r="F576" s="28">
        <v>30</v>
      </c>
      <c r="G576" s="27" t="s">
        <v>66</v>
      </c>
      <c r="H576" s="27"/>
      <c r="I576" s="48"/>
      <c r="L576" s="190"/>
      <c r="M576" s="194"/>
      <c r="N576" s="27" t="s">
        <v>83</v>
      </c>
      <c r="O576" s="28">
        <v>6</v>
      </c>
      <c r="P576" s="28">
        <v>30</v>
      </c>
      <c r="Q576" s="27" t="s">
        <v>66</v>
      </c>
      <c r="R576" s="27"/>
      <c r="S576" s="48"/>
      <c r="V576" s="38"/>
      <c r="W576" s="38"/>
      <c r="X576" s="39"/>
      <c r="Y576" s="42"/>
      <c r="Z576" s="42"/>
      <c r="AA576" s="39"/>
      <c r="AB576" s="39"/>
      <c r="AC576" s="36"/>
    </row>
    <row r="577" spans="2:29" x14ac:dyDescent="0.25">
      <c r="B577" s="190"/>
      <c r="C577" s="192" t="s">
        <v>84</v>
      </c>
      <c r="D577" s="27" t="s">
        <v>2</v>
      </c>
      <c r="E577" s="28">
        <v>1</v>
      </c>
      <c r="F577" s="28">
        <v>31</v>
      </c>
      <c r="G577" s="27" t="s">
        <v>66</v>
      </c>
      <c r="H577" s="27"/>
      <c r="I577" s="48"/>
      <c r="L577" s="190"/>
      <c r="M577" s="192" t="s">
        <v>84</v>
      </c>
      <c r="N577" s="27" t="s">
        <v>2</v>
      </c>
      <c r="O577" s="28">
        <v>1</v>
      </c>
      <c r="P577" s="28">
        <v>31</v>
      </c>
      <c r="Q577" s="27" t="s">
        <v>66</v>
      </c>
      <c r="R577" s="27"/>
      <c r="S577" s="48"/>
      <c r="V577" s="38"/>
      <c r="W577" s="38"/>
      <c r="X577" s="39"/>
      <c r="Y577" s="42"/>
      <c r="Z577" s="42"/>
      <c r="AA577" s="39"/>
      <c r="AB577" s="39"/>
      <c r="AC577" s="36"/>
    </row>
    <row r="578" spans="2:29" x14ac:dyDescent="0.25">
      <c r="B578" s="190"/>
      <c r="C578" s="193"/>
      <c r="D578" s="27" t="s">
        <v>3</v>
      </c>
      <c r="E578" s="28">
        <v>2</v>
      </c>
      <c r="F578" s="28">
        <v>32</v>
      </c>
      <c r="G578" s="27" t="s">
        <v>66</v>
      </c>
      <c r="H578" s="27"/>
      <c r="I578" s="48"/>
      <c r="L578" s="190"/>
      <c r="M578" s="193"/>
      <c r="N578" s="27" t="s">
        <v>3</v>
      </c>
      <c r="O578" s="28">
        <v>2</v>
      </c>
      <c r="P578" s="28">
        <v>32</v>
      </c>
      <c r="Q578" s="27" t="s">
        <v>66</v>
      </c>
      <c r="R578" s="27"/>
      <c r="S578" s="48"/>
      <c r="V578" s="38"/>
      <c r="W578" s="38"/>
      <c r="X578" s="39"/>
      <c r="Y578" s="42"/>
      <c r="Z578" s="42"/>
      <c r="AA578" s="39"/>
      <c r="AB578" s="39"/>
      <c r="AC578" s="36"/>
    </row>
    <row r="579" spans="2:29" x14ac:dyDescent="0.25">
      <c r="B579" s="190"/>
      <c r="C579" s="193"/>
      <c r="D579" s="27" t="s">
        <v>80</v>
      </c>
      <c r="E579" s="28">
        <v>3</v>
      </c>
      <c r="F579" s="28">
        <v>33</v>
      </c>
      <c r="G579" s="27" t="s">
        <v>66</v>
      </c>
      <c r="H579" s="27"/>
      <c r="I579" s="48"/>
      <c r="L579" s="190"/>
      <c r="M579" s="193"/>
      <c r="N579" s="27" t="s">
        <v>80</v>
      </c>
      <c r="O579" s="28">
        <v>3</v>
      </c>
      <c r="P579" s="28">
        <v>33</v>
      </c>
      <c r="Q579" s="27" t="s">
        <v>66</v>
      </c>
      <c r="R579" s="27"/>
      <c r="S579" s="48"/>
      <c r="V579" s="38"/>
      <c r="W579" s="38"/>
      <c r="X579" s="39"/>
      <c r="Y579" s="42"/>
      <c r="Z579" s="42"/>
      <c r="AA579" s="39"/>
      <c r="AB579" s="39"/>
      <c r="AC579" s="36"/>
    </row>
    <row r="580" spans="2:29" x14ac:dyDescent="0.25">
      <c r="B580" s="190"/>
      <c r="C580" s="193"/>
      <c r="D580" s="27" t="s">
        <v>81</v>
      </c>
      <c r="E580" s="28">
        <v>4</v>
      </c>
      <c r="F580" s="28">
        <v>34</v>
      </c>
      <c r="G580" s="27" t="s">
        <v>66</v>
      </c>
      <c r="H580" s="27"/>
      <c r="I580" s="48"/>
      <c r="L580" s="190"/>
      <c r="M580" s="193"/>
      <c r="N580" s="27" t="s">
        <v>81</v>
      </c>
      <c r="O580" s="28">
        <v>4</v>
      </c>
      <c r="P580" s="28">
        <v>34</v>
      </c>
      <c r="Q580" s="27" t="s">
        <v>66</v>
      </c>
      <c r="R580" s="27"/>
      <c r="S580" s="48"/>
      <c r="V580" s="38"/>
      <c r="W580" s="38"/>
      <c r="X580" s="39"/>
      <c r="Y580" s="42"/>
      <c r="Z580" s="42"/>
      <c r="AA580" s="39"/>
      <c r="AB580" s="39"/>
      <c r="AC580" s="36"/>
    </row>
    <row r="581" spans="2:29" x14ac:dyDescent="0.25">
      <c r="B581" s="190"/>
      <c r="C581" s="193"/>
      <c r="D581" s="27" t="s">
        <v>82</v>
      </c>
      <c r="E581" s="28">
        <v>5</v>
      </c>
      <c r="F581" s="28">
        <v>35</v>
      </c>
      <c r="G581" s="27" t="s">
        <v>66</v>
      </c>
      <c r="H581" s="27"/>
      <c r="I581" s="48"/>
      <c r="L581" s="190"/>
      <c r="M581" s="193"/>
      <c r="N581" s="27" t="s">
        <v>82</v>
      </c>
      <c r="O581" s="28">
        <v>5</v>
      </c>
      <c r="P581" s="28">
        <v>35</v>
      </c>
      <c r="Q581" s="27" t="s">
        <v>66</v>
      </c>
      <c r="R581" s="27"/>
      <c r="S581" s="48"/>
      <c r="V581" s="38"/>
      <c r="W581" s="38"/>
      <c r="X581" s="39"/>
      <c r="Y581" s="42"/>
      <c r="Z581" s="42"/>
      <c r="AA581" s="39"/>
      <c r="AB581" s="39"/>
      <c r="AC581" s="36"/>
    </row>
    <row r="582" spans="2:29" ht="15.75" thickBot="1" x14ac:dyDescent="0.3">
      <c r="B582" s="191"/>
      <c r="C582" s="194"/>
      <c r="D582" s="27" t="s">
        <v>83</v>
      </c>
      <c r="E582" s="28">
        <v>6</v>
      </c>
      <c r="F582" s="28">
        <v>36</v>
      </c>
      <c r="G582" s="27" t="s">
        <v>66</v>
      </c>
      <c r="H582" s="27"/>
      <c r="I582" s="48"/>
      <c r="L582" s="191"/>
      <c r="M582" s="194"/>
      <c r="N582" s="27" t="s">
        <v>83</v>
      </c>
      <c r="O582" s="28">
        <v>6</v>
      </c>
      <c r="P582" s="28">
        <v>36</v>
      </c>
      <c r="Q582" s="27" t="s">
        <v>66</v>
      </c>
      <c r="R582" s="27"/>
      <c r="S582" s="48"/>
      <c r="V582" s="38"/>
      <c r="W582" s="38"/>
      <c r="X582" s="39"/>
      <c r="Y582" s="42"/>
      <c r="Z582" s="42"/>
      <c r="AA582" s="39"/>
      <c r="AB582" s="39"/>
      <c r="AC582" s="36"/>
    </row>
    <row r="583" spans="2:29" x14ac:dyDescent="0.25">
      <c r="B583" s="183" t="s">
        <v>81</v>
      </c>
      <c r="C583" s="186" t="s">
        <v>77</v>
      </c>
      <c r="D583" s="29" t="s">
        <v>2</v>
      </c>
      <c r="E583" s="30">
        <v>1</v>
      </c>
      <c r="F583" s="30">
        <v>37</v>
      </c>
      <c r="G583" s="29" t="s">
        <v>66</v>
      </c>
      <c r="H583" s="29"/>
      <c r="I583" s="49"/>
      <c r="L583" s="183" t="s">
        <v>81</v>
      </c>
      <c r="M583" s="186" t="s">
        <v>77</v>
      </c>
      <c r="N583" s="29" t="s">
        <v>2</v>
      </c>
      <c r="O583" s="30">
        <v>1</v>
      </c>
      <c r="P583" s="30">
        <v>37</v>
      </c>
      <c r="Q583" s="29" t="s">
        <v>66</v>
      </c>
      <c r="R583" s="29"/>
      <c r="S583" s="49"/>
      <c r="V583" s="38"/>
      <c r="W583" s="38"/>
      <c r="X583" s="39"/>
      <c r="Y583" s="42"/>
      <c r="Z583" s="42"/>
      <c r="AA583" s="39"/>
      <c r="AB583" s="39"/>
      <c r="AC583" s="36"/>
    </row>
    <row r="584" spans="2:29" x14ac:dyDescent="0.25">
      <c r="B584" s="184"/>
      <c r="C584" s="187"/>
      <c r="D584" s="29" t="s">
        <v>3</v>
      </c>
      <c r="E584" s="30">
        <v>2</v>
      </c>
      <c r="F584" s="30">
        <v>38</v>
      </c>
      <c r="G584" s="29" t="s">
        <v>66</v>
      </c>
      <c r="H584" s="29"/>
      <c r="I584" s="49"/>
      <c r="L584" s="184"/>
      <c r="M584" s="187"/>
      <c r="N584" s="29" t="s">
        <v>3</v>
      </c>
      <c r="O584" s="30">
        <v>2</v>
      </c>
      <c r="P584" s="30">
        <v>38</v>
      </c>
      <c r="Q584" s="29" t="s">
        <v>66</v>
      </c>
      <c r="R584" s="29"/>
      <c r="S584" s="49"/>
      <c r="V584" s="38"/>
      <c r="W584" s="38"/>
      <c r="X584" s="39"/>
      <c r="Y584" s="42"/>
      <c r="Z584" s="42"/>
      <c r="AA584" s="39"/>
      <c r="AB584" s="39"/>
      <c r="AC584" s="36"/>
    </row>
    <row r="585" spans="2:29" x14ac:dyDescent="0.25">
      <c r="B585" s="184"/>
      <c r="C585" s="187"/>
      <c r="D585" s="29" t="s">
        <v>80</v>
      </c>
      <c r="E585" s="30">
        <v>3</v>
      </c>
      <c r="F585" s="30">
        <v>39</v>
      </c>
      <c r="G585" s="29" t="s">
        <v>66</v>
      </c>
      <c r="H585" s="29"/>
      <c r="I585" s="49"/>
      <c r="L585" s="184"/>
      <c r="M585" s="187"/>
      <c r="N585" s="29" t="s">
        <v>80</v>
      </c>
      <c r="O585" s="30">
        <v>3</v>
      </c>
      <c r="P585" s="30">
        <v>39</v>
      </c>
      <c r="Q585" s="29" t="s">
        <v>66</v>
      </c>
      <c r="R585" s="29"/>
      <c r="S585" s="49"/>
      <c r="V585" s="38"/>
      <c r="W585" s="38"/>
      <c r="X585" s="39"/>
      <c r="Y585" s="42"/>
      <c r="Z585" s="42"/>
      <c r="AA585" s="39"/>
      <c r="AB585" s="39"/>
      <c r="AC585" s="36"/>
    </row>
    <row r="586" spans="2:29" x14ac:dyDescent="0.25">
      <c r="B586" s="184"/>
      <c r="C586" s="187"/>
      <c r="D586" s="29" t="s">
        <v>81</v>
      </c>
      <c r="E586" s="30">
        <v>4</v>
      </c>
      <c r="F586" s="30">
        <v>40</v>
      </c>
      <c r="G586" s="29" t="s">
        <v>66</v>
      </c>
      <c r="H586" s="29"/>
      <c r="I586" s="49"/>
      <c r="L586" s="184"/>
      <c r="M586" s="187"/>
      <c r="N586" s="29" t="s">
        <v>81</v>
      </c>
      <c r="O586" s="30">
        <v>4</v>
      </c>
      <c r="P586" s="30">
        <v>40</v>
      </c>
      <c r="Q586" s="29" t="s">
        <v>66</v>
      </c>
      <c r="R586" s="29"/>
      <c r="S586" s="49"/>
      <c r="V586" s="38"/>
      <c r="W586" s="38"/>
      <c r="X586" s="39"/>
      <c r="Y586" s="42"/>
      <c r="Z586" s="42"/>
      <c r="AA586" s="39"/>
      <c r="AB586" s="39"/>
      <c r="AC586" s="36"/>
    </row>
    <row r="587" spans="2:29" x14ac:dyDescent="0.25">
      <c r="B587" s="184"/>
      <c r="C587" s="187"/>
      <c r="D587" s="29" t="s">
        <v>82</v>
      </c>
      <c r="E587" s="30">
        <v>5</v>
      </c>
      <c r="F587" s="30">
        <v>41</v>
      </c>
      <c r="G587" s="29" t="s">
        <v>66</v>
      </c>
      <c r="H587" s="29"/>
      <c r="I587" s="49"/>
      <c r="L587" s="184"/>
      <c r="M587" s="187"/>
      <c r="N587" s="29" t="s">
        <v>82</v>
      </c>
      <c r="O587" s="30">
        <v>5</v>
      </c>
      <c r="P587" s="30">
        <v>41</v>
      </c>
      <c r="Q587" s="29" t="s">
        <v>66</v>
      </c>
      <c r="R587" s="29"/>
      <c r="S587" s="49"/>
      <c r="V587" s="38"/>
      <c r="W587" s="38"/>
      <c r="X587" s="39"/>
      <c r="Y587" s="42"/>
      <c r="Z587" s="42"/>
      <c r="AA587" s="39"/>
      <c r="AB587" s="39"/>
      <c r="AC587" s="36"/>
    </row>
    <row r="588" spans="2:29" ht="15.75" thickBot="1" x14ac:dyDescent="0.3">
      <c r="B588" s="184"/>
      <c r="C588" s="188"/>
      <c r="D588" s="29" t="s">
        <v>83</v>
      </c>
      <c r="E588" s="30">
        <v>6</v>
      </c>
      <c r="F588" s="30">
        <v>42</v>
      </c>
      <c r="G588" s="29" t="s">
        <v>66</v>
      </c>
      <c r="H588" s="29"/>
      <c r="I588" s="49"/>
      <c r="L588" s="184"/>
      <c r="M588" s="188"/>
      <c r="N588" s="29" t="s">
        <v>83</v>
      </c>
      <c r="O588" s="30">
        <v>6</v>
      </c>
      <c r="P588" s="30">
        <v>42</v>
      </c>
      <c r="Q588" s="29" t="s">
        <v>66</v>
      </c>
      <c r="R588" s="29"/>
      <c r="S588" s="49"/>
      <c r="V588" s="38"/>
      <c r="W588" s="38"/>
      <c r="X588" s="39"/>
      <c r="Y588" s="42"/>
      <c r="Z588" s="42"/>
      <c r="AA588" s="39"/>
      <c r="AB588" s="39"/>
      <c r="AC588" s="36"/>
    </row>
    <row r="589" spans="2:29" x14ac:dyDescent="0.25">
      <c r="B589" s="184"/>
      <c r="C589" s="186" t="s">
        <v>84</v>
      </c>
      <c r="D589" s="29" t="s">
        <v>2</v>
      </c>
      <c r="E589" s="30">
        <v>1</v>
      </c>
      <c r="F589" s="30">
        <v>43</v>
      </c>
      <c r="G589" s="29" t="s">
        <v>66</v>
      </c>
      <c r="H589" s="29"/>
      <c r="I589" s="49"/>
      <c r="L589" s="184"/>
      <c r="M589" s="186" t="s">
        <v>84</v>
      </c>
      <c r="N589" s="29" t="s">
        <v>2</v>
      </c>
      <c r="O589" s="30">
        <v>1</v>
      </c>
      <c r="P589" s="30">
        <v>43</v>
      </c>
      <c r="Q589" s="29" t="s">
        <v>66</v>
      </c>
      <c r="R589" s="29"/>
      <c r="S589" s="49"/>
      <c r="V589" s="38"/>
      <c r="W589" s="38"/>
      <c r="X589" s="39"/>
      <c r="Y589" s="42"/>
      <c r="Z589" s="42"/>
      <c r="AA589" s="39"/>
      <c r="AB589" s="39"/>
      <c r="AC589" s="36"/>
    </row>
    <row r="590" spans="2:29" x14ac:dyDescent="0.25">
      <c r="B590" s="184"/>
      <c r="C590" s="187"/>
      <c r="D590" s="29" t="s">
        <v>3</v>
      </c>
      <c r="E590" s="30">
        <v>2</v>
      </c>
      <c r="F590" s="30">
        <v>44</v>
      </c>
      <c r="G590" s="29" t="s">
        <v>66</v>
      </c>
      <c r="H590" s="29"/>
      <c r="I590" s="49"/>
      <c r="L590" s="184"/>
      <c r="M590" s="187"/>
      <c r="N590" s="29" t="s">
        <v>3</v>
      </c>
      <c r="O590" s="30">
        <v>2</v>
      </c>
      <c r="P590" s="30">
        <v>44</v>
      </c>
      <c r="Q590" s="29" t="s">
        <v>66</v>
      </c>
      <c r="R590" s="29"/>
      <c r="S590" s="49"/>
      <c r="V590" s="38"/>
      <c r="W590" s="38"/>
      <c r="X590" s="39"/>
      <c r="Y590" s="42"/>
      <c r="Z590" s="42"/>
      <c r="AA590" s="39"/>
      <c r="AB590" s="39"/>
      <c r="AC590" s="36"/>
    </row>
    <row r="591" spans="2:29" x14ac:dyDescent="0.25">
      <c r="B591" s="184"/>
      <c r="C591" s="187"/>
      <c r="D591" s="29" t="s">
        <v>80</v>
      </c>
      <c r="E591" s="30">
        <v>3</v>
      </c>
      <c r="F591" s="30">
        <v>45</v>
      </c>
      <c r="G591" s="29" t="s">
        <v>66</v>
      </c>
      <c r="H591" s="29"/>
      <c r="I591" s="49"/>
      <c r="L591" s="184"/>
      <c r="M591" s="187"/>
      <c r="N591" s="29" t="s">
        <v>80</v>
      </c>
      <c r="O591" s="30">
        <v>3</v>
      </c>
      <c r="P591" s="30">
        <v>45</v>
      </c>
      <c r="Q591" s="29" t="s">
        <v>66</v>
      </c>
      <c r="R591" s="29"/>
      <c r="S591" s="49"/>
      <c r="V591" s="38"/>
      <c r="W591" s="38"/>
      <c r="X591" s="39"/>
      <c r="Y591" s="42"/>
      <c r="Z591" s="42"/>
      <c r="AA591" s="39"/>
      <c r="AB591" s="39"/>
      <c r="AC591" s="36"/>
    </row>
    <row r="592" spans="2:29" x14ac:dyDescent="0.25">
      <c r="B592" s="184"/>
      <c r="C592" s="187"/>
      <c r="D592" s="29" t="s">
        <v>81</v>
      </c>
      <c r="E592" s="30">
        <v>4</v>
      </c>
      <c r="F592" s="30">
        <v>46</v>
      </c>
      <c r="G592" s="29" t="s">
        <v>66</v>
      </c>
      <c r="H592" s="29"/>
      <c r="I592" s="49"/>
      <c r="L592" s="184"/>
      <c r="M592" s="187"/>
      <c r="N592" s="29" t="s">
        <v>81</v>
      </c>
      <c r="O592" s="30">
        <v>4</v>
      </c>
      <c r="P592" s="30">
        <v>46</v>
      </c>
      <c r="Q592" s="29" t="s">
        <v>66</v>
      </c>
      <c r="R592" s="29"/>
      <c r="S592" s="49"/>
      <c r="V592" s="38"/>
      <c r="W592" s="38"/>
      <c r="X592" s="39"/>
      <c r="Y592" s="42"/>
      <c r="Z592" s="42"/>
      <c r="AA592" s="39"/>
      <c r="AB592" s="39"/>
      <c r="AC592" s="36"/>
    </row>
    <row r="593" spans="2:29" x14ac:dyDescent="0.25">
      <c r="B593" s="184"/>
      <c r="C593" s="187"/>
      <c r="D593" s="29" t="s">
        <v>82</v>
      </c>
      <c r="E593" s="30">
        <v>5</v>
      </c>
      <c r="F593" s="30">
        <v>47</v>
      </c>
      <c r="G593" s="29" t="s">
        <v>66</v>
      </c>
      <c r="H593" s="29"/>
      <c r="I593" s="49"/>
      <c r="L593" s="184"/>
      <c r="M593" s="187"/>
      <c r="N593" s="29" t="s">
        <v>82</v>
      </c>
      <c r="O593" s="30">
        <v>5</v>
      </c>
      <c r="P593" s="30">
        <v>47</v>
      </c>
      <c r="Q593" s="29" t="s">
        <v>66</v>
      </c>
      <c r="R593" s="29"/>
      <c r="S593" s="49"/>
      <c r="V593" s="38"/>
      <c r="W593" s="38"/>
      <c r="X593" s="39"/>
      <c r="Y593" s="42"/>
      <c r="Z593" s="42"/>
      <c r="AA593" s="39"/>
      <c r="AB593" s="39"/>
      <c r="AC593" s="36"/>
    </row>
    <row r="594" spans="2:29" ht="15.75" thickBot="1" x14ac:dyDescent="0.3">
      <c r="B594" s="185"/>
      <c r="C594" s="188"/>
      <c r="D594" s="29" t="s">
        <v>83</v>
      </c>
      <c r="E594" s="30">
        <v>6</v>
      </c>
      <c r="F594" s="30">
        <v>48</v>
      </c>
      <c r="G594" s="29" t="s">
        <v>66</v>
      </c>
      <c r="H594" s="29"/>
      <c r="I594" s="49"/>
      <c r="L594" s="185"/>
      <c r="M594" s="188"/>
      <c r="N594" s="29" t="s">
        <v>83</v>
      </c>
      <c r="O594" s="30">
        <v>6</v>
      </c>
      <c r="P594" s="30">
        <v>48</v>
      </c>
      <c r="Q594" s="29" t="s">
        <v>66</v>
      </c>
      <c r="R594" s="29"/>
      <c r="S594" s="49"/>
      <c r="V594" s="38"/>
      <c r="W594" s="38"/>
      <c r="X594" s="39"/>
      <c r="Y594" s="42"/>
      <c r="Z594" s="42"/>
      <c r="AA594" s="39"/>
      <c r="AB594" s="39"/>
      <c r="AC594" s="36"/>
    </row>
    <row r="595" spans="2:29" ht="16.5" customHeight="1" x14ac:dyDescent="0.25">
      <c r="V595" s="36"/>
      <c r="W595" s="36"/>
      <c r="X595" s="36"/>
      <c r="Y595" s="36"/>
      <c r="Z595" s="36"/>
      <c r="AA595" s="36"/>
      <c r="AB595" s="36"/>
      <c r="AC595" s="36"/>
    </row>
    <row r="596" spans="2:29" ht="15.75" thickBot="1" x14ac:dyDescent="0.3"/>
    <row r="597" spans="2:29" ht="15.75" thickBot="1" x14ac:dyDescent="0.3">
      <c r="B597" s="171" t="s">
        <v>406</v>
      </c>
      <c r="C597" s="172"/>
      <c r="D597" s="172"/>
      <c r="E597" s="172"/>
      <c r="F597" s="172"/>
      <c r="G597" s="172"/>
      <c r="H597" s="172"/>
      <c r="I597" s="173"/>
      <c r="L597" s="171" t="s">
        <v>407</v>
      </c>
      <c r="M597" s="172"/>
      <c r="N597" s="172"/>
      <c r="O597" s="172"/>
      <c r="P597" s="172"/>
      <c r="Q597" s="172"/>
      <c r="R597" s="172"/>
      <c r="S597" s="173"/>
    </row>
    <row r="599" spans="2:29" ht="26.25" thickBot="1" x14ac:dyDescent="0.3">
      <c r="B599" s="15" t="s">
        <v>70</v>
      </c>
      <c r="C599" s="16" t="s">
        <v>71</v>
      </c>
      <c r="D599" s="15" t="s">
        <v>72</v>
      </c>
      <c r="E599" s="17" t="s">
        <v>73</v>
      </c>
      <c r="F599" s="17" t="s">
        <v>74</v>
      </c>
      <c r="G599" s="15" t="s">
        <v>75</v>
      </c>
      <c r="H599" s="15" t="s">
        <v>55</v>
      </c>
      <c r="I599" s="15" t="s">
        <v>76</v>
      </c>
      <c r="L599" s="15" t="s">
        <v>70</v>
      </c>
      <c r="M599" s="16" t="s">
        <v>71</v>
      </c>
      <c r="N599" s="15" t="s">
        <v>72</v>
      </c>
      <c r="O599" s="17" t="s">
        <v>73</v>
      </c>
      <c r="P599" s="17" t="s">
        <v>74</v>
      </c>
      <c r="Q599" s="15" t="s">
        <v>75</v>
      </c>
      <c r="R599" s="15" t="s">
        <v>55</v>
      </c>
      <c r="S599" s="15" t="s">
        <v>76</v>
      </c>
    </row>
    <row r="600" spans="2:29" ht="15" customHeight="1" x14ac:dyDescent="0.25">
      <c r="B600" s="174" t="s">
        <v>2</v>
      </c>
      <c r="C600" s="168" t="s">
        <v>77</v>
      </c>
      <c r="D600" s="18" t="s">
        <v>2</v>
      </c>
      <c r="E600" s="19">
        <v>1</v>
      </c>
      <c r="F600" s="19">
        <v>1</v>
      </c>
      <c r="G600" s="18" t="s">
        <v>66</v>
      </c>
      <c r="H600" s="32"/>
      <c r="I600" s="50"/>
      <c r="L600" s="174" t="s">
        <v>2</v>
      </c>
      <c r="M600" s="168" t="s">
        <v>77</v>
      </c>
      <c r="N600" s="18" t="s">
        <v>2</v>
      </c>
      <c r="O600" s="19">
        <v>1</v>
      </c>
      <c r="P600" s="19">
        <v>1</v>
      </c>
      <c r="Q600" s="18" t="s">
        <v>66</v>
      </c>
      <c r="R600" s="32"/>
      <c r="S600" s="50"/>
    </row>
    <row r="601" spans="2:29" x14ac:dyDescent="0.25">
      <c r="B601" s="175"/>
      <c r="C601" s="169"/>
      <c r="D601" s="18" t="s">
        <v>3</v>
      </c>
      <c r="E601" s="19">
        <v>2</v>
      </c>
      <c r="F601" s="19">
        <v>2</v>
      </c>
      <c r="G601" s="18" t="s">
        <v>66</v>
      </c>
      <c r="H601" s="32"/>
      <c r="I601" s="50"/>
      <c r="L601" s="175"/>
      <c r="M601" s="169"/>
      <c r="N601" s="18" t="s">
        <v>3</v>
      </c>
      <c r="O601" s="19">
        <v>2</v>
      </c>
      <c r="P601" s="19">
        <v>2</v>
      </c>
      <c r="Q601" s="18" t="s">
        <v>66</v>
      </c>
      <c r="R601" s="32"/>
      <c r="S601" s="50"/>
    </row>
    <row r="602" spans="2:29" x14ac:dyDescent="0.25">
      <c r="B602" s="175"/>
      <c r="C602" s="169"/>
      <c r="D602" s="18" t="s">
        <v>80</v>
      </c>
      <c r="E602" s="20">
        <v>3</v>
      </c>
      <c r="F602" s="20">
        <v>3</v>
      </c>
      <c r="G602" s="18" t="s">
        <v>66</v>
      </c>
      <c r="H602" s="32"/>
      <c r="I602" s="50"/>
      <c r="L602" s="175"/>
      <c r="M602" s="169"/>
      <c r="N602" s="18" t="s">
        <v>80</v>
      </c>
      <c r="O602" s="20">
        <v>3</v>
      </c>
      <c r="P602" s="20">
        <v>3</v>
      </c>
      <c r="Q602" s="18" t="s">
        <v>66</v>
      </c>
      <c r="R602" s="32"/>
      <c r="S602" s="50"/>
    </row>
    <row r="603" spans="2:29" x14ac:dyDescent="0.25">
      <c r="B603" s="175"/>
      <c r="C603" s="169"/>
      <c r="D603" s="18" t="s">
        <v>81</v>
      </c>
      <c r="E603" s="20">
        <v>4</v>
      </c>
      <c r="F603" s="20">
        <v>4</v>
      </c>
      <c r="G603" s="18" t="s">
        <v>66</v>
      </c>
      <c r="H603" s="32"/>
      <c r="I603" s="50"/>
      <c r="L603" s="175"/>
      <c r="M603" s="169"/>
      <c r="N603" s="18" t="s">
        <v>81</v>
      </c>
      <c r="O603" s="20">
        <v>4</v>
      </c>
      <c r="P603" s="20">
        <v>4</v>
      </c>
      <c r="Q603" s="18" t="s">
        <v>66</v>
      </c>
      <c r="R603" s="32"/>
      <c r="S603" s="50"/>
    </row>
    <row r="604" spans="2:29" x14ac:dyDescent="0.25">
      <c r="B604" s="175"/>
      <c r="C604" s="169"/>
      <c r="D604" s="18" t="s">
        <v>82</v>
      </c>
      <c r="E604" s="20">
        <v>5</v>
      </c>
      <c r="F604" s="20">
        <v>5</v>
      </c>
      <c r="G604" s="18" t="s">
        <v>66</v>
      </c>
      <c r="H604" s="32"/>
      <c r="I604" s="50"/>
      <c r="L604" s="175"/>
      <c r="M604" s="169"/>
      <c r="N604" s="18" t="s">
        <v>82</v>
      </c>
      <c r="O604" s="20">
        <v>5</v>
      </c>
      <c r="P604" s="20">
        <v>5</v>
      </c>
      <c r="Q604" s="18" t="s">
        <v>66</v>
      </c>
      <c r="R604" s="32"/>
      <c r="S604" s="50"/>
    </row>
    <row r="605" spans="2:29" ht="15.75" thickBot="1" x14ac:dyDescent="0.3">
      <c r="B605" s="175"/>
      <c r="C605" s="170"/>
      <c r="D605" s="18" t="s">
        <v>83</v>
      </c>
      <c r="E605" s="20">
        <v>6</v>
      </c>
      <c r="F605" s="20">
        <v>6</v>
      </c>
      <c r="G605" s="18" t="s">
        <v>66</v>
      </c>
      <c r="H605" s="32"/>
      <c r="I605" s="50"/>
      <c r="L605" s="175"/>
      <c r="M605" s="170"/>
      <c r="N605" s="18" t="s">
        <v>83</v>
      </c>
      <c r="O605" s="20">
        <v>6</v>
      </c>
      <c r="P605" s="20">
        <v>6</v>
      </c>
      <c r="Q605" s="18" t="s">
        <v>66</v>
      </c>
      <c r="R605" s="32"/>
      <c r="S605" s="50"/>
    </row>
    <row r="606" spans="2:29" x14ac:dyDescent="0.25">
      <c r="B606" s="175"/>
      <c r="C606" s="168" t="s">
        <v>84</v>
      </c>
      <c r="D606" s="18" t="s">
        <v>2</v>
      </c>
      <c r="E606" s="19">
        <v>1</v>
      </c>
      <c r="F606" s="19">
        <v>7</v>
      </c>
      <c r="G606" s="18" t="s">
        <v>66</v>
      </c>
      <c r="H606" s="32"/>
      <c r="I606" s="50"/>
      <c r="L606" s="175"/>
      <c r="M606" s="168" t="s">
        <v>84</v>
      </c>
      <c r="N606" s="18" t="s">
        <v>2</v>
      </c>
      <c r="O606" s="19">
        <v>1</v>
      </c>
      <c r="P606" s="19">
        <v>7</v>
      </c>
      <c r="Q606" s="18" t="s">
        <v>66</v>
      </c>
      <c r="R606" s="32"/>
      <c r="S606" s="50"/>
    </row>
    <row r="607" spans="2:29" x14ac:dyDescent="0.25">
      <c r="B607" s="175"/>
      <c r="C607" s="169"/>
      <c r="D607" s="18" t="s">
        <v>3</v>
      </c>
      <c r="E607" s="19">
        <v>2</v>
      </c>
      <c r="F607" s="19">
        <v>8</v>
      </c>
      <c r="G607" s="18" t="s">
        <v>66</v>
      </c>
      <c r="H607" s="32"/>
      <c r="I607" s="50"/>
      <c r="L607" s="175"/>
      <c r="M607" s="169"/>
      <c r="N607" s="18" t="s">
        <v>3</v>
      </c>
      <c r="O607" s="19">
        <v>2</v>
      </c>
      <c r="P607" s="19">
        <v>8</v>
      </c>
      <c r="Q607" s="18" t="s">
        <v>66</v>
      </c>
      <c r="R607" s="32"/>
      <c r="S607" s="50"/>
    </row>
    <row r="608" spans="2:29" x14ac:dyDescent="0.25">
      <c r="B608" s="175"/>
      <c r="C608" s="169"/>
      <c r="D608" s="18" t="s">
        <v>80</v>
      </c>
      <c r="E608" s="20">
        <v>3</v>
      </c>
      <c r="F608" s="20">
        <v>9</v>
      </c>
      <c r="G608" s="18" t="s">
        <v>66</v>
      </c>
      <c r="H608" s="32"/>
      <c r="I608" s="50"/>
      <c r="L608" s="175"/>
      <c r="M608" s="169"/>
      <c r="N608" s="18" t="s">
        <v>80</v>
      </c>
      <c r="O608" s="20">
        <v>3</v>
      </c>
      <c r="P608" s="20">
        <v>9</v>
      </c>
      <c r="Q608" s="18" t="s">
        <v>66</v>
      </c>
      <c r="R608" s="32"/>
      <c r="S608" s="50"/>
    </row>
    <row r="609" spans="2:19" x14ac:dyDescent="0.25">
      <c r="B609" s="175"/>
      <c r="C609" s="169"/>
      <c r="D609" s="18" t="s">
        <v>81</v>
      </c>
      <c r="E609" s="20">
        <v>4</v>
      </c>
      <c r="F609" s="20">
        <v>10</v>
      </c>
      <c r="G609" s="18" t="s">
        <v>66</v>
      </c>
      <c r="H609" s="32"/>
      <c r="I609" s="50"/>
      <c r="L609" s="175"/>
      <c r="M609" s="169"/>
      <c r="N609" s="18" t="s">
        <v>81</v>
      </c>
      <c r="O609" s="20">
        <v>4</v>
      </c>
      <c r="P609" s="20">
        <v>10</v>
      </c>
      <c r="Q609" s="18" t="s">
        <v>66</v>
      </c>
      <c r="R609" s="32"/>
      <c r="S609" s="50"/>
    </row>
    <row r="610" spans="2:19" x14ac:dyDescent="0.25">
      <c r="B610" s="175"/>
      <c r="C610" s="169"/>
      <c r="D610" s="18" t="s">
        <v>82</v>
      </c>
      <c r="E610" s="20">
        <v>5</v>
      </c>
      <c r="F610" s="20">
        <v>11</v>
      </c>
      <c r="G610" s="18" t="s">
        <v>66</v>
      </c>
      <c r="H610" s="32"/>
      <c r="I610" s="50"/>
      <c r="L610" s="175"/>
      <c r="M610" s="169"/>
      <c r="N610" s="18" t="s">
        <v>82</v>
      </c>
      <c r="O610" s="20">
        <v>5</v>
      </c>
      <c r="P610" s="20">
        <v>11</v>
      </c>
      <c r="Q610" s="18" t="s">
        <v>66</v>
      </c>
      <c r="R610" s="32"/>
      <c r="S610" s="50"/>
    </row>
    <row r="611" spans="2:19" ht="15.75" thickBot="1" x14ac:dyDescent="0.3">
      <c r="B611" s="176"/>
      <c r="C611" s="170"/>
      <c r="D611" s="18" t="s">
        <v>83</v>
      </c>
      <c r="E611" s="20">
        <v>6</v>
      </c>
      <c r="F611" s="20">
        <v>12</v>
      </c>
      <c r="G611" s="18" t="s">
        <v>66</v>
      </c>
      <c r="H611" s="32"/>
      <c r="I611" s="50"/>
      <c r="L611" s="176"/>
      <c r="M611" s="170"/>
      <c r="N611" s="18" t="s">
        <v>83</v>
      </c>
      <c r="O611" s="20">
        <v>6</v>
      </c>
      <c r="P611" s="20">
        <v>12</v>
      </c>
      <c r="Q611" s="18" t="s">
        <v>66</v>
      </c>
      <c r="R611" s="32"/>
      <c r="S611" s="50"/>
    </row>
    <row r="612" spans="2:19" ht="15" customHeight="1" x14ac:dyDescent="0.25">
      <c r="B612" s="180" t="s">
        <v>3</v>
      </c>
      <c r="C612" s="177" t="s">
        <v>77</v>
      </c>
      <c r="D612" s="21" t="s">
        <v>2</v>
      </c>
      <c r="E612" s="22">
        <v>1</v>
      </c>
      <c r="F612" s="22">
        <v>13</v>
      </c>
      <c r="G612" s="21" t="s">
        <v>78</v>
      </c>
      <c r="H612" s="159" t="s">
        <v>385</v>
      </c>
      <c r="I612" s="162" t="s">
        <v>222</v>
      </c>
      <c r="L612" s="180" t="s">
        <v>3</v>
      </c>
      <c r="M612" s="177" t="s">
        <v>77</v>
      </c>
      <c r="N612" s="21" t="s">
        <v>2</v>
      </c>
      <c r="O612" s="22">
        <v>1</v>
      </c>
      <c r="P612" s="22">
        <v>13</v>
      </c>
      <c r="Q612" s="21" t="s">
        <v>78</v>
      </c>
      <c r="R612" s="159" t="s">
        <v>385</v>
      </c>
      <c r="S612" s="162" t="s">
        <v>224</v>
      </c>
    </row>
    <row r="613" spans="2:19" x14ac:dyDescent="0.25">
      <c r="B613" s="181"/>
      <c r="C613" s="178"/>
      <c r="D613" s="23" t="s">
        <v>3</v>
      </c>
      <c r="E613" s="24">
        <v>2</v>
      </c>
      <c r="F613" s="24">
        <v>14</v>
      </c>
      <c r="G613" s="23" t="s">
        <v>78</v>
      </c>
      <c r="H613" s="160"/>
      <c r="I613" s="163"/>
      <c r="L613" s="181"/>
      <c r="M613" s="178"/>
      <c r="N613" s="23" t="s">
        <v>3</v>
      </c>
      <c r="O613" s="24">
        <v>2</v>
      </c>
      <c r="P613" s="24">
        <v>14</v>
      </c>
      <c r="Q613" s="23" t="s">
        <v>78</v>
      </c>
      <c r="R613" s="160"/>
      <c r="S613" s="163"/>
    </row>
    <row r="614" spans="2:19" x14ac:dyDescent="0.25">
      <c r="B614" s="181"/>
      <c r="C614" s="178"/>
      <c r="D614" s="23" t="s">
        <v>80</v>
      </c>
      <c r="E614" s="24">
        <v>3</v>
      </c>
      <c r="F614" s="24">
        <v>15</v>
      </c>
      <c r="G614" s="23" t="s">
        <v>66</v>
      </c>
      <c r="H614" s="160"/>
      <c r="I614" s="163"/>
      <c r="L614" s="181"/>
      <c r="M614" s="178"/>
      <c r="N614" s="23" t="s">
        <v>80</v>
      </c>
      <c r="O614" s="24">
        <v>3</v>
      </c>
      <c r="P614" s="24">
        <v>15</v>
      </c>
      <c r="Q614" s="23" t="s">
        <v>66</v>
      </c>
      <c r="R614" s="160"/>
      <c r="S614" s="163"/>
    </row>
    <row r="615" spans="2:19" x14ac:dyDescent="0.25">
      <c r="B615" s="181"/>
      <c r="C615" s="178"/>
      <c r="D615" s="23" t="s">
        <v>81</v>
      </c>
      <c r="E615" s="24">
        <v>4</v>
      </c>
      <c r="F615" s="24">
        <v>16</v>
      </c>
      <c r="G615" s="23" t="s">
        <v>66</v>
      </c>
      <c r="H615" s="160"/>
      <c r="I615" s="163"/>
      <c r="L615" s="181"/>
      <c r="M615" s="178"/>
      <c r="N615" s="23" t="s">
        <v>81</v>
      </c>
      <c r="O615" s="24">
        <v>4</v>
      </c>
      <c r="P615" s="24">
        <v>16</v>
      </c>
      <c r="Q615" s="23" t="s">
        <v>66</v>
      </c>
      <c r="R615" s="160"/>
      <c r="S615" s="163"/>
    </row>
    <row r="616" spans="2:19" x14ac:dyDescent="0.25">
      <c r="B616" s="181"/>
      <c r="C616" s="178"/>
      <c r="D616" s="23" t="s">
        <v>82</v>
      </c>
      <c r="E616" s="24">
        <v>5</v>
      </c>
      <c r="F616" s="24">
        <v>17</v>
      </c>
      <c r="G616" s="23" t="s">
        <v>66</v>
      </c>
      <c r="H616" s="160"/>
      <c r="I616" s="163"/>
      <c r="L616" s="181"/>
      <c r="M616" s="178"/>
      <c r="N616" s="23" t="s">
        <v>82</v>
      </c>
      <c r="O616" s="24">
        <v>5</v>
      </c>
      <c r="P616" s="24">
        <v>17</v>
      </c>
      <c r="Q616" s="23" t="s">
        <v>66</v>
      </c>
      <c r="R616" s="160"/>
      <c r="S616" s="163"/>
    </row>
    <row r="617" spans="2:19" ht="15.75" thickBot="1" x14ac:dyDescent="0.3">
      <c r="B617" s="181"/>
      <c r="C617" s="179"/>
      <c r="D617" s="23" t="s">
        <v>83</v>
      </c>
      <c r="E617" s="24">
        <v>6</v>
      </c>
      <c r="F617" s="24">
        <v>18</v>
      </c>
      <c r="G617" s="23" t="s">
        <v>66</v>
      </c>
      <c r="H617" s="161"/>
      <c r="I617" s="164"/>
      <c r="L617" s="181"/>
      <c r="M617" s="179"/>
      <c r="N617" s="23" t="s">
        <v>83</v>
      </c>
      <c r="O617" s="24">
        <v>6</v>
      </c>
      <c r="P617" s="24">
        <v>18</v>
      </c>
      <c r="Q617" s="23" t="s">
        <v>66</v>
      </c>
      <c r="R617" s="161"/>
      <c r="S617" s="164"/>
    </row>
    <row r="618" spans="2:19" x14ac:dyDescent="0.25">
      <c r="B618" s="181"/>
      <c r="C618" s="177" t="s">
        <v>84</v>
      </c>
      <c r="D618" s="23" t="s">
        <v>2</v>
      </c>
      <c r="E618" s="24">
        <v>1</v>
      </c>
      <c r="F618" s="24">
        <v>19</v>
      </c>
      <c r="G618" s="23" t="s">
        <v>66</v>
      </c>
      <c r="H618" s="23"/>
      <c r="I618" s="47"/>
      <c r="L618" s="181"/>
      <c r="M618" s="177" t="s">
        <v>84</v>
      </c>
      <c r="N618" s="23" t="s">
        <v>2</v>
      </c>
      <c r="O618" s="24">
        <v>1</v>
      </c>
      <c r="P618" s="24">
        <v>19</v>
      </c>
      <c r="Q618" s="23" t="s">
        <v>66</v>
      </c>
      <c r="R618" s="23"/>
      <c r="S618" s="47"/>
    </row>
    <row r="619" spans="2:19" x14ac:dyDescent="0.25">
      <c r="B619" s="181"/>
      <c r="C619" s="178"/>
      <c r="D619" s="23" t="s">
        <v>3</v>
      </c>
      <c r="E619" s="24">
        <v>2</v>
      </c>
      <c r="F619" s="24">
        <v>20</v>
      </c>
      <c r="G619" s="23" t="s">
        <v>66</v>
      </c>
      <c r="H619" s="23"/>
      <c r="I619" s="47"/>
      <c r="L619" s="181"/>
      <c r="M619" s="178"/>
      <c r="N619" s="23" t="s">
        <v>3</v>
      </c>
      <c r="O619" s="24">
        <v>2</v>
      </c>
      <c r="P619" s="24">
        <v>20</v>
      </c>
      <c r="Q619" s="23" t="s">
        <v>66</v>
      </c>
      <c r="R619" s="23"/>
      <c r="S619" s="47"/>
    </row>
    <row r="620" spans="2:19" x14ac:dyDescent="0.25">
      <c r="B620" s="181"/>
      <c r="C620" s="178"/>
      <c r="D620" s="23" t="s">
        <v>80</v>
      </c>
      <c r="E620" s="26">
        <v>3</v>
      </c>
      <c r="F620" s="24">
        <v>21</v>
      </c>
      <c r="G620" s="23" t="s">
        <v>66</v>
      </c>
      <c r="H620" s="23"/>
      <c r="I620" s="47"/>
      <c r="L620" s="181"/>
      <c r="M620" s="178"/>
      <c r="N620" s="23" t="s">
        <v>80</v>
      </c>
      <c r="O620" s="26">
        <v>3</v>
      </c>
      <c r="P620" s="24">
        <v>21</v>
      </c>
      <c r="Q620" s="23" t="s">
        <v>66</v>
      </c>
      <c r="R620" s="23"/>
      <c r="S620" s="47"/>
    </row>
    <row r="621" spans="2:19" x14ac:dyDescent="0.25">
      <c r="B621" s="181"/>
      <c r="C621" s="178"/>
      <c r="D621" s="23" t="s">
        <v>81</v>
      </c>
      <c r="E621" s="24">
        <v>4</v>
      </c>
      <c r="F621" s="24">
        <v>22</v>
      </c>
      <c r="G621" s="23" t="s">
        <v>66</v>
      </c>
      <c r="H621" s="23"/>
      <c r="I621" s="47"/>
      <c r="L621" s="181"/>
      <c r="M621" s="178"/>
      <c r="N621" s="23" t="s">
        <v>81</v>
      </c>
      <c r="O621" s="24">
        <v>4</v>
      </c>
      <c r="P621" s="24">
        <v>22</v>
      </c>
      <c r="Q621" s="23" t="s">
        <v>66</v>
      </c>
      <c r="R621" s="23"/>
      <c r="S621" s="47"/>
    </row>
    <row r="622" spans="2:19" x14ac:dyDescent="0.25">
      <c r="B622" s="181"/>
      <c r="C622" s="178"/>
      <c r="D622" s="23" t="s">
        <v>82</v>
      </c>
      <c r="E622" s="24">
        <v>5</v>
      </c>
      <c r="F622" s="24">
        <v>23</v>
      </c>
      <c r="G622" s="23" t="s">
        <v>66</v>
      </c>
      <c r="H622" s="23"/>
      <c r="I622" s="47"/>
      <c r="L622" s="181"/>
      <c r="M622" s="178"/>
      <c r="N622" s="23" t="s">
        <v>82</v>
      </c>
      <c r="O622" s="24">
        <v>5</v>
      </c>
      <c r="P622" s="24">
        <v>23</v>
      </c>
      <c r="Q622" s="23" t="s">
        <v>66</v>
      </c>
      <c r="R622" s="23"/>
      <c r="S622" s="47"/>
    </row>
    <row r="623" spans="2:19" ht="15.75" thickBot="1" x14ac:dyDescent="0.3">
      <c r="B623" s="182"/>
      <c r="C623" s="179"/>
      <c r="D623" s="23" t="s">
        <v>83</v>
      </c>
      <c r="E623" s="24">
        <v>6</v>
      </c>
      <c r="F623" s="24">
        <v>24</v>
      </c>
      <c r="G623" s="23" t="s">
        <v>66</v>
      </c>
      <c r="H623" s="23"/>
      <c r="I623" s="47"/>
      <c r="L623" s="182"/>
      <c r="M623" s="179"/>
      <c r="N623" s="23" t="s">
        <v>83</v>
      </c>
      <c r="O623" s="24">
        <v>6</v>
      </c>
      <c r="P623" s="24">
        <v>24</v>
      </c>
      <c r="Q623" s="23" t="s">
        <v>66</v>
      </c>
      <c r="R623" s="23"/>
      <c r="S623" s="47"/>
    </row>
    <row r="624" spans="2:19" x14ac:dyDescent="0.25">
      <c r="B624" s="189" t="s">
        <v>80</v>
      </c>
      <c r="C624" s="192" t="s">
        <v>77</v>
      </c>
      <c r="D624" s="27" t="s">
        <v>2</v>
      </c>
      <c r="E624" s="28">
        <v>1</v>
      </c>
      <c r="F624" s="28">
        <v>25</v>
      </c>
      <c r="G624" s="27" t="s">
        <v>66</v>
      </c>
      <c r="H624" s="27"/>
      <c r="I624" s="48"/>
      <c r="L624" s="189" t="s">
        <v>80</v>
      </c>
      <c r="M624" s="192" t="s">
        <v>77</v>
      </c>
      <c r="N624" s="27" t="s">
        <v>2</v>
      </c>
      <c r="O624" s="28">
        <v>1</v>
      </c>
      <c r="P624" s="28">
        <v>25</v>
      </c>
      <c r="Q624" s="27" t="s">
        <v>66</v>
      </c>
      <c r="R624" s="27"/>
      <c r="S624" s="48"/>
    </row>
    <row r="625" spans="2:19" x14ac:dyDescent="0.25">
      <c r="B625" s="190"/>
      <c r="C625" s="193"/>
      <c r="D625" s="27" t="s">
        <v>3</v>
      </c>
      <c r="E625" s="28">
        <v>2</v>
      </c>
      <c r="F625" s="28">
        <v>26</v>
      </c>
      <c r="G625" s="27" t="s">
        <v>66</v>
      </c>
      <c r="H625" s="27"/>
      <c r="I625" s="48"/>
      <c r="L625" s="190"/>
      <c r="M625" s="193"/>
      <c r="N625" s="27" t="s">
        <v>3</v>
      </c>
      <c r="O625" s="28">
        <v>2</v>
      </c>
      <c r="P625" s="28">
        <v>26</v>
      </c>
      <c r="Q625" s="27" t="s">
        <v>66</v>
      </c>
      <c r="R625" s="27"/>
      <c r="S625" s="48"/>
    </row>
    <row r="626" spans="2:19" x14ac:dyDescent="0.25">
      <c r="B626" s="190"/>
      <c r="C626" s="193"/>
      <c r="D626" s="27" t="s">
        <v>80</v>
      </c>
      <c r="E626" s="28">
        <v>3</v>
      </c>
      <c r="F626" s="28">
        <v>27</v>
      </c>
      <c r="G626" s="27" t="s">
        <v>66</v>
      </c>
      <c r="H626" s="27"/>
      <c r="I626" s="48"/>
      <c r="L626" s="190"/>
      <c r="M626" s="193"/>
      <c r="N626" s="27" t="s">
        <v>80</v>
      </c>
      <c r="O626" s="28">
        <v>3</v>
      </c>
      <c r="P626" s="28">
        <v>27</v>
      </c>
      <c r="Q626" s="27" t="s">
        <v>66</v>
      </c>
      <c r="R626" s="27"/>
      <c r="S626" s="48"/>
    </row>
    <row r="627" spans="2:19" x14ac:dyDescent="0.25">
      <c r="B627" s="190"/>
      <c r="C627" s="193"/>
      <c r="D627" s="27" t="s">
        <v>81</v>
      </c>
      <c r="E627" s="28">
        <v>4</v>
      </c>
      <c r="F627" s="28">
        <v>28</v>
      </c>
      <c r="G627" s="27" t="s">
        <v>66</v>
      </c>
      <c r="H627" s="27"/>
      <c r="I627" s="48"/>
      <c r="L627" s="190"/>
      <c r="M627" s="193"/>
      <c r="N627" s="27" t="s">
        <v>81</v>
      </c>
      <c r="O627" s="28">
        <v>4</v>
      </c>
      <c r="P627" s="28">
        <v>28</v>
      </c>
      <c r="Q627" s="27" t="s">
        <v>66</v>
      </c>
      <c r="R627" s="27"/>
      <c r="S627" s="48"/>
    </row>
    <row r="628" spans="2:19" x14ac:dyDescent="0.25">
      <c r="B628" s="190"/>
      <c r="C628" s="193"/>
      <c r="D628" s="27" t="s">
        <v>82</v>
      </c>
      <c r="E628" s="28">
        <v>5</v>
      </c>
      <c r="F628" s="28">
        <v>29</v>
      </c>
      <c r="G628" s="27" t="s">
        <v>66</v>
      </c>
      <c r="H628" s="27"/>
      <c r="I628" s="48"/>
      <c r="L628" s="190"/>
      <c r="M628" s="193"/>
      <c r="N628" s="27" t="s">
        <v>82</v>
      </c>
      <c r="O628" s="28">
        <v>5</v>
      </c>
      <c r="P628" s="28">
        <v>29</v>
      </c>
      <c r="Q628" s="27" t="s">
        <v>66</v>
      </c>
      <c r="R628" s="27"/>
      <c r="S628" s="48"/>
    </row>
    <row r="629" spans="2:19" ht="15.75" thickBot="1" x14ac:dyDescent="0.3">
      <c r="B629" s="190"/>
      <c r="C629" s="194"/>
      <c r="D629" s="27" t="s">
        <v>83</v>
      </c>
      <c r="E629" s="28">
        <v>6</v>
      </c>
      <c r="F629" s="28">
        <v>30</v>
      </c>
      <c r="G629" s="27" t="s">
        <v>66</v>
      </c>
      <c r="H629" s="27"/>
      <c r="I629" s="48"/>
      <c r="L629" s="190"/>
      <c r="M629" s="194"/>
      <c r="N629" s="27" t="s">
        <v>83</v>
      </c>
      <c r="O629" s="28">
        <v>6</v>
      </c>
      <c r="P629" s="28">
        <v>30</v>
      </c>
      <c r="Q629" s="27" t="s">
        <v>66</v>
      </c>
      <c r="R629" s="27"/>
      <c r="S629" s="48"/>
    </row>
    <row r="630" spans="2:19" x14ac:dyDescent="0.25">
      <c r="B630" s="190"/>
      <c r="C630" s="192" t="s">
        <v>84</v>
      </c>
      <c r="D630" s="27" t="s">
        <v>2</v>
      </c>
      <c r="E630" s="28">
        <v>1</v>
      </c>
      <c r="F630" s="28">
        <v>31</v>
      </c>
      <c r="G630" s="27" t="s">
        <v>66</v>
      </c>
      <c r="H630" s="27"/>
      <c r="I630" s="48"/>
      <c r="L630" s="190"/>
      <c r="M630" s="192" t="s">
        <v>84</v>
      </c>
      <c r="N630" s="27" t="s">
        <v>2</v>
      </c>
      <c r="O630" s="28">
        <v>1</v>
      </c>
      <c r="P630" s="28">
        <v>31</v>
      </c>
      <c r="Q630" s="27" t="s">
        <v>66</v>
      </c>
      <c r="R630" s="27"/>
      <c r="S630" s="48"/>
    </row>
    <row r="631" spans="2:19" x14ac:dyDescent="0.25">
      <c r="B631" s="190"/>
      <c r="C631" s="193"/>
      <c r="D631" s="27" t="s">
        <v>3</v>
      </c>
      <c r="E631" s="28">
        <v>2</v>
      </c>
      <c r="F631" s="28">
        <v>32</v>
      </c>
      <c r="G631" s="27" t="s">
        <v>66</v>
      </c>
      <c r="H631" s="27"/>
      <c r="I631" s="48"/>
      <c r="L631" s="190"/>
      <c r="M631" s="193"/>
      <c r="N631" s="27" t="s">
        <v>3</v>
      </c>
      <c r="O631" s="28">
        <v>2</v>
      </c>
      <c r="P631" s="28">
        <v>32</v>
      </c>
      <c r="Q631" s="27" t="s">
        <v>66</v>
      </c>
      <c r="R631" s="27"/>
      <c r="S631" s="48"/>
    </row>
    <row r="632" spans="2:19" x14ac:dyDescent="0.25">
      <c r="B632" s="190"/>
      <c r="C632" s="193"/>
      <c r="D632" s="27" t="s">
        <v>80</v>
      </c>
      <c r="E632" s="28">
        <v>3</v>
      </c>
      <c r="F632" s="28">
        <v>33</v>
      </c>
      <c r="G632" s="27" t="s">
        <v>66</v>
      </c>
      <c r="H632" s="27"/>
      <c r="I632" s="48"/>
      <c r="L632" s="190"/>
      <c r="M632" s="193"/>
      <c r="N632" s="27" t="s">
        <v>80</v>
      </c>
      <c r="O632" s="28">
        <v>3</v>
      </c>
      <c r="P632" s="28">
        <v>33</v>
      </c>
      <c r="Q632" s="27" t="s">
        <v>66</v>
      </c>
      <c r="R632" s="27"/>
      <c r="S632" s="48"/>
    </row>
    <row r="633" spans="2:19" x14ac:dyDescent="0.25">
      <c r="B633" s="190"/>
      <c r="C633" s="193"/>
      <c r="D633" s="27" t="s">
        <v>81</v>
      </c>
      <c r="E633" s="28">
        <v>4</v>
      </c>
      <c r="F633" s="28">
        <v>34</v>
      </c>
      <c r="G633" s="27" t="s">
        <v>66</v>
      </c>
      <c r="H633" s="27"/>
      <c r="I633" s="48"/>
      <c r="L633" s="190"/>
      <c r="M633" s="193"/>
      <c r="N633" s="27" t="s">
        <v>81</v>
      </c>
      <c r="O633" s="28">
        <v>4</v>
      </c>
      <c r="P633" s="28">
        <v>34</v>
      </c>
      <c r="Q633" s="27" t="s">
        <v>66</v>
      </c>
      <c r="R633" s="27"/>
      <c r="S633" s="48"/>
    </row>
    <row r="634" spans="2:19" x14ac:dyDescent="0.25">
      <c r="B634" s="190"/>
      <c r="C634" s="193"/>
      <c r="D634" s="27" t="s">
        <v>82</v>
      </c>
      <c r="E634" s="28">
        <v>5</v>
      </c>
      <c r="F634" s="28">
        <v>35</v>
      </c>
      <c r="G634" s="27" t="s">
        <v>66</v>
      </c>
      <c r="H634" s="27"/>
      <c r="I634" s="48"/>
      <c r="L634" s="190"/>
      <c r="M634" s="193"/>
      <c r="N634" s="27" t="s">
        <v>82</v>
      </c>
      <c r="O634" s="28">
        <v>5</v>
      </c>
      <c r="P634" s="28">
        <v>35</v>
      </c>
      <c r="Q634" s="27" t="s">
        <v>66</v>
      </c>
      <c r="R634" s="27"/>
      <c r="S634" s="48"/>
    </row>
    <row r="635" spans="2:19" ht="15.75" thickBot="1" x14ac:dyDescent="0.3">
      <c r="B635" s="191"/>
      <c r="C635" s="194"/>
      <c r="D635" s="27" t="s">
        <v>83</v>
      </c>
      <c r="E635" s="28">
        <v>6</v>
      </c>
      <c r="F635" s="28">
        <v>36</v>
      </c>
      <c r="G635" s="27" t="s">
        <v>66</v>
      </c>
      <c r="H635" s="27"/>
      <c r="I635" s="48"/>
      <c r="L635" s="191"/>
      <c r="M635" s="194"/>
      <c r="N635" s="27" t="s">
        <v>83</v>
      </c>
      <c r="O635" s="28">
        <v>6</v>
      </c>
      <c r="P635" s="28">
        <v>36</v>
      </c>
      <c r="Q635" s="27" t="s">
        <v>66</v>
      </c>
      <c r="R635" s="27"/>
      <c r="S635" s="48"/>
    </row>
    <row r="636" spans="2:19" ht="15" customHeight="1" x14ac:dyDescent="0.25">
      <c r="B636" s="183" t="s">
        <v>81</v>
      </c>
      <c r="C636" s="186" t="s">
        <v>77</v>
      </c>
      <c r="D636" s="29" t="s">
        <v>2</v>
      </c>
      <c r="E636" s="30">
        <v>1</v>
      </c>
      <c r="F636" s="30">
        <v>37</v>
      </c>
      <c r="G636" s="29" t="s">
        <v>66</v>
      </c>
      <c r="H636" s="29"/>
      <c r="I636" s="49"/>
      <c r="L636" s="183" t="s">
        <v>81</v>
      </c>
      <c r="M636" s="186" t="s">
        <v>77</v>
      </c>
      <c r="N636" s="29" t="s">
        <v>2</v>
      </c>
      <c r="O636" s="30">
        <v>1</v>
      </c>
      <c r="P636" s="30">
        <v>37</v>
      </c>
      <c r="Q636" s="29" t="s">
        <v>66</v>
      </c>
      <c r="R636" s="29"/>
      <c r="S636" s="49"/>
    </row>
    <row r="637" spans="2:19" x14ac:dyDescent="0.25">
      <c r="B637" s="184"/>
      <c r="C637" s="187"/>
      <c r="D637" s="29" t="s">
        <v>3</v>
      </c>
      <c r="E637" s="30">
        <v>2</v>
      </c>
      <c r="F637" s="30">
        <v>38</v>
      </c>
      <c r="G637" s="29" t="s">
        <v>66</v>
      </c>
      <c r="H637" s="29"/>
      <c r="I637" s="49"/>
      <c r="L637" s="184"/>
      <c r="M637" s="187"/>
      <c r="N637" s="29" t="s">
        <v>3</v>
      </c>
      <c r="O637" s="30">
        <v>2</v>
      </c>
      <c r="P637" s="30">
        <v>38</v>
      </c>
      <c r="Q637" s="29" t="s">
        <v>66</v>
      </c>
      <c r="R637" s="29"/>
      <c r="S637" s="49"/>
    </row>
    <row r="638" spans="2:19" x14ac:dyDescent="0.25">
      <c r="B638" s="184"/>
      <c r="C638" s="187"/>
      <c r="D638" s="29" t="s">
        <v>80</v>
      </c>
      <c r="E638" s="30">
        <v>3</v>
      </c>
      <c r="F638" s="30">
        <v>39</v>
      </c>
      <c r="G638" s="29" t="s">
        <v>66</v>
      </c>
      <c r="H638" s="29"/>
      <c r="I638" s="49"/>
      <c r="L638" s="184"/>
      <c r="M638" s="187"/>
      <c r="N638" s="29" t="s">
        <v>80</v>
      </c>
      <c r="O638" s="30">
        <v>3</v>
      </c>
      <c r="P638" s="30">
        <v>39</v>
      </c>
      <c r="Q638" s="29" t="s">
        <v>66</v>
      </c>
      <c r="R638" s="29"/>
      <c r="S638" s="49"/>
    </row>
    <row r="639" spans="2:19" x14ac:dyDescent="0.25">
      <c r="B639" s="184"/>
      <c r="C639" s="187"/>
      <c r="D639" s="29" t="s">
        <v>81</v>
      </c>
      <c r="E639" s="30">
        <v>4</v>
      </c>
      <c r="F639" s="30">
        <v>40</v>
      </c>
      <c r="G639" s="29" t="s">
        <v>66</v>
      </c>
      <c r="H639" s="29"/>
      <c r="I639" s="49"/>
      <c r="L639" s="184"/>
      <c r="M639" s="187"/>
      <c r="N639" s="29" t="s">
        <v>81</v>
      </c>
      <c r="O639" s="30">
        <v>4</v>
      </c>
      <c r="P639" s="30">
        <v>40</v>
      </c>
      <c r="Q639" s="29" t="s">
        <v>66</v>
      </c>
      <c r="R639" s="29"/>
      <c r="S639" s="49"/>
    </row>
    <row r="640" spans="2:19" x14ac:dyDescent="0.25">
      <c r="B640" s="184"/>
      <c r="C640" s="187"/>
      <c r="D640" s="29" t="s">
        <v>82</v>
      </c>
      <c r="E640" s="30">
        <v>5</v>
      </c>
      <c r="F640" s="30">
        <v>41</v>
      </c>
      <c r="G640" s="29" t="s">
        <v>66</v>
      </c>
      <c r="H640" s="29"/>
      <c r="I640" s="49"/>
      <c r="L640" s="184"/>
      <c r="M640" s="187"/>
      <c r="N640" s="29" t="s">
        <v>82</v>
      </c>
      <c r="O640" s="30">
        <v>5</v>
      </c>
      <c r="P640" s="30">
        <v>41</v>
      </c>
      <c r="Q640" s="29" t="s">
        <v>66</v>
      </c>
      <c r="R640" s="29"/>
      <c r="S640" s="49"/>
    </row>
    <row r="641" spans="2:19" ht="15.75" thickBot="1" x14ac:dyDescent="0.3">
      <c r="B641" s="184"/>
      <c r="C641" s="188"/>
      <c r="D641" s="29" t="s">
        <v>83</v>
      </c>
      <c r="E641" s="30">
        <v>6</v>
      </c>
      <c r="F641" s="30">
        <v>42</v>
      </c>
      <c r="G641" s="29" t="s">
        <v>66</v>
      </c>
      <c r="H641" s="29"/>
      <c r="I641" s="49"/>
      <c r="L641" s="184"/>
      <c r="M641" s="188"/>
      <c r="N641" s="29" t="s">
        <v>83</v>
      </c>
      <c r="O641" s="30">
        <v>6</v>
      </c>
      <c r="P641" s="30">
        <v>42</v>
      </c>
      <c r="Q641" s="29" t="s">
        <v>66</v>
      </c>
      <c r="R641" s="29"/>
      <c r="S641" s="49"/>
    </row>
    <row r="642" spans="2:19" x14ac:dyDescent="0.25">
      <c r="B642" s="184"/>
      <c r="C642" s="186" t="s">
        <v>84</v>
      </c>
      <c r="D642" s="29" t="s">
        <v>2</v>
      </c>
      <c r="E642" s="30">
        <v>1</v>
      </c>
      <c r="F642" s="30">
        <v>43</v>
      </c>
      <c r="G642" s="29" t="s">
        <v>66</v>
      </c>
      <c r="H642" s="29"/>
      <c r="I642" s="49"/>
      <c r="L642" s="184"/>
      <c r="M642" s="186" t="s">
        <v>84</v>
      </c>
      <c r="N642" s="29" t="s">
        <v>2</v>
      </c>
      <c r="O642" s="30">
        <v>1</v>
      </c>
      <c r="P642" s="30">
        <v>43</v>
      </c>
      <c r="Q642" s="29" t="s">
        <v>66</v>
      </c>
      <c r="R642" s="29"/>
      <c r="S642" s="49"/>
    </row>
    <row r="643" spans="2:19" x14ac:dyDescent="0.25">
      <c r="B643" s="184"/>
      <c r="C643" s="187"/>
      <c r="D643" s="29" t="s">
        <v>3</v>
      </c>
      <c r="E643" s="30">
        <v>2</v>
      </c>
      <c r="F643" s="30">
        <v>44</v>
      </c>
      <c r="G643" s="29" t="s">
        <v>66</v>
      </c>
      <c r="H643" s="29"/>
      <c r="I643" s="49"/>
      <c r="L643" s="184"/>
      <c r="M643" s="187"/>
      <c r="N643" s="29" t="s">
        <v>3</v>
      </c>
      <c r="O643" s="30">
        <v>2</v>
      </c>
      <c r="P643" s="30">
        <v>44</v>
      </c>
      <c r="Q643" s="29" t="s">
        <v>66</v>
      </c>
      <c r="R643" s="29"/>
      <c r="S643" s="49"/>
    </row>
    <row r="644" spans="2:19" x14ac:dyDescent="0.25">
      <c r="B644" s="184"/>
      <c r="C644" s="187"/>
      <c r="D644" s="29" t="s">
        <v>80</v>
      </c>
      <c r="E644" s="30">
        <v>3</v>
      </c>
      <c r="F644" s="30">
        <v>45</v>
      </c>
      <c r="G644" s="29" t="s">
        <v>66</v>
      </c>
      <c r="H644" s="29"/>
      <c r="I644" s="49"/>
      <c r="L644" s="184"/>
      <c r="M644" s="187"/>
      <c r="N644" s="29" t="s">
        <v>80</v>
      </c>
      <c r="O644" s="30">
        <v>3</v>
      </c>
      <c r="P644" s="30">
        <v>45</v>
      </c>
      <c r="Q644" s="29" t="s">
        <v>66</v>
      </c>
      <c r="R644" s="29"/>
      <c r="S644" s="49"/>
    </row>
    <row r="645" spans="2:19" x14ac:dyDescent="0.25">
      <c r="B645" s="184"/>
      <c r="C645" s="187"/>
      <c r="D645" s="29" t="s">
        <v>81</v>
      </c>
      <c r="E645" s="30">
        <v>4</v>
      </c>
      <c r="F645" s="30">
        <v>46</v>
      </c>
      <c r="G645" s="29" t="s">
        <v>66</v>
      </c>
      <c r="H645" s="29"/>
      <c r="I645" s="49"/>
      <c r="L645" s="184"/>
      <c r="M645" s="187"/>
      <c r="N645" s="29" t="s">
        <v>81</v>
      </c>
      <c r="O645" s="30">
        <v>4</v>
      </c>
      <c r="P645" s="30">
        <v>46</v>
      </c>
      <c r="Q645" s="29" t="s">
        <v>66</v>
      </c>
      <c r="R645" s="29"/>
      <c r="S645" s="49"/>
    </row>
    <row r="646" spans="2:19" x14ac:dyDescent="0.25">
      <c r="B646" s="184"/>
      <c r="C646" s="187"/>
      <c r="D646" s="29" t="s">
        <v>82</v>
      </c>
      <c r="E646" s="30">
        <v>5</v>
      </c>
      <c r="F646" s="30">
        <v>47</v>
      </c>
      <c r="G646" s="29" t="s">
        <v>66</v>
      </c>
      <c r="H646" s="29"/>
      <c r="I646" s="49"/>
      <c r="L646" s="184"/>
      <c r="M646" s="187"/>
      <c r="N646" s="29" t="s">
        <v>82</v>
      </c>
      <c r="O646" s="30">
        <v>5</v>
      </c>
      <c r="P646" s="30">
        <v>47</v>
      </c>
      <c r="Q646" s="29" t="s">
        <v>66</v>
      </c>
      <c r="R646" s="29"/>
      <c r="S646" s="49"/>
    </row>
    <row r="647" spans="2:19" ht="15.75" thickBot="1" x14ac:dyDescent="0.3">
      <c r="B647" s="185"/>
      <c r="C647" s="188"/>
      <c r="D647" s="29" t="s">
        <v>83</v>
      </c>
      <c r="E647" s="30">
        <v>6</v>
      </c>
      <c r="F647" s="30">
        <v>48</v>
      </c>
      <c r="G647" s="29" t="s">
        <v>66</v>
      </c>
      <c r="H647" s="29"/>
      <c r="I647" s="49"/>
      <c r="L647" s="185"/>
      <c r="M647" s="188"/>
      <c r="N647" s="29" t="s">
        <v>83</v>
      </c>
      <c r="O647" s="30">
        <v>6</v>
      </c>
      <c r="P647" s="30">
        <v>48</v>
      </c>
      <c r="Q647" s="29" t="s">
        <v>66</v>
      </c>
      <c r="R647" s="29"/>
      <c r="S647" s="49"/>
    </row>
    <row r="649" spans="2:19" ht="15.75" thickBot="1" x14ac:dyDescent="0.3"/>
    <row r="650" spans="2:19" ht="15.75" thickBot="1" x14ac:dyDescent="0.3">
      <c r="B650" s="171" t="s">
        <v>408</v>
      </c>
      <c r="C650" s="172"/>
      <c r="D650" s="172"/>
      <c r="E650" s="172"/>
      <c r="F650" s="172"/>
      <c r="G650" s="172"/>
      <c r="H650" s="172"/>
      <c r="I650" s="173"/>
      <c r="L650" s="171" t="s">
        <v>409</v>
      </c>
      <c r="M650" s="172"/>
      <c r="N650" s="172"/>
      <c r="O650" s="172"/>
      <c r="P650" s="172"/>
      <c r="Q650" s="172"/>
      <c r="R650" s="172"/>
      <c r="S650" s="173"/>
    </row>
    <row r="652" spans="2:19" ht="26.25" thickBot="1" x14ac:dyDescent="0.3">
      <c r="B652" s="15" t="s">
        <v>70</v>
      </c>
      <c r="C652" s="16" t="s">
        <v>71</v>
      </c>
      <c r="D652" s="15" t="s">
        <v>72</v>
      </c>
      <c r="E652" s="17" t="s">
        <v>73</v>
      </c>
      <c r="F652" s="17" t="s">
        <v>74</v>
      </c>
      <c r="G652" s="15" t="s">
        <v>75</v>
      </c>
      <c r="H652" s="15" t="s">
        <v>55</v>
      </c>
      <c r="I652" s="15" t="s">
        <v>76</v>
      </c>
      <c r="L652" s="15" t="s">
        <v>70</v>
      </c>
      <c r="M652" s="16" t="s">
        <v>71</v>
      </c>
      <c r="N652" s="15" t="s">
        <v>72</v>
      </c>
      <c r="O652" s="17" t="s">
        <v>73</v>
      </c>
      <c r="P652" s="17" t="s">
        <v>74</v>
      </c>
      <c r="Q652" s="15" t="s">
        <v>75</v>
      </c>
      <c r="R652" s="15" t="s">
        <v>55</v>
      </c>
      <c r="S652" s="15" t="s">
        <v>76</v>
      </c>
    </row>
    <row r="653" spans="2:19" ht="15" customHeight="1" x14ac:dyDescent="0.25">
      <c r="B653" s="174" t="s">
        <v>2</v>
      </c>
      <c r="C653" s="168" t="s">
        <v>77</v>
      </c>
      <c r="D653" s="18" t="s">
        <v>2</v>
      </c>
      <c r="E653" s="19">
        <v>1</v>
      </c>
      <c r="F653" s="19">
        <v>1</v>
      </c>
      <c r="G653" s="18" t="s">
        <v>66</v>
      </c>
      <c r="H653" s="32"/>
      <c r="I653" s="50"/>
      <c r="L653" s="174" t="s">
        <v>2</v>
      </c>
      <c r="M653" s="168" t="s">
        <v>77</v>
      </c>
      <c r="N653" s="18" t="s">
        <v>2</v>
      </c>
      <c r="O653" s="19">
        <v>1</v>
      </c>
      <c r="P653" s="19">
        <v>1</v>
      </c>
      <c r="Q653" s="18" t="s">
        <v>66</v>
      </c>
      <c r="R653" s="32"/>
      <c r="S653" s="50"/>
    </row>
    <row r="654" spans="2:19" x14ac:dyDescent="0.25">
      <c r="B654" s="175"/>
      <c r="C654" s="169"/>
      <c r="D654" s="18" t="s">
        <v>3</v>
      </c>
      <c r="E654" s="19">
        <v>2</v>
      </c>
      <c r="F654" s="19">
        <v>2</v>
      </c>
      <c r="G654" s="18" t="s">
        <v>66</v>
      </c>
      <c r="H654" s="32"/>
      <c r="I654" s="50"/>
      <c r="L654" s="175"/>
      <c r="M654" s="169"/>
      <c r="N654" s="18" t="s">
        <v>3</v>
      </c>
      <c r="O654" s="19">
        <v>2</v>
      </c>
      <c r="P654" s="19">
        <v>2</v>
      </c>
      <c r="Q654" s="18" t="s">
        <v>66</v>
      </c>
      <c r="R654" s="32"/>
      <c r="S654" s="50"/>
    </row>
    <row r="655" spans="2:19" x14ac:dyDescent="0.25">
      <c r="B655" s="175"/>
      <c r="C655" s="169"/>
      <c r="D655" s="18" t="s">
        <v>80</v>
      </c>
      <c r="E655" s="20">
        <v>3</v>
      </c>
      <c r="F655" s="20">
        <v>3</v>
      </c>
      <c r="G655" s="18" t="s">
        <v>66</v>
      </c>
      <c r="H655" s="32"/>
      <c r="I655" s="50"/>
      <c r="L655" s="175"/>
      <c r="M655" s="169"/>
      <c r="N655" s="18" t="s">
        <v>80</v>
      </c>
      <c r="O655" s="20">
        <v>3</v>
      </c>
      <c r="P655" s="20">
        <v>3</v>
      </c>
      <c r="Q655" s="18" t="s">
        <v>66</v>
      </c>
      <c r="R655" s="32"/>
      <c r="S655" s="50"/>
    </row>
    <row r="656" spans="2:19" x14ac:dyDescent="0.25">
      <c r="B656" s="175"/>
      <c r="C656" s="169"/>
      <c r="D656" s="18" t="s">
        <v>81</v>
      </c>
      <c r="E656" s="20">
        <v>4</v>
      </c>
      <c r="F656" s="20">
        <v>4</v>
      </c>
      <c r="G656" s="18" t="s">
        <v>66</v>
      </c>
      <c r="H656" s="32"/>
      <c r="I656" s="50"/>
      <c r="L656" s="175"/>
      <c r="M656" s="169"/>
      <c r="N656" s="18" t="s">
        <v>81</v>
      </c>
      <c r="O656" s="20">
        <v>4</v>
      </c>
      <c r="P656" s="20">
        <v>4</v>
      </c>
      <c r="Q656" s="18" t="s">
        <v>66</v>
      </c>
      <c r="R656" s="32"/>
      <c r="S656" s="50"/>
    </row>
    <row r="657" spans="2:19" x14ac:dyDescent="0.25">
      <c r="B657" s="175"/>
      <c r="C657" s="169"/>
      <c r="D657" s="18" t="s">
        <v>82</v>
      </c>
      <c r="E657" s="20">
        <v>5</v>
      </c>
      <c r="F657" s="20">
        <v>5</v>
      </c>
      <c r="G657" s="18" t="s">
        <v>66</v>
      </c>
      <c r="H657" s="32"/>
      <c r="I657" s="50"/>
      <c r="L657" s="175"/>
      <c r="M657" s="169"/>
      <c r="N657" s="18" t="s">
        <v>82</v>
      </c>
      <c r="O657" s="20">
        <v>5</v>
      </c>
      <c r="P657" s="20">
        <v>5</v>
      </c>
      <c r="Q657" s="18" t="s">
        <v>66</v>
      </c>
      <c r="R657" s="32"/>
      <c r="S657" s="50"/>
    </row>
    <row r="658" spans="2:19" ht="15.75" thickBot="1" x14ac:dyDescent="0.3">
      <c r="B658" s="175"/>
      <c r="C658" s="170"/>
      <c r="D658" s="18" t="s">
        <v>83</v>
      </c>
      <c r="E658" s="20">
        <v>6</v>
      </c>
      <c r="F658" s="20">
        <v>6</v>
      </c>
      <c r="G658" s="18" t="s">
        <v>66</v>
      </c>
      <c r="H658" s="32"/>
      <c r="I658" s="50"/>
      <c r="L658" s="175"/>
      <c r="M658" s="170"/>
      <c r="N658" s="18" t="s">
        <v>83</v>
      </c>
      <c r="O658" s="20">
        <v>6</v>
      </c>
      <c r="P658" s="20">
        <v>6</v>
      </c>
      <c r="Q658" s="18" t="s">
        <v>66</v>
      </c>
      <c r="R658" s="32"/>
      <c r="S658" s="50"/>
    </row>
    <row r="659" spans="2:19" x14ac:dyDescent="0.25">
      <c r="B659" s="175"/>
      <c r="C659" s="168" t="s">
        <v>84</v>
      </c>
      <c r="D659" s="18" t="s">
        <v>2</v>
      </c>
      <c r="E659" s="19">
        <v>1</v>
      </c>
      <c r="F659" s="19">
        <v>7</v>
      </c>
      <c r="G659" s="18" t="s">
        <v>66</v>
      </c>
      <c r="H659" s="32"/>
      <c r="I659" s="50"/>
      <c r="L659" s="175"/>
      <c r="M659" s="168" t="s">
        <v>84</v>
      </c>
      <c r="N659" s="18" t="s">
        <v>2</v>
      </c>
      <c r="O659" s="19">
        <v>1</v>
      </c>
      <c r="P659" s="19">
        <v>7</v>
      </c>
      <c r="Q659" s="18" t="s">
        <v>66</v>
      </c>
      <c r="R659" s="32"/>
      <c r="S659" s="50"/>
    </row>
    <row r="660" spans="2:19" x14ac:dyDescent="0.25">
      <c r="B660" s="175"/>
      <c r="C660" s="169"/>
      <c r="D660" s="18" t="s">
        <v>3</v>
      </c>
      <c r="E660" s="19">
        <v>2</v>
      </c>
      <c r="F660" s="19">
        <v>8</v>
      </c>
      <c r="G660" s="18" t="s">
        <v>66</v>
      </c>
      <c r="H660" s="32"/>
      <c r="I660" s="50"/>
      <c r="L660" s="175"/>
      <c r="M660" s="169"/>
      <c r="N660" s="18" t="s">
        <v>3</v>
      </c>
      <c r="O660" s="19">
        <v>2</v>
      </c>
      <c r="P660" s="19">
        <v>8</v>
      </c>
      <c r="Q660" s="18" t="s">
        <v>66</v>
      </c>
      <c r="R660" s="32"/>
      <c r="S660" s="50"/>
    </row>
    <row r="661" spans="2:19" x14ac:dyDescent="0.25">
      <c r="B661" s="175"/>
      <c r="C661" s="169"/>
      <c r="D661" s="18" t="s">
        <v>80</v>
      </c>
      <c r="E661" s="20">
        <v>3</v>
      </c>
      <c r="F661" s="20">
        <v>9</v>
      </c>
      <c r="G661" s="18" t="s">
        <v>66</v>
      </c>
      <c r="H661" s="32"/>
      <c r="I661" s="50"/>
      <c r="L661" s="175"/>
      <c r="M661" s="169"/>
      <c r="N661" s="18" t="s">
        <v>80</v>
      </c>
      <c r="O661" s="20">
        <v>3</v>
      </c>
      <c r="P661" s="20">
        <v>9</v>
      </c>
      <c r="Q661" s="18" t="s">
        <v>66</v>
      </c>
      <c r="R661" s="32"/>
      <c r="S661" s="50"/>
    </row>
    <row r="662" spans="2:19" x14ac:dyDescent="0.25">
      <c r="B662" s="175"/>
      <c r="C662" s="169"/>
      <c r="D662" s="18" t="s">
        <v>81</v>
      </c>
      <c r="E662" s="20">
        <v>4</v>
      </c>
      <c r="F662" s="20">
        <v>10</v>
      </c>
      <c r="G662" s="18" t="s">
        <v>66</v>
      </c>
      <c r="H662" s="32"/>
      <c r="I662" s="50"/>
      <c r="L662" s="175"/>
      <c r="M662" s="169"/>
      <c r="N662" s="18" t="s">
        <v>81</v>
      </c>
      <c r="O662" s="20">
        <v>4</v>
      </c>
      <c r="P662" s="20">
        <v>10</v>
      </c>
      <c r="Q662" s="18" t="s">
        <v>66</v>
      </c>
      <c r="R662" s="32"/>
      <c r="S662" s="50"/>
    </row>
    <row r="663" spans="2:19" x14ac:dyDescent="0.25">
      <c r="B663" s="175"/>
      <c r="C663" s="169"/>
      <c r="D663" s="18" t="s">
        <v>82</v>
      </c>
      <c r="E663" s="20">
        <v>5</v>
      </c>
      <c r="F663" s="20">
        <v>11</v>
      </c>
      <c r="G663" s="18" t="s">
        <v>66</v>
      </c>
      <c r="H663" s="32"/>
      <c r="I663" s="50"/>
      <c r="L663" s="175"/>
      <c r="M663" s="169"/>
      <c r="N663" s="18" t="s">
        <v>82</v>
      </c>
      <c r="O663" s="20">
        <v>5</v>
      </c>
      <c r="P663" s="20">
        <v>11</v>
      </c>
      <c r="Q663" s="18" t="s">
        <v>66</v>
      </c>
      <c r="R663" s="32"/>
      <c r="S663" s="50"/>
    </row>
    <row r="664" spans="2:19" ht="15.75" thickBot="1" x14ac:dyDescent="0.3">
      <c r="B664" s="176"/>
      <c r="C664" s="170"/>
      <c r="D664" s="18" t="s">
        <v>83</v>
      </c>
      <c r="E664" s="20">
        <v>6</v>
      </c>
      <c r="F664" s="20">
        <v>12</v>
      </c>
      <c r="G664" s="18" t="s">
        <v>66</v>
      </c>
      <c r="H664" s="32"/>
      <c r="I664" s="50"/>
      <c r="L664" s="176"/>
      <c r="M664" s="170"/>
      <c r="N664" s="18" t="s">
        <v>83</v>
      </c>
      <c r="O664" s="20">
        <v>6</v>
      </c>
      <c r="P664" s="20">
        <v>12</v>
      </c>
      <c r="Q664" s="18" t="s">
        <v>66</v>
      </c>
      <c r="R664" s="32"/>
      <c r="S664" s="50"/>
    </row>
    <row r="665" spans="2:19" x14ac:dyDescent="0.25">
      <c r="B665" s="180" t="s">
        <v>3</v>
      </c>
      <c r="C665" s="177" t="s">
        <v>77</v>
      </c>
      <c r="D665" s="21" t="s">
        <v>2</v>
      </c>
      <c r="E665" s="22">
        <v>1</v>
      </c>
      <c r="F665" s="22">
        <v>13</v>
      </c>
      <c r="G665" s="21" t="s">
        <v>78</v>
      </c>
      <c r="H665" s="159" t="s">
        <v>385</v>
      </c>
      <c r="I665" s="162" t="s">
        <v>223</v>
      </c>
      <c r="L665" s="180" t="s">
        <v>3</v>
      </c>
      <c r="M665" s="177" t="s">
        <v>77</v>
      </c>
      <c r="N665" s="21" t="s">
        <v>2</v>
      </c>
      <c r="O665" s="22">
        <v>1</v>
      </c>
      <c r="P665" s="22">
        <v>13</v>
      </c>
      <c r="Q665" s="21" t="s">
        <v>78</v>
      </c>
      <c r="R665" s="159" t="s">
        <v>385</v>
      </c>
      <c r="S665" s="162" t="s">
        <v>225</v>
      </c>
    </row>
    <row r="666" spans="2:19" x14ac:dyDescent="0.25">
      <c r="B666" s="181"/>
      <c r="C666" s="178"/>
      <c r="D666" s="23" t="s">
        <v>3</v>
      </c>
      <c r="E666" s="24">
        <v>2</v>
      </c>
      <c r="F666" s="24">
        <v>14</v>
      </c>
      <c r="G666" s="23" t="s">
        <v>78</v>
      </c>
      <c r="H666" s="160"/>
      <c r="I666" s="163"/>
      <c r="L666" s="181"/>
      <c r="M666" s="178"/>
      <c r="N666" s="23" t="s">
        <v>3</v>
      </c>
      <c r="O666" s="24">
        <v>2</v>
      </c>
      <c r="P666" s="24">
        <v>14</v>
      </c>
      <c r="Q666" s="23" t="s">
        <v>78</v>
      </c>
      <c r="R666" s="160"/>
      <c r="S666" s="163"/>
    </row>
    <row r="667" spans="2:19" x14ac:dyDescent="0.25">
      <c r="B667" s="181"/>
      <c r="C667" s="178"/>
      <c r="D667" s="23" t="s">
        <v>80</v>
      </c>
      <c r="E667" s="24">
        <v>3</v>
      </c>
      <c r="F667" s="24">
        <v>15</v>
      </c>
      <c r="G667" s="23" t="s">
        <v>66</v>
      </c>
      <c r="H667" s="160"/>
      <c r="I667" s="163"/>
      <c r="L667" s="181"/>
      <c r="M667" s="178"/>
      <c r="N667" s="23" t="s">
        <v>80</v>
      </c>
      <c r="O667" s="24">
        <v>3</v>
      </c>
      <c r="P667" s="24">
        <v>15</v>
      </c>
      <c r="Q667" s="23" t="s">
        <v>66</v>
      </c>
      <c r="R667" s="160"/>
      <c r="S667" s="163"/>
    </row>
    <row r="668" spans="2:19" x14ac:dyDescent="0.25">
      <c r="B668" s="181"/>
      <c r="C668" s="178"/>
      <c r="D668" s="23" t="s">
        <v>81</v>
      </c>
      <c r="E668" s="24">
        <v>4</v>
      </c>
      <c r="F668" s="24">
        <v>16</v>
      </c>
      <c r="G668" s="23" t="s">
        <v>66</v>
      </c>
      <c r="H668" s="160"/>
      <c r="I668" s="163"/>
      <c r="L668" s="181"/>
      <c r="M668" s="178"/>
      <c r="N668" s="23" t="s">
        <v>81</v>
      </c>
      <c r="O668" s="24">
        <v>4</v>
      </c>
      <c r="P668" s="24">
        <v>16</v>
      </c>
      <c r="Q668" s="23" t="s">
        <v>66</v>
      </c>
      <c r="R668" s="160"/>
      <c r="S668" s="163"/>
    </row>
    <row r="669" spans="2:19" x14ac:dyDescent="0.25">
      <c r="B669" s="181"/>
      <c r="C669" s="178"/>
      <c r="D669" s="23" t="s">
        <v>82</v>
      </c>
      <c r="E669" s="24">
        <v>5</v>
      </c>
      <c r="F669" s="24">
        <v>17</v>
      </c>
      <c r="G669" s="23" t="s">
        <v>66</v>
      </c>
      <c r="H669" s="160"/>
      <c r="I669" s="163"/>
      <c r="L669" s="181"/>
      <c r="M669" s="178"/>
      <c r="N669" s="23" t="s">
        <v>82</v>
      </c>
      <c r="O669" s="24">
        <v>5</v>
      </c>
      <c r="P669" s="24">
        <v>17</v>
      </c>
      <c r="Q669" s="23" t="s">
        <v>66</v>
      </c>
      <c r="R669" s="160"/>
      <c r="S669" s="163"/>
    </row>
    <row r="670" spans="2:19" ht="15.75" thickBot="1" x14ac:dyDescent="0.3">
      <c r="B670" s="181"/>
      <c r="C670" s="179"/>
      <c r="D670" s="23" t="s">
        <v>83</v>
      </c>
      <c r="E670" s="24">
        <v>6</v>
      </c>
      <c r="F670" s="24">
        <v>18</v>
      </c>
      <c r="G670" s="23" t="s">
        <v>66</v>
      </c>
      <c r="H670" s="161"/>
      <c r="I670" s="164"/>
      <c r="L670" s="181"/>
      <c r="M670" s="179"/>
      <c r="N670" s="23" t="s">
        <v>83</v>
      </c>
      <c r="O670" s="24">
        <v>6</v>
      </c>
      <c r="P670" s="24">
        <v>18</v>
      </c>
      <c r="Q670" s="23" t="s">
        <v>66</v>
      </c>
      <c r="R670" s="161"/>
      <c r="S670" s="164"/>
    </row>
    <row r="671" spans="2:19" x14ac:dyDescent="0.25">
      <c r="B671" s="181"/>
      <c r="C671" s="177" t="s">
        <v>84</v>
      </c>
      <c r="D671" s="23" t="s">
        <v>2</v>
      </c>
      <c r="E671" s="24">
        <v>1</v>
      </c>
      <c r="F671" s="24">
        <v>19</v>
      </c>
      <c r="G671" s="23" t="s">
        <v>66</v>
      </c>
      <c r="H671" s="23"/>
      <c r="I671" s="47"/>
      <c r="L671" s="181"/>
      <c r="M671" s="177" t="s">
        <v>84</v>
      </c>
      <c r="N671" s="23" t="s">
        <v>2</v>
      </c>
      <c r="O671" s="24">
        <v>1</v>
      </c>
      <c r="P671" s="24">
        <v>19</v>
      </c>
      <c r="Q671" s="23" t="s">
        <v>66</v>
      </c>
      <c r="R671" s="23"/>
      <c r="S671" s="47"/>
    </row>
    <row r="672" spans="2:19" x14ac:dyDescent="0.25">
      <c r="B672" s="181"/>
      <c r="C672" s="178"/>
      <c r="D672" s="23" t="s">
        <v>3</v>
      </c>
      <c r="E672" s="24">
        <v>2</v>
      </c>
      <c r="F672" s="24">
        <v>20</v>
      </c>
      <c r="G672" s="23" t="s">
        <v>66</v>
      </c>
      <c r="H672" s="23"/>
      <c r="I672" s="47"/>
      <c r="L672" s="181"/>
      <c r="M672" s="178"/>
      <c r="N672" s="23" t="s">
        <v>3</v>
      </c>
      <c r="O672" s="24">
        <v>2</v>
      </c>
      <c r="P672" s="24">
        <v>20</v>
      </c>
      <c r="Q672" s="23" t="s">
        <v>66</v>
      </c>
      <c r="R672" s="23"/>
      <c r="S672" s="47"/>
    </row>
    <row r="673" spans="2:19" x14ac:dyDescent="0.25">
      <c r="B673" s="181"/>
      <c r="C673" s="178"/>
      <c r="D673" s="23" t="s">
        <v>80</v>
      </c>
      <c r="E673" s="26">
        <v>3</v>
      </c>
      <c r="F673" s="24">
        <v>21</v>
      </c>
      <c r="G673" s="23" t="s">
        <v>66</v>
      </c>
      <c r="H673" s="23"/>
      <c r="I673" s="47"/>
      <c r="L673" s="181"/>
      <c r="M673" s="178"/>
      <c r="N673" s="23" t="s">
        <v>80</v>
      </c>
      <c r="O673" s="26">
        <v>3</v>
      </c>
      <c r="P673" s="24">
        <v>21</v>
      </c>
      <c r="Q673" s="23" t="s">
        <v>66</v>
      </c>
      <c r="R673" s="23"/>
      <c r="S673" s="47"/>
    </row>
    <row r="674" spans="2:19" x14ac:dyDescent="0.25">
      <c r="B674" s="181"/>
      <c r="C674" s="178"/>
      <c r="D674" s="23" t="s">
        <v>81</v>
      </c>
      <c r="E674" s="24">
        <v>4</v>
      </c>
      <c r="F674" s="24">
        <v>22</v>
      </c>
      <c r="G674" s="23" t="s">
        <v>66</v>
      </c>
      <c r="H674" s="23"/>
      <c r="I674" s="47"/>
      <c r="L674" s="181"/>
      <c r="M674" s="178"/>
      <c r="N674" s="23" t="s">
        <v>81</v>
      </c>
      <c r="O674" s="24">
        <v>4</v>
      </c>
      <c r="P674" s="24">
        <v>22</v>
      </c>
      <c r="Q674" s="23" t="s">
        <v>66</v>
      </c>
      <c r="R674" s="23"/>
      <c r="S674" s="47"/>
    </row>
    <row r="675" spans="2:19" x14ac:dyDescent="0.25">
      <c r="B675" s="181"/>
      <c r="C675" s="178"/>
      <c r="D675" s="23" t="s">
        <v>82</v>
      </c>
      <c r="E675" s="24">
        <v>5</v>
      </c>
      <c r="F675" s="24">
        <v>23</v>
      </c>
      <c r="G675" s="23" t="s">
        <v>66</v>
      </c>
      <c r="H675" s="23"/>
      <c r="I675" s="47"/>
      <c r="L675" s="181"/>
      <c r="M675" s="178"/>
      <c r="N675" s="23" t="s">
        <v>82</v>
      </c>
      <c r="O675" s="24">
        <v>5</v>
      </c>
      <c r="P675" s="24">
        <v>23</v>
      </c>
      <c r="Q675" s="23" t="s">
        <v>66</v>
      </c>
      <c r="R675" s="23"/>
      <c r="S675" s="47"/>
    </row>
    <row r="676" spans="2:19" ht="15.75" thickBot="1" x14ac:dyDescent="0.3">
      <c r="B676" s="182"/>
      <c r="C676" s="179"/>
      <c r="D676" s="23" t="s">
        <v>83</v>
      </c>
      <c r="E676" s="24">
        <v>6</v>
      </c>
      <c r="F676" s="24">
        <v>24</v>
      </c>
      <c r="G676" s="23" t="s">
        <v>66</v>
      </c>
      <c r="H676" s="23"/>
      <c r="I676" s="47"/>
      <c r="L676" s="182"/>
      <c r="M676" s="179"/>
      <c r="N676" s="23" t="s">
        <v>83</v>
      </c>
      <c r="O676" s="24">
        <v>6</v>
      </c>
      <c r="P676" s="24">
        <v>24</v>
      </c>
      <c r="Q676" s="23" t="s">
        <v>66</v>
      </c>
      <c r="R676" s="23"/>
      <c r="S676" s="47"/>
    </row>
    <row r="677" spans="2:19" x14ac:dyDescent="0.25">
      <c r="B677" s="189" t="s">
        <v>80</v>
      </c>
      <c r="C677" s="192" t="s">
        <v>77</v>
      </c>
      <c r="D677" s="27" t="s">
        <v>2</v>
      </c>
      <c r="E677" s="28">
        <v>1</v>
      </c>
      <c r="F677" s="28">
        <v>25</v>
      </c>
      <c r="G677" s="27" t="s">
        <v>66</v>
      </c>
      <c r="H677" s="27"/>
      <c r="I677" s="48"/>
      <c r="L677" s="189" t="s">
        <v>80</v>
      </c>
      <c r="M677" s="192" t="s">
        <v>77</v>
      </c>
      <c r="N677" s="27" t="s">
        <v>2</v>
      </c>
      <c r="O677" s="28">
        <v>1</v>
      </c>
      <c r="P677" s="28">
        <v>25</v>
      </c>
      <c r="Q677" s="27" t="s">
        <v>66</v>
      </c>
      <c r="R677" s="27"/>
      <c r="S677" s="48"/>
    </row>
    <row r="678" spans="2:19" x14ac:dyDescent="0.25">
      <c r="B678" s="190"/>
      <c r="C678" s="193"/>
      <c r="D678" s="27" t="s">
        <v>3</v>
      </c>
      <c r="E678" s="28">
        <v>2</v>
      </c>
      <c r="F678" s="28">
        <v>26</v>
      </c>
      <c r="G678" s="27" t="s">
        <v>66</v>
      </c>
      <c r="H678" s="27"/>
      <c r="I678" s="48"/>
      <c r="L678" s="190"/>
      <c r="M678" s="193"/>
      <c r="N678" s="27" t="s">
        <v>3</v>
      </c>
      <c r="O678" s="28">
        <v>2</v>
      </c>
      <c r="P678" s="28">
        <v>26</v>
      </c>
      <c r="Q678" s="27" t="s">
        <v>66</v>
      </c>
      <c r="R678" s="27"/>
      <c r="S678" s="48"/>
    </row>
    <row r="679" spans="2:19" x14ac:dyDescent="0.25">
      <c r="B679" s="190"/>
      <c r="C679" s="193"/>
      <c r="D679" s="27" t="s">
        <v>80</v>
      </c>
      <c r="E679" s="28">
        <v>3</v>
      </c>
      <c r="F679" s="28">
        <v>27</v>
      </c>
      <c r="G679" s="27" t="s">
        <v>66</v>
      </c>
      <c r="H679" s="27"/>
      <c r="I679" s="48"/>
      <c r="L679" s="190"/>
      <c r="M679" s="193"/>
      <c r="N679" s="27" t="s">
        <v>80</v>
      </c>
      <c r="O679" s="28">
        <v>3</v>
      </c>
      <c r="P679" s="28">
        <v>27</v>
      </c>
      <c r="Q679" s="27" t="s">
        <v>66</v>
      </c>
      <c r="R679" s="27"/>
      <c r="S679" s="48"/>
    </row>
    <row r="680" spans="2:19" x14ac:dyDescent="0.25">
      <c r="B680" s="190"/>
      <c r="C680" s="193"/>
      <c r="D680" s="27" t="s">
        <v>81</v>
      </c>
      <c r="E680" s="28">
        <v>4</v>
      </c>
      <c r="F680" s="28">
        <v>28</v>
      </c>
      <c r="G680" s="27" t="s">
        <v>66</v>
      </c>
      <c r="H680" s="27"/>
      <c r="I680" s="48"/>
      <c r="L680" s="190"/>
      <c r="M680" s="193"/>
      <c r="N680" s="27" t="s">
        <v>81</v>
      </c>
      <c r="O680" s="28">
        <v>4</v>
      </c>
      <c r="P680" s="28">
        <v>28</v>
      </c>
      <c r="Q680" s="27" t="s">
        <v>66</v>
      </c>
      <c r="R680" s="27"/>
      <c r="S680" s="48"/>
    </row>
    <row r="681" spans="2:19" x14ac:dyDescent="0.25">
      <c r="B681" s="190"/>
      <c r="C681" s="193"/>
      <c r="D681" s="27" t="s">
        <v>82</v>
      </c>
      <c r="E681" s="28">
        <v>5</v>
      </c>
      <c r="F681" s="28">
        <v>29</v>
      </c>
      <c r="G681" s="27" t="s">
        <v>66</v>
      </c>
      <c r="H681" s="27"/>
      <c r="I681" s="48"/>
      <c r="L681" s="190"/>
      <c r="M681" s="193"/>
      <c r="N681" s="27" t="s">
        <v>82</v>
      </c>
      <c r="O681" s="28">
        <v>5</v>
      </c>
      <c r="P681" s="28">
        <v>29</v>
      </c>
      <c r="Q681" s="27" t="s">
        <v>66</v>
      </c>
      <c r="R681" s="27"/>
      <c r="S681" s="48"/>
    </row>
    <row r="682" spans="2:19" ht="15.75" thickBot="1" x14ac:dyDescent="0.3">
      <c r="B682" s="190"/>
      <c r="C682" s="194"/>
      <c r="D682" s="27" t="s">
        <v>83</v>
      </c>
      <c r="E682" s="28">
        <v>6</v>
      </c>
      <c r="F682" s="28">
        <v>30</v>
      </c>
      <c r="G682" s="27" t="s">
        <v>66</v>
      </c>
      <c r="H682" s="27"/>
      <c r="I682" s="48"/>
      <c r="L682" s="190"/>
      <c r="M682" s="194"/>
      <c r="N682" s="27" t="s">
        <v>83</v>
      </c>
      <c r="O682" s="28">
        <v>6</v>
      </c>
      <c r="P682" s="28">
        <v>30</v>
      </c>
      <c r="Q682" s="27" t="s">
        <v>66</v>
      </c>
      <c r="R682" s="27"/>
      <c r="S682" s="48"/>
    </row>
    <row r="683" spans="2:19" x14ac:dyDescent="0.25">
      <c r="B683" s="190"/>
      <c r="C683" s="192" t="s">
        <v>84</v>
      </c>
      <c r="D683" s="27" t="s">
        <v>2</v>
      </c>
      <c r="E683" s="28">
        <v>1</v>
      </c>
      <c r="F683" s="28">
        <v>31</v>
      </c>
      <c r="G683" s="27" t="s">
        <v>66</v>
      </c>
      <c r="H683" s="27"/>
      <c r="I683" s="48"/>
      <c r="L683" s="190"/>
      <c r="M683" s="192" t="s">
        <v>84</v>
      </c>
      <c r="N683" s="27" t="s">
        <v>2</v>
      </c>
      <c r="O683" s="28">
        <v>1</v>
      </c>
      <c r="P683" s="28">
        <v>31</v>
      </c>
      <c r="Q683" s="27" t="s">
        <v>66</v>
      </c>
      <c r="R683" s="27"/>
      <c r="S683" s="48"/>
    </row>
    <row r="684" spans="2:19" x14ac:dyDescent="0.25">
      <c r="B684" s="190"/>
      <c r="C684" s="193"/>
      <c r="D684" s="27" t="s">
        <v>3</v>
      </c>
      <c r="E684" s="28">
        <v>2</v>
      </c>
      <c r="F684" s="28">
        <v>32</v>
      </c>
      <c r="G684" s="27" t="s">
        <v>66</v>
      </c>
      <c r="H684" s="27"/>
      <c r="I684" s="48"/>
      <c r="L684" s="190"/>
      <c r="M684" s="193"/>
      <c r="N684" s="27" t="s">
        <v>3</v>
      </c>
      <c r="O684" s="28">
        <v>2</v>
      </c>
      <c r="P684" s="28">
        <v>32</v>
      </c>
      <c r="Q684" s="27" t="s">
        <v>66</v>
      </c>
      <c r="R684" s="27"/>
      <c r="S684" s="48"/>
    </row>
    <row r="685" spans="2:19" x14ac:dyDescent="0.25">
      <c r="B685" s="190"/>
      <c r="C685" s="193"/>
      <c r="D685" s="27" t="s">
        <v>80</v>
      </c>
      <c r="E685" s="28">
        <v>3</v>
      </c>
      <c r="F685" s="28">
        <v>33</v>
      </c>
      <c r="G685" s="27" t="s">
        <v>66</v>
      </c>
      <c r="H685" s="27"/>
      <c r="I685" s="48"/>
      <c r="L685" s="190"/>
      <c r="M685" s="193"/>
      <c r="N685" s="27" t="s">
        <v>80</v>
      </c>
      <c r="O685" s="28">
        <v>3</v>
      </c>
      <c r="P685" s="28">
        <v>33</v>
      </c>
      <c r="Q685" s="27" t="s">
        <v>66</v>
      </c>
      <c r="R685" s="27"/>
      <c r="S685" s="48"/>
    </row>
    <row r="686" spans="2:19" x14ac:dyDescent="0.25">
      <c r="B686" s="190"/>
      <c r="C686" s="193"/>
      <c r="D686" s="27" t="s">
        <v>81</v>
      </c>
      <c r="E686" s="28">
        <v>4</v>
      </c>
      <c r="F686" s="28">
        <v>34</v>
      </c>
      <c r="G686" s="27" t="s">
        <v>66</v>
      </c>
      <c r="H686" s="27"/>
      <c r="I686" s="48"/>
      <c r="L686" s="190"/>
      <c r="M686" s="193"/>
      <c r="N686" s="27" t="s">
        <v>81</v>
      </c>
      <c r="O686" s="28">
        <v>4</v>
      </c>
      <c r="P686" s="28">
        <v>34</v>
      </c>
      <c r="Q686" s="27" t="s">
        <v>66</v>
      </c>
      <c r="R686" s="27"/>
      <c r="S686" s="48"/>
    </row>
    <row r="687" spans="2:19" x14ac:dyDescent="0.25">
      <c r="B687" s="190"/>
      <c r="C687" s="193"/>
      <c r="D687" s="27" t="s">
        <v>82</v>
      </c>
      <c r="E687" s="28">
        <v>5</v>
      </c>
      <c r="F687" s="28">
        <v>35</v>
      </c>
      <c r="G687" s="27" t="s">
        <v>66</v>
      </c>
      <c r="H687" s="27"/>
      <c r="I687" s="48"/>
      <c r="L687" s="190"/>
      <c r="M687" s="193"/>
      <c r="N687" s="27" t="s">
        <v>82</v>
      </c>
      <c r="O687" s="28">
        <v>5</v>
      </c>
      <c r="P687" s="28">
        <v>35</v>
      </c>
      <c r="Q687" s="27" t="s">
        <v>66</v>
      </c>
      <c r="R687" s="27"/>
      <c r="S687" s="48"/>
    </row>
    <row r="688" spans="2:19" ht="15.75" thickBot="1" x14ac:dyDescent="0.3">
      <c r="B688" s="191"/>
      <c r="C688" s="194"/>
      <c r="D688" s="27" t="s">
        <v>83</v>
      </c>
      <c r="E688" s="28">
        <v>6</v>
      </c>
      <c r="F688" s="28">
        <v>36</v>
      </c>
      <c r="G688" s="27" t="s">
        <v>66</v>
      </c>
      <c r="H688" s="27"/>
      <c r="I688" s="48"/>
      <c r="L688" s="191"/>
      <c r="M688" s="194"/>
      <c r="N688" s="27" t="s">
        <v>83</v>
      </c>
      <c r="O688" s="28">
        <v>6</v>
      </c>
      <c r="P688" s="28">
        <v>36</v>
      </c>
      <c r="Q688" s="27" t="s">
        <v>66</v>
      </c>
      <c r="R688" s="27"/>
      <c r="S688" s="48"/>
    </row>
    <row r="689" spans="2:19" x14ac:dyDescent="0.25">
      <c r="B689" s="183" t="s">
        <v>81</v>
      </c>
      <c r="C689" s="186" t="s">
        <v>77</v>
      </c>
      <c r="D689" s="29" t="s">
        <v>2</v>
      </c>
      <c r="E689" s="30">
        <v>1</v>
      </c>
      <c r="F689" s="30">
        <v>37</v>
      </c>
      <c r="G689" s="29" t="s">
        <v>66</v>
      </c>
      <c r="H689" s="29"/>
      <c r="I689" s="49"/>
      <c r="L689" s="183" t="s">
        <v>81</v>
      </c>
      <c r="M689" s="186" t="s">
        <v>77</v>
      </c>
      <c r="N689" s="29" t="s">
        <v>2</v>
      </c>
      <c r="O689" s="30">
        <v>1</v>
      </c>
      <c r="P689" s="30">
        <v>37</v>
      </c>
      <c r="Q689" s="29" t="s">
        <v>66</v>
      </c>
      <c r="R689" s="29"/>
      <c r="S689" s="49"/>
    </row>
    <row r="690" spans="2:19" x14ac:dyDescent="0.25">
      <c r="B690" s="184"/>
      <c r="C690" s="187"/>
      <c r="D690" s="29" t="s">
        <v>3</v>
      </c>
      <c r="E690" s="30">
        <v>2</v>
      </c>
      <c r="F690" s="30">
        <v>38</v>
      </c>
      <c r="G690" s="29" t="s">
        <v>66</v>
      </c>
      <c r="H690" s="29"/>
      <c r="I690" s="49"/>
      <c r="L690" s="184"/>
      <c r="M690" s="187"/>
      <c r="N690" s="29" t="s">
        <v>3</v>
      </c>
      <c r="O690" s="30">
        <v>2</v>
      </c>
      <c r="P690" s="30">
        <v>38</v>
      </c>
      <c r="Q690" s="29" t="s">
        <v>66</v>
      </c>
      <c r="R690" s="29"/>
      <c r="S690" s="49"/>
    </row>
    <row r="691" spans="2:19" x14ac:dyDescent="0.25">
      <c r="B691" s="184"/>
      <c r="C691" s="187"/>
      <c r="D691" s="29" t="s">
        <v>80</v>
      </c>
      <c r="E691" s="30">
        <v>3</v>
      </c>
      <c r="F691" s="30">
        <v>39</v>
      </c>
      <c r="G691" s="29" t="s">
        <v>66</v>
      </c>
      <c r="H691" s="29"/>
      <c r="I691" s="49"/>
      <c r="L691" s="184"/>
      <c r="M691" s="187"/>
      <c r="N691" s="29" t="s">
        <v>80</v>
      </c>
      <c r="O691" s="30">
        <v>3</v>
      </c>
      <c r="P691" s="30">
        <v>39</v>
      </c>
      <c r="Q691" s="29" t="s">
        <v>66</v>
      </c>
      <c r="R691" s="29"/>
      <c r="S691" s="49"/>
    </row>
    <row r="692" spans="2:19" x14ac:dyDescent="0.25">
      <c r="B692" s="184"/>
      <c r="C692" s="187"/>
      <c r="D692" s="29" t="s">
        <v>81</v>
      </c>
      <c r="E692" s="30">
        <v>4</v>
      </c>
      <c r="F692" s="30">
        <v>40</v>
      </c>
      <c r="G692" s="29" t="s">
        <v>66</v>
      </c>
      <c r="H692" s="29"/>
      <c r="I692" s="49"/>
      <c r="L692" s="184"/>
      <c r="M692" s="187"/>
      <c r="N692" s="29" t="s">
        <v>81</v>
      </c>
      <c r="O692" s="30">
        <v>4</v>
      </c>
      <c r="P692" s="30">
        <v>40</v>
      </c>
      <c r="Q692" s="29" t="s">
        <v>66</v>
      </c>
      <c r="R692" s="29"/>
      <c r="S692" s="49"/>
    </row>
    <row r="693" spans="2:19" x14ac:dyDescent="0.25">
      <c r="B693" s="184"/>
      <c r="C693" s="187"/>
      <c r="D693" s="29" t="s">
        <v>82</v>
      </c>
      <c r="E693" s="30">
        <v>5</v>
      </c>
      <c r="F693" s="30">
        <v>41</v>
      </c>
      <c r="G693" s="29" t="s">
        <v>66</v>
      </c>
      <c r="H693" s="29"/>
      <c r="I693" s="49"/>
      <c r="L693" s="184"/>
      <c r="M693" s="187"/>
      <c r="N693" s="29" t="s">
        <v>82</v>
      </c>
      <c r="O693" s="30">
        <v>5</v>
      </c>
      <c r="P693" s="30">
        <v>41</v>
      </c>
      <c r="Q693" s="29" t="s">
        <v>66</v>
      </c>
      <c r="R693" s="29"/>
      <c r="S693" s="49"/>
    </row>
    <row r="694" spans="2:19" ht="15.75" thickBot="1" x14ac:dyDescent="0.3">
      <c r="B694" s="184"/>
      <c r="C694" s="188"/>
      <c r="D694" s="29" t="s">
        <v>83</v>
      </c>
      <c r="E694" s="30">
        <v>6</v>
      </c>
      <c r="F694" s="30">
        <v>42</v>
      </c>
      <c r="G694" s="29" t="s">
        <v>66</v>
      </c>
      <c r="H694" s="29"/>
      <c r="I694" s="49"/>
      <c r="L694" s="184"/>
      <c r="M694" s="188"/>
      <c r="N694" s="29" t="s">
        <v>83</v>
      </c>
      <c r="O694" s="30">
        <v>6</v>
      </c>
      <c r="P694" s="30">
        <v>42</v>
      </c>
      <c r="Q694" s="29" t="s">
        <v>66</v>
      </c>
      <c r="R694" s="29"/>
      <c r="S694" s="49"/>
    </row>
    <row r="695" spans="2:19" x14ac:dyDescent="0.25">
      <c r="B695" s="184"/>
      <c r="C695" s="186" t="s">
        <v>84</v>
      </c>
      <c r="D695" s="29" t="s">
        <v>2</v>
      </c>
      <c r="E695" s="30">
        <v>1</v>
      </c>
      <c r="F695" s="30">
        <v>43</v>
      </c>
      <c r="G695" s="29" t="s">
        <v>66</v>
      </c>
      <c r="H695" s="29"/>
      <c r="I695" s="49"/>
      <c r="L695" s="184"/>
      <c r="M695" s="186" t="s">
        <v>84</v>
      </c>
      <c r="N695" s="29" t="s">
        <v>2</v>
      </c>
      <c r="O695" s="30">
        <v>1</v>
      </c>
      <c r="P695" s="30">
        <v>43</v>
      </c>
      <c r="Q695" s="29" t="s">
        <v>66</v>
      </c>
      <c r="R695" s="29"/>
      <c r="S695" s="49"/>
    </row>
    <row r="696" spans="2:19" x14ac:dyDescent="0.25">
      <c r="B696" s="184"/>
      <c r="C696" s="187"/>
      <c r="D696" s="29" t="s">
        <v>3</v>
      </c>
      <c r="E696" s="30">
        <v>2</v>
      </c>
      <c r="F696" s="30">
        <v>44</v>
      </c>
      <c r="G696" s="29" t="s">
        <v>66</v>
      </c>
      <c r="H696" s="29"/>
      <c r="I696" s="49"/>
      <c r="L696" s="184"/>
      <c r="M696" s="187"/>
      <c r="N696" s="29" t="s">
        <v>3</v>
      </c>
      <c r="O696" s="30">
        <v>2</v>
      </c>
      <c r="P696" s="30">
        <v>44</v>
      </c>
      <c r="Q696" s="29" t="s">
        <v>66</v>
      </c>
      <c r="R696" s="29"/>
      <c r="S696" s="49"/>
    </row>
    <row r="697" spans="2:19" x14ac:dyDescent="0.25">
      <c r="B697" s="184"/>
      <c r="C697" s="187"/>
      <c r="D697" s="29" t="s">
        <v>80</v>
      </c>
      <c r="E697" s="30">
        <v>3</v>
      </c>
      <c r="F697" s="30">
        <v>45</v>
      </c>
      <c r="G697" s="29" t="s">
        <v>66</v>
      </c>
      <c r="H697" s="29"/>
      <c r="I697" s="49"/>
      <c r="L697" s="184"/>
      <c r="M697" s="187"/>
      <c r="N697" s="29" t="s">
        <v>80</v>
      </c>
      <c r="O697" s="30">
        <v>3</v>
      </c>
      <c r="P697" s="30">
        <v>45</v>
      </c>
      <c r="Q697" s="29" t="s">
        <v>66</v>
      </c>
      <c r="R697" s="29"/>
      <c r="S697" s="49"/>
    </row>
    <row r="698" spans="2:19" x14ac:dyDescent="0.25">
      <c r="B698" s="184"/>
      <c r="C698" s="187"/>
      <c r="D698" s="29" t="s">
        <v>81</v>
      </c>
      <c r="E698" s="30">
        <v>4</v>
      </c>
      <c r="F698" s="30">
        <v>46</v>
      </c>
      <c r="G698" s="29" t="s">
        <v>66</v>
      </c>
      <c r="H698" s="29"/>
      <c r="I698" s="49"/>
      <c r="L698" s="184"/>
      <c r="M698" s="187"/>
      <c r="N698" s="29" t="s">
        <v>81</v>
      </c>
      <c r="O698" s="30">
        <v>4</v>
      </c>
      <c r="P698" s="30">
        <v>46</v>
      </c>
      <c r="Q698" s="29" t="s">
        <v>66</v>
      </c>
      <c r="R698" s="29"/>
      <c r="S698" s="49"/>
    </row>
    <row r="699" spans="2:19" x14ac:dyDescent="0.25">
      <c r="B699" s="184"/>
      <c r="C699" s="187"/>
      <c r="D699" s="29" t="s">
        <v>82</v>
      </c>
      <c r="E699" s="30">
        <v>5</v>
      </c>
      <c r="F699" s="30">
        <v>47</v>
      </c>
      <c r="G699" s="29" t="s">
        <v>66</v>
      </c>
      <c r="H699" s="29"/>
      <c r="I699" s="49"/>
      <c r="L699" s="184"/>
      <c r="M699" s="187"/>
      <c r="N699" s="29" t="s">
        <v>82</v>
      </c>
      <c r="O699" s="30">
        <v>5</v>
      </c>
      <c r="P699" s="30">
        <v>47</v>
      </c>
      <c r="Q699" s="29" t="s">
        <v>66</v>
      </c>
      <c r="R699" s="29"/>
      <c r="S699" s="49"/>
    </row>
    <row r="700" spans="2:19" ht="15.75" thickBot="1" x14ac:dyDescent="0.3">
      <c r="B700" s="185"/>
      <c r="C700" s="188"/>
      <c r="D700" s="29" t="s">
        <v>83</v>
      </c>
      <c r="E700" s="30">
        <v>6</v>
      </c>
      <c r="F700" s="30">
        <v>48</v>
      </c>
      <c r="G700" s="29" t="s">
        <v>66</v>
      </c>
      <c r="H700" s="29"/>
      <c r="I700" s="49"/>
      <c r="L700" s="185"/>
      <c r="M700" s="188"/>
      <c r="N700" s="29" t="s">
        <v>83</v>
      </c>
      <c r="O700" s="30">
        <v>6</v>
      </c>
      <c r="P700" s="30">
        <v>48</v>
      </c>
      <c r="Q700" s="29" t="s">
        <v>66</v>
      </c>
      <c r="R700" s="29"/>
      <c r="S700" s="49"/>
    </row>
    <row r="709" spans="2:19" ht="15.75" thickBot="1" x14ac:dyDescent="0.3"/>
    <row r="710" spans="2:19" ht="15.75" thickBot="1" x14ac:dyDescent="0.3">
      <c r="B710" s="171" t="s">
        <v>410</v>
      </c>
      <c r="C710" s="172"/>
      <c r="D710" s="172"/>
      <c r="E710" s="172"/>
      <c r="F710" s="172"/>
      <c r="G710" s="172"/>
      <c r="H710" s="172"/>
      <c r="I710" s="173"/>
      <c r="L710" s="171" t="s">
        <v>411</v>
      </c>
      <c r="M710" s="172"/>
      <c r="N710" s="172"/>
      <c r="O710" s="172"/>
      <c r="P710" s="172"/>
      <c r="Q710" s="172"/>
      <c r="R710" s="172"/>
      <c r="S710" s="173"/>
    </row>
    <row r="712" spans="2:19" ht="26.25" thickBot="1" x14ac:dyDescent="0.3">
      <c r="B712" s="15" t="s">
        <v>70</v>
      </c>
      <c r="C712" s="16" t="s">
        <v>71</v>
      </c>
      <c r="D712" s="15" t="s">
        <v>72</v>
      </c>
      <c r="E712" s="17" t="s">
        <v>73</v>
      </c>
      <c r="F712" s="17" t="s">
        <v>74</v>
      </c>
      <c r="G712" s="15" t="s">
        <v>75</v>
      </c>
      <c r="H712" s="15" t="s">
        <v>55</v>
      </c>
      <c r="I712" s="15" t="s">
        <v>76</v>
      </c>
      <c r="L712" s="15" t="s">
        <v>70</v>
      </c>
      <c r="M712" s="16" t="s">
        <v>71</v>
      </c>
      <c r="N712" s="15" t="s">
        <v>72</v>
      </c>
      <c r="O712" s="17" t="s">
        <v>73</v>
      </c>
      <c r="P712" s="17" t="s">
        <v>74</v>
      </c>
      <c r="Q712" s="15" t="s">
        <v>75</v>
      </c>
      <c r="R712" s="15" t="s">
        <v>55</v>
      </c>
      <c r="S712" s="15" t="s">
        <v>76</v>
      </c>
    </row>
    <row r="713" spans="2:19" ht="15" customHeight="1" x14ac:dyDescent="0.25">
      <c r="B713" s="174" t="s">
        <v>2</v>
      </c>
      <c r="C713" s="168" t="s">
        <v>77</v>
      </c>
      <c r="D713" s="18" t="s">
        <v>2</v>
      </c>
      <c r="E713" s="19">
        <v>1</v>
      </c>
      <c r="F713" s="19">
        <v>1</v>
      </c>
      <c r="G713" s="18" t="s">
        <v>66</v>
      </c>
      <c r="H713" s="32"/>
      <c r="I713" s="50"/>
      <c r="L713" s="174" t="s">
        <v>2</v>
      </c>
      <c r="M713" s="168" t="s">
        <v>77</v>
      </c>
      <c r="N713" s="18" t="s">
        <v>2</v>
      </c>
      <c r="O713" s="19">
        <v>1</v>
      </c>
      <c r="P713" s="19">
        <v>1</v>
      </c>
      <c r="Q713" s="18" t="s">
        <v>66</v>
      </c>
      <c r="R713" s="32"/>
      <c r="S713" s="50"/>
    </row>
    <row r="714" spans="2:19" x14ac:dyDescent="0.25">
      <c r="B714" s="175"/>
      <c r="C714" s="169"/>
      <c r="D714" s="18" t="s">
        <v>3</v>
      </c>
      <c r="E714" s="19">
        <v>2</v>
      </c>
      <c r="F714" s="19">
        <v>2</v>
      </c>
      <c r="G714" s="18" t="s">
        <v>66</v>
      </c>
      <c r="H714" s="32"/>
      <c r="I714" s="50"/>
      <c r="L714" s="175"/>
      <c r="M714" s="169"/>
      <c r="N714" s="18" t="s">
        <v>3</v>
      </c>
      <c r="O714" s="19">
        <v>2</v>
      </c>
      <c r="P714" s="19">
        <v>2</v>
      </c>
      <c r="Q714" s="18" t="s">
        <v>66</v>
      </c>
      <c r="R714" s="32"/>
      <c r="S714" s="50"/>
    </row>
    <row r="715" spans="2:19" x14ac:dyDescent="0.25">
      <c r="B715" s="175"/>
      <c r="C715" s="169"/>
      <c r="D715" s="18" t="s">
        <v>80</v>
      </c>
      <c r="E715" s="20">
        <v>3</v>
      </c>
      <c r="F715" s="20">
        <v>3</v>
      </c>
      <c r="G715" s="18" t="s">
        <v>66</v>
      </c>
      <c r="H715" s="32"/>
      <c r="I715" s="50"/>
      <c r="L715" s="175"/>
      <c r="M715" s="169"/>
      <c r="N715" s="18" t="s">
        <v>80</v>
      </c>
      <c r="O715" s="20">
        <v>3</v>
      </c>
      <c r="P715" s="20">
        <v>3</v>
      </c>
      <c r="Q715" s="18" t="s">
        <v>66</v>
      </c>
      <c r="R715" s="32"/>
      <c r="S715" s="50"/>
    </row>
    <row r="716" spans="2:19" x14ac:dyDescent="0.25">
      <c r="B716" s="175"/>
      <c r="C716" s="169"/>
      <c r="D716" s="18" t="s">
        <v>81</v>
      </c>
      <c r="E716" s="20">
        <v>4</v>
      </c>
      <c r="F716" s="20">
        <v>4</v>
      </c>
      <c r="G716" s="18" t="s">
        <v>66</v>
      </c>
      <c r="H716" s="32"/>
      <c r="I716" s="50"/>
      <c r="L716" s="175"/>
      <c r="M716" s="169"/>
      <c r="N716" s="18" t="s">
        <v>81</v>
      </c>
      <c r="O716" s="20">
        <v>4</v>
      </c>
      <c r="P716" s="20">
        <v>4</v>
      </c>
      <c r="Q716" s="18" t="s">
        <v>66</v>
      </c>
      <c r="R716" s="32"/>
      <c r="S716" s="50"/>
    </row>
    <row r="717" spans="2:19" x14ac:dyDescent="0.25">
      <c r="B717" s="175"/>
      <c r="C717" s="169"/>
      <c r="D717" s="18" t="s">
        <v>82</v>
      </c>
      <c r="E717" s="20">
        <v>5</v>
      </c>
      <c r="F717" s="20">
        <v>5</v>
      </c>
      <c r="G717" s="18" t="s">
        <v>66</v>
      </c>
      <c r="H717" s="32"/>
      <c r="I717" s="50"/>
      <c r="L717" s="175"/>
      <c r="M717" s="169"/>
      <c r="N717" s="18" t="s">
        <v>82</v>
      </c>
      <c r="O717" s="20">
        <v>5</v>
      </c>
      <c r="P717" s="20">
        <v>5</v>
      </c>
      <c r="Q717" s="18" t="s">
        <v>66</v>
      </c>
      <c r="R717" s="32"/>
      <c r="S717" s="50"/>
    </row>
    <row r="718" spans="2:19" ht="15.75" thickBot="1" x14ac:dyDescent="0.3">
      <c r="B718" s="175"/>
      <c r="C718" s="170"/>
      <c r="D718" s="18" t="s">
        <v>83</v>
      </c>
      <c r="E718" s="20">
        <v>6</v>
      </c>
      <c r="F718" s="20">
        <v>6</v>
      </c>
      <c r="G718" s="18" t="s">
        <v>66</v>
      </c>
      <c r="H718" s="32"/>
      <c r="I718" s="50"/>
      <c r="L718" s="175"/>
      <c r="M718" s="170"/>
      <c r="N718" s="18" t="s">
        <v>83</v>
      </c>
      <c r="O718" s="20">
        <v>6</v>
      </c>
      <c r="P718" s="20">
        <v>6</v>
      </c>
      <c r="Q718" s="18" t="s">
        <v>66</v>
      </c>
      <c r="R718" s="32"/>
      <c r="S718" s="50"/>
    </row>
    <row r="719" spans="2:19" x14ac:dyDescent="0.25">
      <c r="B719" s="175"/>
      <c r="C719" s="168" t="s">
        <v>84</v>
      </c>
      <c r="D719" s="18" t="s">
        <v>2</v>
      </c>
      <c r="E719" s="19">
        <v>1</v>
      </c>
      <c r="F719" s="19">
        <v>7</v>
      </c>
      <c r="G719" s="18" t="s">
        <v>66</v>
      </c>
      <c r="H719" s="32"/>
      <c r="I719" s="50"/>
      <c r="L719" s="175"/>
      <c r="M719" s="168" t="s">
        <v>84</v>
      </c>
      <c r="N719" s="18" t="s">
        <v>2</v>
      </c>
      <c r="O719" s="19">
        <v>1</v>
      </c>
      <c r="P719" s="19">
        <v>7</v>
      </c>
      <c r="Q719" s="18" t="s">
        <v>66</v>
      </c>
      <c r="R719" s="32"/>
      <c r="S719" s="50"/>
    </row>
    <row r="720" spans="2:19" x14ac:dyDescent="0.25">
      <c r="B720" s="175"/>
      <c r="C720" s="169"/>
      <c r="D720" s="18" t="s">
        <v>3</v>
      </c>
      <c r="E720" s="19">
        <v>2</v>
      </c>
      <c r="F720" s="19">
        <v>8</v>
      </c>
      <c r="G720" s="18" t="s">
        <v>66</v>
      </c>
      <c r="H720" s="32"/>
      <c r="I720" s="50"/>
      <c r="L720" s="175"/>
      <c r="M720" s="169"/>
      <c r="N720" s="18" t="s">
        <v>3</v>
      </c>
      <c r="O720" s="19">
        <v>2</v>
      </c>
      <c r="P720" s="19">
        <v>8</v>
      </c>
      <c r="Q720" s="18" t="s">
        <v>66</v>
      </c>
      <c r="R720" s="32"/>
      <c r="S720" s="50"/>
    </row>
    <row r="721" spans="2:19" x14ac:dyDescent="0.25">
      <c r="B721" s="175"/>
      <c r="C721" s="169"/>
      <c r="D721" s="18" t="s">
        <v>80</v>
      </c>
      <c r="E721" s="20">
        <v>3</v>
      </c>
      <c r="F721" s="20">
        <v>9</v>
      </c>
      <c r="G721" s="18" t="s">
        <v>66</v>
      </c>
      <c r="H721" s="32"/>
      <c r="I721" s="50"/>
      <c r="L721" s="175"/>
      <c r="M721" s="169"/>
      <c r="N721" s="18" t="s">
        <v>80</v>
      </c>
      <c r="O721" s="20">
        <v>3</v>
      </c>
      <c r="P721" s="20">
        <v>9</v>
      </c>
      <c r="Q721" s="18" t="s">
        <v>66</v>
      </c>
      <c r="R721" s="32"/>
      <c r="S721" s="50"/>
    </row>
    <row r="722" spans="2:19" x14ac:dyDescent="0.25">
      <c r="B722" s="175"/>
      <c r="C722" s="169"/>
      <c r="D722" s="18" t="s">
        <v>81</v>
      </c>
      <c r="E722" s="20">
        <v>4</v>
      </c>
      <c r="F722" s="20">
        <v>10</v>
      </c>
      <c r="G722" s="18" t="s">
        <v>66</v>
      </c>
      <c r="H722" s="32"/>
      <c r="I722" s="50"/>
      <c r="L722" s="175"/>
      <c r="M722" s="169"/>
      <c r="N722" s="18" t="s">
        <v>81</v>
      </c>
      <c r="O722" s="20">
        <v>4</v>
      </c>
      <c r="P722" s="20">
        <v>10</v>
      </c>
      <c r="Q722" s="18" t="s">
        <v>66</v>
      </c>
      <c r="R722" s="32"/>
      <c r="S722" s="50"/>
    </row>
    <row r="723" spans="2:19" x14ac:dyDescent="0.25">
      <c r="B723" s="175"/>
      <c r="C723" s="169"/>
      <c r="D723" s="18" t="s">
        <v>82</v>
      </c>
      <c r="E723" s="20">
        <v>5</v>
      </c>
      <c r="F723" s="20">
        <v>11</v>
      </c>
      <c r="G723" s="18" t="s">
        <v>66</v>
      </c>
      <c r="H723" s="32"/>
      <c r="I723" s="50"/>
      <c r="L723" s="175"/>
      <c r="M723" s="169"/>
      <c r="N723" s="18" t="s">
        <v>82</v>
      </c>
      <c r="O723" s="20">
        <v>5</v>
      </c>
      <c r="P723" s="20">
        <v>11</v>
      </c>
      <c r="Q723" s="18" t="s">
        <v>66</v>
      </c>
      <c r="R723" s="32"/>
      <c r="S723" s="50"/>
    </row>
    <row r="724" spans="2:19" ht="15.75" thickBot="1" x14ac:dyDescent="0.3">
      <c r="B724" s="176"/>
      <c r="C724" s="170"/>
      <c r="D724" s="18" t="s">
        <v>83</v>
      </c>
      <c r="E724" s="20">
        <v>6</v>
      </c>
      <c r="F724" s="20">
        <v>12</v>
      </c>
      <c r="G724" s="18" t="s">
        <v>66</v>
      </c>
      <c r="H724" s="32"/>
      <c r="I724" s="50"/>
      <c r="L724" s="176"/>
      <c r="M724" s="170"/>
      <c r="N724" s="18" t="s">
        <v>83</v>
      </c>
      <c r="O724" s="20">
        <v>6</v>
      </c>
      <c r="P724" s="20">
        <v>12</v>
      </c>
      <c r="Q724" s="18" t="s">
        <v>66</v>
      </c>
      <c r="R724" s="32"/>
      <c r="S724" s="50"/>
    </row>
    <row r="725" spans="2:19" ht="15" customHeight="1" x14ac:dyDescent="0.25">
      <c r="B725" s="180" t="s">
        <v>3</v>
      </c>
      <c r="C725" s="177" t="s">
        <v>77</v>
      </c>
      <c r="D725" s="21" t="s">
        <v>2</v>
      </c>
      <c r="E725" s="22">
        <v>1</v>
      </c>
      <c r="F725" s="22">
        <v>13</v>
      </c>
      <c r="G725" s="21" t="s">
        <v>78</v>
      </c>
      <c r="H725" s="159" t="s">
        <v>385</v>
      </c>
      <c r="I725" s="162" t="s">
        <v>224</v>
      </c>
      <c r="L725" s="180" t="s">
        <v>3</v>
      </c>
      <c r="M725" s="177" t="s">
        <v>77</v>
      </c>
      <c r="N725" s="21" t="s">
        <v>2</v>
      </c>
      <c r="O725" s="22">
        <v>1</v>
      </c>
      <c r="P725" s="22">
        <v>13</v>
      </c>
      <c r="Q725" s="21" t="s">
        <v>78</v>
      </c>
      <c r="R725" s="159" t="s">
        <v>385</v>
      </c>
      <c r="S725" s="162" t="s">
        <v>226</v>
      </c>
    </row>
    <row r="726" spans="2:19" x14ac:dyDescent="0.25">
      <c r="B726" s="181"/>
      <c r="C726" s="178"/>
      <c r="D726" s="23" t="s">
        <v>3</v>
      </c>
      <c r="E726" s="24">
        <v>2</v>
      </c>
      <c r="F726" s="24">
        <v>14</v>
      </c>
      <c r="G726" s="23" t="s">
        <v>78</v>
      </c>
      <c r="H726" s="160"/>
      <c r="I726" s="163"/>
      <c r="L726" s="181"/>
      <c r="M726" s="178"/>
      <c r="N726" s="23" t="s">
        <v>3</v>
      </c>
      <c r="O726" s="24">
        <v>2</v>
      </c>
      <c r="P726" s="24">
        <v>14</v>
      </c>
      <c r="Q726" s="23" t="s">
        <v>78</v>
      </c>
      <c r="R726" s="160"/>
      <c r="S726" s="163"/>
    </row>
    <row r="727" spans="2:19" x14ac:dyDescent="0.25">
      <c r="B727" s="181"/>
      <c r="C727" s="178"/>
      <c r="D727" s="23" t="s">
        <v>80</v>
      </c>
      <c r="E727" s="24">
        <v>3</v>
      </c>
      <c r="F727" s="24">
        <v>15</v>
      </c>
      <c r="G727" s="23" t="s">
        <v>66</v>
      </c>
      <c r="H727" s="160"/>
      <c r="I727" s="163"/>
      <c r="L727" s="181"/>
      <c r="M727" s="178"/>
      <c r="N727" s="23" t="s">
        <v>80</v>
      </c>
      <c r="O727" s="24">
        <v>3</v>
      </c>
      <c r="P727" s="24">
        <v>15</v>
      </c>
      <c r="Q727" s="23" t="s">
        <v>66</v>
      </c>
      <c r="R727" s="160"/>
      <c r="S727" s="163"/>
    </row>
    <row r="728" spans="2:19" x14ac:dyDescent="0.25">
      <c r="B728" s="181"/>
      <c r="C728" s="178"/>
      <c r="D728" s="23" t="s">
        <v>81</v>
      </c>
      <c r="E728" s="24">
        <v>4</v>
      </c>
      <c r="F728" s="24">
        <v>16</v>
      </c>
      <c r="G728" s="23" t="s">
        <v>66</v>
      </c>
      <c r="H728" s="160"/>
      <c r="I728" s="163"/>
      <c r="L728" s="181"/>
      <c r="M728" s="178"/>
      <c r="N728" s="23" t="s">
        <v>81</v>
      </c>
      <c r="O728" s="24">
        <v>4</v>
      </c>
      <c r="P728" s="24">
        <v>16</v>
      </c>
      <c r="Q728" s="23" t="s">
        <v>66</v>
      </c>
      <c r="R728" s="160"/>
      <c r="S728" s="163"/>
    </row>
    <row r="729" spans="2:19" x14ac:dyDescent="0.25">
      <c r="B729" s="181"/>
      <c r="C729" s="178"/>
      <c r="D729" s="23" t="s">
        <v>82</v>
      </c>
      <c r="E729" s="24">
        <v>5</v>
      </c>
      <c r="F729" s="24">
        <v>17</v>
      </c>
      <c r="G729" s="23" t="s">
        <v>66</v>
      </c>
      <c r="H729" s="160"/>
      <c r="I729" s="163"/>
      <c r="L729" s="181"/>
      <c r="M729" s="178"/>
      <c r="N729" s="23" t="s">
        <v>82</v>
      </c>
      <c r="O729" s="24">
        <v>5</v>
      </c>
      <c r="P729" s="24">
        <v>17</v>
      </c>
      <c r="Q729" s="23" t="s">
        <v>66</v>
      </c>
      <c r="R729" s="160"/>
      <c r="S729" s="163"/>
    </row>
    <row r="730" spans="2:19" ht="15.75" thickBot="1" x14ac:dyDescent="0.3">
      <c r="B730" s="181"/>
      <c r="C730" s="179"/>
      <c r="D730" s="23" t="s">
        <v>83</v>
      </c>
      <c r="E730" s="24">
        <v>6</v>
      </c>
      <c r="F730" s="24">
        <v>18</v>
      </c>
      <c r="G730" s="23" t="s">
        <v>66</v>
      </c>
      <c r="H730" s="161"/>
      <c r="I730" s="164"/>
      <c r="L730" s="181"/>
      <c r="M730" s="179"/>
      <c r="N730" s="23" t="s">
        <v>83</v>
      </c>
      <c r="O730" s="24">
        <v>6</v>
      </c>
      <c r="P730" s="24">
        <v>18</v>
      </c>
      <c r="Q730" s="23" t="s">
        <v>66</v>
      </c>
      <c r="R730" s="161"/>
      <c r="S730" s="164"/>
    </row>
    <row r="731" spans="2:19" x14ac:dyDescent="0.25">
      <c r="B731" s="181"/>
      <c r="C731" s="177" t="s">
        <v>84</v>
      </c>
      <c r="D731" s="23" t="s">
        <v>2</v>
      </c>
      <c r="E731" s="24">
        <v>1</v>
      </c>
      <c r="F731" s="24">
        <v>19</v>
      </c>
      <c r="G731" s="23" t="s">
        <v>66</v>
      </c>
      <c r="H731" s="23"/>
      <c r="I731" s="47"/>
      <c r="L731" s="181"/>
      <c r="M731" s="177" t="s">
        <v>84</v>
      </c>
      <c r="N731" s="23" t="s">
        <v>2</v>
      </c>
      <c r="O731" s="24">
        <v>1</v>
      </c>
      <c r="P731" s="24">
        <v>19</v>
      </c>
      <c r="Q731" s="23" t="s">
        <v>66</v>
      </c>
      <c r="R731" s="23"/>
      <c r="S731" s="47"/>
    </row>
    <row r="732" spans="2:19" x14ac:dyDescent="0.25">
      <c r="B732" s="181"/>
      <c r="C732" s="178"/>
      <c r="D732" s="23" t="s">
        <v>3</v>
      </c>
      <c r="E732" s="24">
        <v>2</v>
      </c>
      <c r="F732" s="24">
        <v>20</v>
      </c>
      <c r="G732" s="23" t="s">
        <v>66</v>
      </c>
      <c r="H732" s="23"/>
      <c r="I732" s="47"/>
      <c r="L732" s="181"/>
      <c r="M732" s="178"/>
      <c r="N732" s="23" t="s">
        <v>3</v>
      </c>
      <c r="O732" s="24">
        <v>2</v>
      </c>
      <c r="P732" s="24">
        <v>20</v>
      </c>
      <c r="Q732" s="23" t="s">
        <v>66</v>
      </c>
      <c r="R732" s="23"/>
      <c r="S732" s="47"/>
    </row>
    <row r="733" spans="2:19" x14ac:dyDescent="0.25">
      <c r="B733" s="181"/>
      <c r="C733" s="178"/>
      <c r="D733" s="23" t="s">
        <v>80</v>
      </c>
      <c r="E733" s="26">
        <v>3</v>
      </c>
      <c r="F733" s="24">
        <v>21</v>
      </c>
      <c r="G733" s="23" t="s">
        <v>66</v>
      </c>
      <c r="H733" s="23"/>
      <c r="I733" s="47"/>
      <c r="L733" s="181"/>
      <c r="M733" s="178"/>
      <c r="N733" s="23" t="s">
        <v>80</v>
      </c>
      <c r="O733" s="26">
        <v>3</v>
      </c>
      <c r="P733" s="24">
        <v>21</v>
      </c>
      <c r="Q733" s="23" t="s">
        <v>66</v>
      </c>
      <c r="R733" s="23"/>
      <c r="S733" s="47"/>
    </row>
    <row r="734" spans="2:19" x14ac:dyDescent="0.25">
      <c r="B734" s="181"/>
      <c r="C734" s="178"/>
      <c r="D734" s="23" t="s">
        <v>81</v>
      </c>
      <c r="E734" s="24">
        <v>4</v>
      </c>
      <c r="F734" s="24">
        <v>22</v>
      </c>
      <c r="G734" s="23" t="s">
        <v>66</v>
      </c>
      <c r="H734" s="23"/>
      <c r="I734" s="47"/>
      <c r="L734" s="181"/>
      <c r="M734" s="178"/>
      <c r="N734" s="23" t="s">
        <v>81</v>
      </c>
      <c r="O734" s="24">
        <v>4</v>
      </c>
      <c r="P734" s="24">
        <v>22</v>
      </c>
      <c r="Q734" s="23" t="s">
        <v>66</v>
      </c>
      <c r="R734" s="23"/>
      <c r="S734" s="47"/>
    </row>
    <row r="735" spans="2:19" x14ac:dyDescent="0.25">
      <c r="B735" s="181"/>
      <c r="C735" s="178"/>
      <c r="D735" s="23" t="s">
        <v>82</v>
      </c>
      <c r="E735" s="24">
        <v>5</v>
      </c>
      <c r="F735" s="24">
        <v>23</v>
      </c>
      <c r="G735" s="23" t="s">
        <v>66</v>
      </c>
      <c r="H735" s="23"/>
      <c r="I735" s="47"/>
      <c r="L735" s="181"/>
      <c r="M735" s="178"/>
      <c r="N735" s="23" t="s">
        <v>82</v>
      </c>
      <c r="O735" s="24">
        <v>5</v>
      </c>
      <c r="P735" s="24">
        <v>23</v>
      </c>
      <c r="Q735" s="23" t="s">
        <v>66</v>
      </c>
      <c r="R735" s="23"/>
      <c r="S735" s="47"/>
    </row>
    <row r="736" spans="2:19" ht="15.75" thickBot="1" x14ac:dyDescent="0.3">
      <c r="B736" s="182"/>
      <c r="C736" s="179"/>
      <c r="D736" s="23" t="s">
        <v>83</v>
      </c>
      <c r="E736" s="24">
        <v>6</v>
      </c>
      <c r="F736" s="24">
        <v>24</v>
      </c>
      <c r="G736" s="23" t="s">
        <v>66</v>
      </c>
      <c r="H736" s="23"/>
      <c r="I736" s="47"/>
      <c r="L736" s="182"/>
      <c r="M736" s="179"/>
      <c r="N736" s="23" t="s">
        <v>83</v>
      </c>
      <c r="O736" s="24">
        <v>6</v>
      </c>
      <c r="P736" s="24">
        <v>24</v>
      </c>
      <c r="Q736" s="23" t="s">
        <v>66</v>
      </c>
      <c r="R736" s="23"/>
      <c r="S736" s="47"/>
    </row>
    <row r="737" spans="2:19" x14ac:dyDescent="0.25">
      <c r="B737" s="189" t="s">
        <v>80</v>
      </c>
      <c r="C737" s="192" t="s">
        <v>77</v>
      </c>
      <c r="D737" s="27" t="s">
        <v>2</v>
      </c>
      <c r="E737" s="28">
        <v>1</v>
      </c>
      <c r="F737" s="28">
        <v>25</v>
      </c>
      <c r="G737" s="27" t="s">
        <v>66</v>
      </c>
      <c r="H737" s="27"/>
      <c r="I737" s="48"/>
      <c r="L737" s="189" t="s">
        <v>80</v>
      </c>
      <c r="M737" s="192" t="s">
        <v>77</v>
      </c>
      <c r="N737" s="27" t="s">
        <v>2</v>
      </c>
      <c r="O737" s="28">
        <v>1</v>
      </c>
      <c r="P737" s="28">
        <v>25</v>
      </c>
      <c r="Q737" s="27" t="s">
        <v>66</v>
      </c>
      <c r="R737" s="27"/>
      <c r="S737" s="48"/>
    </row>
    <row r="738" spans="2:19" x14ac:dyDescent="0.25">
      <c r="B738" s="190"/>
      <c r="C738" s="193"/>
      <c r="D738" s="27" t="s">
        <v>3</v>
      </c>
      <c r="E738" s="28">
        <v>2</v>
      </c>
      <c r="F738" s="28">
        <v>26</v>
      </c>
      <c r="G738" s="27" t="s">
        <v>66</v>
      </c>
      <c r="H738" s="27"/>
      <c r="I738" s="48"/>
      <c r="L738" s="190"/>
      <c r="M738" s="193"/>
      <c r="N738" s="27" t="s">
        <v>3</v>
      </c>
      <c r="O738" s="28">
        <v>2</v>
      </c>
      <c r="P738" s="28">
        <v>26</v>
      </c>
      <c r="Q738" s="27" t="s">
        <v>66</v>
      </c>
      <c r="R738" s="27"/>
      <c r="S738" s="48"/>
    </row>
    <row r="739" spans="2:19" x14ac:dyDescent="0.25">
      <c r="B739" s="190"/>
      <c r="C739" s="193"/>
      <c r="D739" s="27" t="s">
        <v>80</v>
      </c>
      <c r="E739" s="28">
        <v>3</v>
      </c>
      <c r="F739" s="28">
        <v>27</v>
      </c>
      <c r="G739" s="27" t="s">
        <v>66</v>
      </c>
      <c r="H739" s="27"/>
      <c r="I739" s="48"/>
      <c r="L739" s="190"/>
      <c r="M739" s="193"/>
      <c r="N739" s="27" t="s">
        <v>80</v>
      </c>
      <c r="O739" s="28">
        <v>3</v>
      </c>
      <c r="P739" s="28">
        <v>27</v>
      </c>
      <c r="Q739" s="27" t="s">
        <v>66</v>
      </c>
      <c r="R739" s="27"/>
      <c r="S739" s="48"/>
    </row>
    <row r="740" spans="2:19" x14ac:dyDescent="0.25">
      <c r="B740" s="190"/>
      <c r="C740" s="193"/>
      <c r="D740" s="27" t="s">
        <v>81</v>
      </c>
      <c r="E740" s="28">
        <v>4</v>
      </c>
      <c r="F740" s="28">
        <v>28</v>
      </c>
      <c r="G740" s="27" t="s">
        <v>66</v>
      </c>
      <c r="H740" s="27"/>
      <c r="I740" s="48"/>
      <c r="L740" s="190"/>
      <c r="M740" s="193"/>
      <c r="N740" s="27" t="s">
        <v>81</v>
      </c>
      <c r="O740" s="28">
        <v>4</v>
      </c>
      <c r="P740" s="28">
        <v>28</v>
      </c>
      <c r="Q740" s="27" t="s">
        <v>66</v>
      </c>
      <c r="R740" s="27"/>
      <c r="S740" s="48"/>
    </row>
    <row r="741" spans="2:19" x14ac:dyDescent="0.25">
      <c r="B741" s="190"/>
      <c r="C741" s="193"/>
      <c r="D741" s="27" t="s">
        <v>82</v>
      </c>
      <c r="E741" s="28">
        <v>5</v>
      </c>
      <c r="F741" s="28">
        <v>29</v>
      </c>
      <c r="G741" s="27" t="s">
        <v>66</v>
      </c>
      <c r="H741" s="27"/>
      <c r="I741" s="48"/>
      <c r="L741" s="190"/>
      <c r="M741" s="193"/>
      <c r="N741" s="27" t="s">
        <v>82</v>
      </c>
      <c r="O741" s="28">
        <v>5</v>
      </c>
      <c r="P741" s="28">
        <v>29</v>
      </c>
      <c r="Q741" s="27" t="s">
        <v>66</v>
      </c>
      <c r="R741" s="27"/>
      <c r="S741" s="48"/>
    </row>
    <row r="742" spans="2:19" ht="15.75" thickBot="1" x14ac:dyDescent="0.3">
      <c r="B742" s="190"/>
      <c r="C742" s="194"/>
      <c r="D742" s="27" t="s">
        <v>83</v>
      </c>
      <c r="E742" s="28">
        <v>6</v>
      </c>
      <c r="F742" s="28">
        <v>30</v>
      </c>
      <c r="G742" s="27" t="s">
        <v>66</v>
      </c>
      <c r="H742" s="27"/>
      <c r="I742" s="48"/>
      <c r="L742" s="190"/>
      <c r="M742" s="194"/>
      <c r="N742" s="27" t="s">
        <v>83</v>
      </c>
      <c r="O742" s="28">
        <v>6</v>
      </c>
      <c r="P742" s="28">
        <v>30</v>
      </c>
      <c r="Q742" s="27" t="s">
        <v>66</v>
      </c>
      <c r="R742" s="27"/>
      <c r="S742" s="48"/>
    </row>
    <row r="743" spans="2:19" x14ac:dyDescent="0.25">
      <c r="B743" s="190"/>
      <c r="C743" s="192" t="s">
        <v>84</v>
      </c>
      <c r="D743" s="27" t="s">
        <v>2</v>
      </c>
      <c r="E743" s="28">
        <v>1</v>
      </c>
      <c r="F743" s="28">
        <v>31</v>
      </c>
      <c r="G743" s="27" t="s">
        <v>66</v>
      </c>
      <c r="H743" s="27"/>
      <c r="I743" s="48"/>
      <c r="L743" s="190"/>
      <c r="M743" s="192" t="s">
        <v>84</v>
      </c>
      <c r="N743" s="27" t="s">
        <v>2</v>
      </c>
      <c r="O743" s="28">
        <v>1</v>
      </c>
      <c r="P743" s="28">
        <v>31</v>
      </c>
      <c r="Q743" s="27" t="s">
        <v>66</v>
      </c>
      <c r="R743" s="27"/>
      <c r="S743" s="48"/>
    </row>
    <row r="744" spans="2:19" x14ac:dyDescent="0.25">
      <c r="B744" s="190"/>
      <c r="C744" s="193"/>
      <c r="D744" s="27" t="s">
        <v>3</v>
      </c>
      <c r="E744" s="28">
        <v>2</v>
      </c>
      <c r="F744" s="28">
        <v>32</v>
      </c>
      <c r="G744" s="27" t="s">
        <v>66</v>
      </c>
      <c r="H744" s="27"/>
      <c r="I744" s="48"/>
      <c r="L744" s="190"/>
      <c r="M744" s="193"/>
      <c r="N744" s="27" t="s">
        <v>3</v>
      </c>
      <c r="O744" s="28">
        <v>2</v>
      </c>
      <c r="P744" s="28">
        <v>32</v>
      </c>
      <c r="Q744" s="27" t="s">
        <v>66</v>
      </c>
      <c r="R744" s="27"/>
      <c r="S744" s="48"/>
    </row>
    <row r="745" spans="2:19" x14ac:dyDescent="0.25">
      <c r="B745" s="190"/>
      <c r="C745" s="193"/>
      <c r="D745" s="27" t="s">
        <v>80</v>
      </c>
      <c r="E745" s="28">
        <v>3</v>
      </c>
      <c r="F745" s="28">
        <v>33</v>
      </c>
      <c r="G745" s="27" t="s">
        <v>66</v>
      </c>
      <c r="H745" s="27"/>
      <c r="I745" s="48"/>
      <c r="L745" s="190"/>
      <c r="M745" s="193"/>
      <c r="N745" s="27" t="s">
        <v>80</v>
      </c>
      <c r="O745" s="28">
        <v>3</v>
      </c>
      <c r="P745" s="28">
        <v>33</v>
      </c>
      <c r="Q745" s="27" t="s">
        <v>66</v>
      </c>
      <c r="R745" s="27"/>
      <c r="S745" s="48"/>
    </row>
    <row r="746" spans="2:19" x14ac:dyDescent="0.25">
      <c r="B746" s="190"/>
      <c r="C746" s="193"/>
      <c r="D746" s="27" t="s">
        <v>81</v>
      </c>
      <c r="E746" s="28">
        <v>4</v>
      </c>
      <c r="F746" s="28">
        <v>34</v>
      </c>
      <c r="G746" s="27" t="s">
        <v>66</v>
      </c>
      <c r="H746" s="27"/>
      <c r="I746" s="48"/>
      <c r="L746" s="190"/>
      <c r="M746" s="193"/>
      <c r="N746" s="27" t="s">
        <v>81</v>
      </c>
      <c r="O746" s="28">
        <v>4</v>
      </c>
      <c r="P746" s="28">
        <v>34</v>
      </c>
      <c r="Q746" s="27" t="s">
        <v>66</v>
      </c>
      <c r="R746" s="27"/>
      <c r="S746" s="48"/>
    </row>
    <row r="747" spans="2:19" x14ac:dyDescent="0.25">
      <c r="B747" s="190"/>
      <c r="C747" s="193"/>
      <c r="D747" s="27" t="s">
        <v>82</v>
      </c>
      <c r="E747" s="28">
        <v>5</v>
      </c>
      <c r="F747" s="28">
        <v>35</v>
      </c>
      <c r="G747" s="27" t="s">
        <v>66</v>
      </c>
      <c r="H747" s="27"/>
      <c r="I747" s="48"/>
      <c r="L747" s="190"/>
      <c r="M747" s="193"/>
      <c r="N747" s="27" t="s">
        <v>82</v>
      </c>
      <c r="O747" s="28">
        <v>5</v>
      </c>
      <c r="P747" s="28">
        <v>35</v>
      </c>
      <c r="Q747" s="27" t="s">
        <v>66</v>
      </c>
      <c r="R747" s="27"/>
      <c r="S747" s="48"/>
    </row>
    <row r="748" spans="2:19" ht="15.75" thickBot="1" x14ac:dyDescent="0.3">
      <c r="B748" s="191"/>
      <c r="C748" s="194"/>
      <c r="D748" s="27" t="s">
        <v>83</v>
      </c>
      <c r="E748" s="28">
        <v>6</v>
      </c>
      <c r="F748" s="28">
        <v>36</v>
      </c>
      <c r="G748" s="27" t="s">
        <v>66</v>
      </c>
      <c r="H748" s="27"/>
      <c r="I748" s="48"/>
      <c r="L748" s="191"/>
      <c r="M748" s="194"/>
      <c r="N748" s="27" t="s">
        <v>83</v>
      </c>
      <c r="O748" s="28">
        <v>6</v>
      </c>
      <c r="P748" s="28">
        <v>36</v>
      </c>
      <c r="Q748" s="27" t="s">
        <v>66</v>
      </c>
      <c r="R748" s="27"/>
      <c r="S748" s="48"/>
    </row>
    <row r="749" spans="2:19" x14ac:dyDescent="0.25">
      <c r="B749" s="183" t="s">
        <v>81</v>
      </c>
      <c r="C749" s="186" t="s">
        <v>77</v>
      </c>
      <c r="D749" s="29" t="s">
        <v>2</v>
      </c>
      <c r="E749" s="30">
        <v>1</v>
      </c>
      <c r="F749" s="30">
        <v>37</v>
      </c>
      <c r="G749" s="29" t="s">
        <v>66</v>
      </c>
      <c r="H749" s="29"/>
      <c r="I749" s="49"/>
      <c r="L749" s="183" t="s">
        <v>81</v>
      </c>
      <c r="M749" s="186" t="s">
        <v>77</v>
      </c>
      <c r="N749" s="29" t="s">
        <v>2</v>
      </c>
      <c r="O749" s="30">
        <v>1</v>
      </c>
      <c r="P749" s="30">
        <v>37</v>
      </c>
      <c r="Q749" s="29" t="s">
        <v>66</v>
      </c>
      <c r="R749" s="29"/>
      <c r="S749" s="49"/>
    </row>
    <row r="750" spans="2:19" x14ac:dyDescent="0.25">
      <c r="B750" s="184"/>
      <c r="C750" s="187"/>
      <c r="D750" s="29" t="s">
        <v>3</v>
      </c>
      <c r="E750" s="30">
        <v>2</v>
      </c>
      <c r="F750" s="30">
        <v>38</v>
      </c>
      <c r="G750" s="29" t="s">
        <v>66</v>
      </c>
      <c r="H750" s="29"/>
      <c r="I750" s="49"/>
      <c r="L750" s="184"/>
      <c r="M750" s="187"/>
      <c r="N750" s="29" t="s">
        <v>3</v>
      </c>
      <c r="O750" s="30">
        <v>2</v>
      </c>
      <c r="P750" s="30">
        <v>38</v>
      </c>
      <c r="Q750" s="29" t="s">
        <v>66</v>
      </c>
      <c r="R750" s="29"/>
      <c r="S750" s="49"/>
    </row>
    <row r="751" spans="2:19" x14ac:dyDescent="0.25">
      <c r="B751" s="184"/>
      <c r="C751" s="187"/>
      <c r="D751" s="29" t="s">
        <v>80</v>
      </c>
      <c r="E751" s="30">
        <v>3</v>
      </c>
      <c r="F751" s="30">
        <v>39</v>
      </c>
      <c r="G751" s="29" t="s">
        <v>66</v>
      </c>
      <c r="H751" s="29"/>
      <c r="I751" s="49"/>
      <c r="L751" s="184"/>
      <c r="M751" s="187"/>
      <c r="N751" s="29" t="s">
        <v>80</v>
      </c>
      <c r="O751" s="30">
        <v>3</v>
      </c>
      <c r="P751" s="30">
        <v>39</v>
      </c>
      <c r="Q751" s="29" t="s">
        <v>66</v>
      </c>
      <c r="R751" s="29"/>
      <c r="S751" s="49"/>
    </row>
    <row r="752" spans="2:19" x14ac:dyDescent="0.25">
      <c r="B752" s="184"/>
      <c r="C752" s="187"/>
      <c r="D752" s="29" t="s">
        <v>81</v>
      </c>
      <c r="E752" s="30">
        <v>4</v>
      </c>
      <c r="F752" s="30">
        <v>40</v>
      </c>
      <c r="G752" s="29" t="s">
        <v>66</v>
      </c>
      <c r="H752" s="29"/>
      <c r="I752" s="49"/>
      <c r="L752" s="184"/>
      <c r="M752" s="187"/>
      <c r="N752" s="29" t="s">
        <v>81</v>
      </c>
      <c r="O752" s="30">
        <v>4</v>
      </c>
      <c r="P752" s="30">
        <v>40</v>
      </c>
      <c r="Q752" s="29" t="s">
        <v>66</v>
      </c>
      <c r="R752" s="29"/>
      <c r="S752" s="49"/>
    </row>
    <row r="753" spans="2:19" x14ac:dyDescent="0.25">
      <c r="B753" s="184"/>
      <c r="C753" s="187"/>
      <c r="D753" s="29" t="s">
        <v>82</v>
      </c>
      <c r="E753" s="30">
        <v>5</v>
      </c>
      <c r="F753" s="30">
        <v>41</v>
      </c>
      <c r="G753" s="29" t="s">
        <v>66</v>
      </c>
      <c r="H753" s="29"/>
      <c r="I753" s="49"/>
      <c r="L753" s="184"/>
      <c r="M753" s="187"/>
      <c r="N753" s="29" t="s">
        <v>82</v>
      </c>
      <c r="O753" s="30">
        <v>5</v>
      </c>
      <c r="P753" s="30">
        <v>41</v>
      </c>
      <c r="Q753" s="29" t="s">
        <v>66</v>
      </c>
      <c r="R753" s="29"/>
      <c r="S753" s="49"/>
    </row>
    <row r="754" spans="2:19" ht="15.75" thickBot="1" x14ac:dyDescent="0.3">
      <c r="B754" s="184"/>
      <c r="C754" s="188"/>
      <c r="D754" s="29" t="s">
        <v>83</v>
      </c>
      <c r="E754" s="30">
        <v>6</v>
      </c>
      <c r="F754" s="30">
        <v>42</v>
      </c>
      <c r="G754" s="29" t="s">
        <v>66</v>
      </c>
      <c r="H754" s="29"/>
      <c r="I754" s="49"/>
      <c r="L754" s="184"/>
      <c r="M754" s="188"/>
      <c r="N754" s="29" t="s">
        <v>83</v>
      </c>
      <c r="O754" s="30">
        <v>6</v>
      </c>
      <c r="P754" s="30">
        <v>42</v>
      </c>
      <c r="Q754" s="29" t="s">
        <v>66</v>
      </c>
      <c r="R754" s="29"/>
      <c r="S754" s="49"/>
    </row>
    <row r="755" spans="2:19" x14ac:dyDescent="0.25">
      <c r="B755" s="184"/>
      <c r="C755" s="186" t="s">
        <v>84</v>
      </c>
      <c r="D755" s="29" t="s">
        <v>2</v>
      </c>
      <c r="E755" s="30">
        <v>1</v>
      </c>
      <c r="F755" s="30">
        <v>43</v>
      </c>
      <c r="G755" s="29" t="s">
        <v>66</v>
      </c>
      <c r="H755" s="29"/>
      <c r="I755" s="49"/>
      <c r="L755" s="184"/>
      <c r="M755" s="186" t="s">
        <v>84</v>
      </c>
      <c r="N755" s="29" t="s">
        <v>2</v>
      </c>
      <c r="O755" s="30">
        <v>1</v>
      </c>
      <c r="P755" s="30">
        <v>43</v>
      </c>
      <c r="Q755" s="29" t="s">
        <v>66</v>
      </c>
      <c r="R755" s="29"/>
      <c r="S755" s="49"/>
    </row>
    <row r="756" spans="2:19" x14ac:dyDescent="0.25">
      <c r="B756" s="184"/>
      <c r="C756" s="187"/>
      <c r="D756" s="29" t="s">
        <v>3</v>
      </c>
      <c r="E756" s="30">
        <v>2</v>
      </c>
      <c r="F756" s="30">
        <v>44</v>
      </c>
      <c r="G756" s="29" t="s">
        <v>66</v>
      </c>
      <c r="H756" s="29"/>
      <c r="I756" s="49"/>
      <c r="L756" s="184"/>
      <c r="M756" s="187"/>
      <c r="N756" s="29" t="s">
        <v>3</v>
      </c>
      <c r="O756" s="30">
        <v>2</v>
      </c>
      <c r="P756" s="30">
        <v>44</v>
      </c>
      <c r="Q756" s="29" t="s">
        <v>66</v>
      </c>
      <c r="R756" s="29"/>
      <c r="S756" s="49"/>
    </row>
    <row r="757" spans="2:19" x14ac:dyDescent="0.25">
      <c r="B757" s="184"/>
      <c r="C757" s="187"/>
      <c r="D757" s="29" t="s">
        <v>80</v>
      </c>
      <c r="E757" s="30">
        <v>3</v>
      </c>
      <c r="F757" s="30">
        <v>45</v>
      </c>
      <c r="G757" s="29" t="s">
        <v>66</v>
      </c>
      <c r="H757" s="29"/>
      <c r="I757" s="49"/>
      <c r="L757" s="184"/>
      <c r="M757" s="187"/>
      <c r="N757" s="29" t="s">
        <v>80</v>
      </c>
      <c r="O757" s="30">
        <v>3</v>
      </c>
      <c r="P757" s="30">
        <v>45</v>
      </c>
      <c r="Q757" s="29" t="s">
        <v>66</v>
      </c>
      <c r="R757" s="29"/>
      <c r="S757" s="49"/>
    </row>
    <row r="758" spans="2:19" x14ac:dyDescent="0.25">
      <c r="B758" s="184"/>
      <c r="C758" s="187"/>
      <c r="D758" s="29" t="s">
        <v>81</v>
      </c>
      <c r="E758" s="30">
        <v>4</v>
      </c>
      <c r="F758" s="30">
        <v>46</v>
      </c>
      <c r="G758" s="29" t="s">
        <v>66</v>
      </c>
      <c r="H758" s="29"/>
      <c r="I758" s="49"/>
      <c r="L758" s="184"/>
      <c r="M758" s="187"/>
      <c r="N758" s="29" t="s">
        <v>81</v>
      </c>
      <c r="O758" s="30">
        <v>4</v>
      </c>
      <c r="P758" s="30">
        <v>46</v>
      </c>
      <c r="Q758" s="29" t="s">
        <v>66</v>
      </c>
      <c r="R758" s="29"/>
      <c r="S758" s="49"/>
    </row>
    <row r="759" spans="2:19" x14ac:dyDescent="0.25">
      <c r="B759" s="184"/>
      <c r="C759" s="187"/>
      <c r="D759" s="29" t="s">
        <v>82</v>
      </c>
      <c r="E759" s="30">
        <v>5</v>
      </c>
      <c r="F759" s="30">
        <v>47</v>
      </c>
      <c r="G759" s="29" t="s">
        <v>66</v>
      </c>
      <c r="H759" s="29"/>
      <c r="I759" s="49"/>
      <c r="L759" s="184"/>
      <c r="M759" s="187"/>
      <c r="N759" s="29" t="s">
        <v>82</v>
      </c>
      <c r="O759" s="30">
        <v>5</v>
      </c>
      <c r="P759" s="30">
        <v>47</v>
      </c>
      <c r="Q759" s="29" t="s">
        <v>66</v>
      </c>
      <c r="R759" s="29"/>
      <c r="S759" s="49"/>
    </row>
    <row r="760" spans="2:19" ht="15.75" thickBot="1" x14ac:dyDescent="0.3">
      <c r="B760" s="185"/>
      <c r="C760" s="188"/>
      <c r="D760" s="29" t="s">
        <v>83</v>
      </c>
      <c r="E760" s="30">
        <v>6</v>
      </c>
      <c r="F760" s="30">
        <v>48</v>
      </c>
      <c r="G760" s="29" t="s">
        <v>66</v>
      </c>
      <c r="H760" s="29"/>
      <c r="I760" s="49"/>
      <c r="L760" s="185"/>
      <c r="M760" s="188"/>
      <c r="N760" s="29" t="s">
        <v>83</v>
      </c>
      <c r="O760" s="30">
        <v>6</v>
      </c>
      <c r="P760" s="30">
        <v>48</v>
      </c>
      <c r="Q760" s="29" t="s">
        <v>66</v>
      </c>
      <c r="R760" s="29"/>
      <c r="S760" s="49"/>
    </row>
    <row r="761" spans="2:19" ht="15.75" thickBot="1" x14ac:dyDescent="0.3"/>
    <row r="762" spans="2:19" ht="15.75" thickBot="1" x14ac:dyDescent="0.3">
      <c r="B762" s="171" t="s">
        <v>412</v>
      </c>
      <c r="C762" s="172"/>
      <c r="D762" s="172"/>
      <c r="E762" s="172"/>
      <c r="F762" s="172"/>
      <c r="G762" s="172"/>
      <c r="H762" s="172"/>
      <c r="I762" s="173"/>
      <c r="L762" s="171" t="s">
        <v>413</v>
      </c>
      <c r="M762" s="172"/>
      <c r="N762" s="172"/>
      <c r="O762" s="172"/>
      <c r="P762" s="172"/>
      <c r="Q762" s="172"/>
      <c r="R762" s="172"/>
      <c r="S762" s="173"/>
    </row>
    <row r="764" spans="2:19" ht="26.25" thickBot="1" x14ac:dyDescent="0.3">
      <c r="B764" s="15" t="s">
        <v>70</v>
      </c>
      <c r="C764" s="16" t="s">
        <v>71</v>
      </c>
      <c r="D764" s="15" t="s">
        <v>72</v>
      </c>
      <c r="E764" s="17" t="s">
        <v>73</v>
      </c>
      <c r="F764" s="17" t="s">
        <v>74</v>
      </c>
      <c r="G764" s="15" t="s">
        <v>75</v>
      </c>
      <c r="H764" s="15" t="s">
        <v>55</v>
      </c>
      <c r="I764" s="15" t="s">
        <v>76</v>
      </c>
      <c r="L764" s="15" t="s">
        <v>70</v>
      </c>
      <c r="M764" s="16" t="s">
        <v>71</v>
      </c>
      <c r="N764" s="15" t="s">
        <v>72</v>
      </c>
      <c r="O764" s="17" t="s">
        <v>73</v>
      </c>
      <c r="P764" s="17" t="s">
        <v>74</v>
      </c>
      <c r="Q764" s="15" t="s">
        <v>75</v>
      </c>
      <c r="R764" s="15" t="s">
        <v>55</v>
      </c>
      <c r="S764" s="15" t="s">
        <v>76</v>
      </c>
    </row>
    <row r="765" spans="2:19" ht="15" customHeight="1" x14ac:dyDescent="0.25">
      <c r="B765" s="174" t="s">
        <v>2</v>
      </c>
      <c r="C765" s="168" t="s">
        <v>77</v>
      </c>
      <c r="D765" s="18" t="s">
        <v>2</v>
      </c>
      <c r="E765" s="19">
        <v>1</v>
      </c>
      <c r="F765" s="19">
        <v>1</v>
      </c>
      <c r="G765" s="18" t="s">
        <v>66</v>
      </c>
      <c r="H765" s="32"/>
      <c r="I765" s="50"/>
      <c r="L765" s="174" t="s">
        <v>2</v>
      </c>
      <c r="M765" s="168" t="s">
        <v>77</v>
      </c>
      <c r="N765" s="18" t="s">
        <v>2</v>
      </c>
      <c r="O765" s="19">
        <v>1</v>
      </c>
      <c r="P765" s="19">
        <v>1</v>
      </c>
      <c r="Q765" s="18" t="s">
        <v>66</v>
      </c>
      <c r="R765" s="32"/>
      <c r="S765" s="50"/>
    </row>
    <row r="766" spans="2:19" x14ac:dyDescent="0.25">
      <c r="B766" s="175"/>
      <c r="C766" s="169"/>
      <c r="D766" s="18" t="s">
        <v>3</v>
      </c>
      <c r="E766" s="19">
        <v>2</v>
      </c>
      <c r="F766" s="19">
        <v>2</v>
      </c>
      <c r="G766" s="18" t="s">
        <v>66</v>
      </c>
      <c r="H766" s="32"/>
      <c r="I766" s="50"/>
      <c r="L766" s="175"/>
      <c r="M766" s="169"/>
      <c r="N766" s="18" t="s">
        <v>3</v>
      </c>
      <c r="O766" s="19">
        <v>2</v>
      </c>
      <c r="P766" s="19">
        <v>2</v>
      </c>
      <c r="Q766" s="18" t="s">
        <v>66</v>
      </c>
      <c r="R766" s="32"/>
      <c r="S766" s="50"/>
    </row>
    <row r="767" spans="2:19" x14ac:dyDescent="0.25">
      <c r="B767" s="175"/>
      <c r="C767" s="169"/>
      <c r="D767" s="18" t="s">
        <v>80</v>
      </c>
      <c r="E767" s="20">
        <v>3</v>
      </c>
      <c r="F767" s="20">
        <v>3</v>
      </c>
      <c r="G767" s="18" t="s">
        <v>66</v>
      </c>
      <c r="H767" s="32"/>
      <c r="I767" s="50"/>
      <c r="L767" s="175"/>
      <c r="M767" s="169"/>
      <c r="N767" s="18" t="s">
        <v>80</v>
      </c>
      <c r="O767" s="20">
        <v>3</v>
      </c>
      <c r="P767" s="20">
        <v>3</v>
      </c>
      <c r="Q767" s="18" t="s">
        <v>66</v>
      </c>
      <c r="R767" s="32"/>
      <c r="S767" s="50"/>
    </row>
    <row r="768" spans="2:19" x14ac:dyDescent="0.25">
      <c r="B768" s="175"/>
      <c r="C768" s="169"/>
      <c r="D768" s="18" t="s">
        <v>81</v>
      </c>
      <c r="E768" s="20">
        <v>4</v>
      </c>
      <c r="F768" s="20">
        <v>4</v>
      </c>
      <c r="G768" s="18" t="s">
        <v>66</v>
      </c>
      <c r="H768" s="32"/>
      <c r="I768" s="50"/>
      <c r="L768" s="175"/>
      <c r="M768" s="169"/>
      <c r="N768" s="18" t="s">
        <v>81</v>
      </c>
      <c r="O768" s="20">
        <v>4</v>
      </c>
      <c r="P768" s="20">
        <v>4</v>
      </c>
      <c r="Q768" s="18" t="s">
        <v>66</v>
      </c>
      <c r="R768" s="32"/>
      <c r="S768" s="50"/>
    </row>
    <row r="769" spans="2:19" x14ac:dyDescent="0.25">
      <c r="B769" s="175"/>
      <c r="C769" s="169"/>
      <c r="D769" s="18" t="s">
        <v>82</v>
      </c>
      <c r="E769" s="20">
        <v>5</v>
      </c>
      <c r="F769" s="20">
        <v>5</v>
      </c>
      <c r="G769" s="18" t="s">
        <v>66</v>
      </c>
      <c r="H769" s="32"/>
      <c r="I769" s="50"/>
      <c r="L769" s="175"/>
      <c r="M769" s="169"/>
      <c r="N769" s="18" t="s">
        <v>82</v>
      </c>
      <c r="O769" s="20">
        <v>5</v>
      </c>
      <c r="P769" s="20">
        <v>5</v>
      </c>
      <c r="Q769" s="18" t="s">
        <v>66</v>
      </c>
      <c r="R769" s="32"/>
      <c r="S769" s="50"/>
    </row>
    <row r="770" spans="2:19" ht="15.75" thickBot="1" x14ac:dyDescent="0.3">
      <c r="B770" s="175"/>
      <c r="C770" s="170"/>
      <c r="D770" s="18" t="s">
        <v>83</v>
      </c>
      <c r="E770" s="20">
        <v>6</v>
      </c>
      <c r="F770" s="20">
        <v>6</v>
      </c>
      <c r="G770" s="18" t="s">
        <v>66</v>
      </c>
      <c r="H770" s="32"/>
      <c r="I770" s="50"/>
      <c r="L770" s="175"/>
      <c r="M770" s="170"/>
      <c r="N770" s="18" t="s">
        <v>83</v>
      </c>
      <c r="O770" s="20">
        <v>6</v>
      </c>
      <c r="P770" s="20">
        <v>6</v>
      </c>
      <c r="Q770" s="18" t="s">
        <v>66</v>
      </c>
      <c r="R770" s="32"/>
      <c r="S770" s="50"/>
    </row>
    <row r="771" spans="2:19" x14ac:dyDescent="0.25">
      <c r="B771" s="175"/>
      <c r="C771" s="168" t="s">
        <v>84</v>
      </c>
      <c r="D771" s="18" t="s">
        <v>2</v>
      </c>
      <c r="E771" s="19">
        <v>1</v>
      </c>
      <c r="F771" s="19">
        <v>7</v>
      </c>
      <c r="G771" s="18" t="s">
        <v>66</v>
      </c>
      <c r="H771" s="32"/>
      <c r="I771" s="50"/>
      <c r="L771" s="175"/>
      <c r="M771" s="168" t="s">
        <v>84</v>
      </c>
      <c r="N771" s="18" t="s">
        <v>2</v>
      </c>
      <c r="O771" s="19">
        <v>1</v>
      </c>
      <c r="P771" s="19">
        <v>7</v>
      </c>
      <c r="Q771" s="18" t="s">
        <v>66</v>
      </c>
      <c r="R771" s="32"/>
      <c r="S771" s="50"/>
    </row>
    <row r="772" spans="2:19" x14ac:dyDescent="0.25">
      <c r="B772" s="175"/>
      <c r="C772" s="169"/>
      <c r="D772" s="18" t="s">
        <v>3</v>
      </c>
      <c r="E772" s="19">
        <v>2</v>
      </c>
      <c r="F772" s="19">
        <v>8</v>
      </c>
      <c r="G772" s="18" t="s">
        <v>66</v>
      </c>
      <c r="H772" s="32"/>
      <c r="I772" s="50"/>
      <c r="L772" s="175"/>
      <c r="M772" s="169"/>
      <c r="N772" s="18" t="s">
        <v>3</v>
      </c>
      <c r="O772" s="19">
        <v>2</v>
      </c>
      <c r="P772" s="19">
        <v>8</v>
      </c>
      <c r="Q772" s="18" t="s">
        <v>66</v>
      </c>
      <c r="R772" s="32"/>
      <c r="S772" s="50"/>
    </row>
    <row r="773" spans="2:19" x14ac:dyDescent="0.25">
      <c r="B773" s="175"/>
      <c r="C773" s="169"/>
      <c r="D773" s="18" t="s">
        <v>80</v>
      </c>
      <c r="E773" s="20">
        <v>3</v>
      </c>
      <c r="F773" s="20">
        <v>9</v>
      </c>
      <c r="G773" s="18" t="s">
        <v>66</v>
      </c>
      <c r="H773" s="32"/>
      <c r="I773" s="50"/>
      <c r="L773" s="175"/>
      <c r="M773" s="169"/>
      <c r="N773" s="18" t="s">
        <v>80</v>
      </c>
      <c r="O773" s="20">
        <v>3</v>
      </c>
      <c r="P773" s="20">
        <v>9</v>
      </c>
      <c r="Q773" s="18" t="s">
        <v>66</v>
      </c>
      <c r="R773" s="32"/>
      <c r="S773" s="50"/>
    </row>
    <row r="774" spans="2:19" x14ac:dyDescent="0.25">
      <c r="B774" s="175"/>
      <c r="C774" s="169"/>
      <c r="D774" s="18" t="s">
        <v>81</v>
      </c>
      <c r="E774" s="20">
        <v>4</v>
      </c>
      <c r="F774" s="20">
        <v>10</v>
      </c>
      <c r="G774" s="18" t="s">
        <v>66</v>
      </c>
      <c r="H774" s="32"/>
      <c r="I774" s="50"/>
      <c r="L774" s="175"/>
      <c r="M774" s="169"/>
      <c r="N774" s="18" t="s">
        <v>81</v>
      </c>
      <c r="O774" s="20">
        <v>4</v>
      </c>
      <c r="P774" s="20">
        <v>10</v>
      </c>
      <c r="Q774" s="18" t="s">
        <v>66</v>
      </c>
      <c r="R774" s="32"/>
      <c r="S774" s="50"/>
    </row>
    <row r="775" spans="2:19" x14ac:dyDescent="0.25">
      <c r="B775" s="175"/>
      <c r="C775" s="169"/>
      <c r="D775" s="18" t="s">
        <v>82</v>
      </c>
      <c r="E775" s="20">
        <v>5</v>
      </c>
      <c r="F775" s="20">
        <v>11</v>
      </c>
      <c r="G775" s="18" t="s">
        <v>66</v>
      </c>
      <c r="H775" s="32"/>
      <c r="I775" s="50"/>
      <c r="L775" s="175"/>
      <c r="M775" s="169"/>
      <c r="N775" s="18" t="s">
        <v>82</v>
      </c>
      <c r="O775" s="20">
        <v>5</v>
      </c>
      <c r="P775" s="20">
        <v>11</v>
      </c>
      <c r="Q775" s="18" t="s">
        <v>66</v>
      </c>
      <c r="R775" s="32"/>
      <c r="S775" s="50"/>
    </row>
    <row r="776" spans="2:19" ht="15.75" thickBot="1" x14ac:dyDescent="0.3">
      <c r="B776" s="176"/>
      <c r="C776" s="170"/>
      <c r="D776" s="18" t="s">
        <v>83</v>
      </c>
      <c r="E776" s="20">
        <v>6</v>
      </c>
      <c r="F776" s="20">
        <v>12</v>
      </c>
      <c r="G776" s="18" t="s">
        <v>66</v>
      </c>
      <c r="H776" s="32"/>
      <c r="I776" s="50"/>
      <c r="L776" s="176"/>
      <c r="M776" s="170"/>
      <c r="N776" s="18" t="s">
        <v>83</v>
      </c>
      <c r="O776" s="20">
        <v>6</v>
      </c>
      <c r="P776" s="20">
        <v>12</v>
      </c>
      <c r="Q776" s="18" t="s">
        <v>66</v>
      </c>
      <c r="R776" s="32"/>
      <c r="S776" s="50"/>
    </row>
    <row r="777" spans="2:19" x14ac:dyDescent="0.25">
      <c r="B777" s="180" t="s">
        <v>3</v>
      </c>
      <c r="C777" s="177" t="s">
        <v>77</v>
      </c>
      <c r="D777" s="21" t="s">
        <v>2</v>
      </c>
      <c r="E777" s="22">
        <v>1</v>
      </c>
      <c r="F777" s="22">
        <v>13</v>
      </c>
      <c r="G777" s="21" t="s">
        <v>78</v>
      </c>
      <c r="H777" s="159" t="s">
        <v>385</v>
      </c>
      <c r="I777" s="162" t="s">
        <v>225</v>
      </c>
      <c r="L777" s="180" t="s">
        <v>3</v>
      </c>
      <c r="M777" s="177" t="s">
        <v>77</v>
      </c>
      <c r="N777" s="21" t="s">
        <v>2</v>
      </c>
      <c r="O777" s="22">
        <v>1</v>
      </c>
      <c r="P777" s="22">
        <v>13</v>
      </c>
      <c r="Q777" s="21" t="s">
        <v>78</v>
      </c>
      <c r="R777" s="159" t="s">
        <v>385</v>
      </c>
      <c r="S777" s="162" t="s">
        <v>227</v>
      </c>
    </row>
    <row r="778" spans="2:19" x14ac:dyDescent="0.25">
      <c r="B778" s="181"/>
      <c r="C778" s="178"/>
      <c r="D778" s="23" t="s">
        <v>3</v>
      </c>
      <c r="E778" s="24">
        <v>2</v>
      </c>
      <c r="F778" s="24">
        <v>14</v>
      </c>
      <c r="G778" s="23" t="s">
        <v>78</v>
      </c>
      <c r="H778" s="160"/>
      <c r="I778" s="163"/>
      <c r="L778" s="181"/>
      <c r="M778" s="178"/>
      <c r="N778" s="23" t="s">
        <v>3</v>
      </c>
      <c r="O778" s="24">
        <v>2</v>
      </c>
      <c r="P778" s="24">
        <v>14</v>
      </c>
      <c r="Q778" s="23" t="s">
        <v>78</v>
      </c>
      <c r="R778" s="160"/>
      <c r="S778" s="163"/>
    </row>
    <row r="779" spans="2:19" x14ac:dyDescent="0.25">
      <c r="B779" s="181"/>
      <c r="C779" s="178"/>
      <c r="D779" s="23" t="s">
        <v>80</v>
      </c>
      <c r="E779" s="24">
        <v>3</v>
      </c>
      <c r="F779" s="24">
        <v>15</v>
      </c>
      <c r="G779" s="23" t="s">
        <v>66</v>
      </c>
      <c r="H779" s="160"/>
      <c r="I779" s="163"/>
      <c r="L779" s="181"/>
      <c r="M779" s="178"/>
      <c r="N779" s="23" t="s">
        <v>80</v>
      </c>
      <c r="O779" s="24">
        <v>3</v>
      </c>
      <c r="P779" s="24">
        <v>15</v>
      </c>
      <c r="Q779" s="23" t="s">
        <v>66</v>
      </c>
      <c r="R779" s="160"/>
      <c r="S779" s="163"/>
    </row>
    <row r="780" spans="2:19" x14ac:dyDescent="0.25">
      <c r="B780" s="181"/>
      <c r="C780" s="178"/>
      <c r="D780" s="23" t="s">
        <v>81</v>
      </c>
      <c r="E780" s="24">
        <v>4</v>
      </c>
      <c r="F780" s="24">
        <v>16</v>
      </c>
      <c r="G780" s="23" t="s">
        <v>66</v>
      </c>
      <c r="H780" s="160"/>
      <c r="I780" s="163"/>
      <c r="L780" s="181"/>
      <c r="M780" s="178"/>
      <c r="N780" s="23" t="s">
        <v>81</v>
      </c>
      <c r="O780" s="24">
        <v>4</v>
      </c>
      <c r="P780" s="24">
        <v>16</v>
      </c>
      <c r="Q780" s="23" t="s">
        <v>66</v>
      </c>
      <c r="R780" s="160"/>
      <c r="S780" s="163"/>
    </row>
    <row r="781" spans="2:19" x14ac:dyDescent="0.25">
      <c r="B781" s="181"/>
      <c r="C781" s="178"/>
      <c r="D781" s="23" t="s">
        <v>82</v>
      </c>
      <c r="E781" s="24">
        <v>5</v>
      </c>
      <c r="F781" s="24">
        <v>17</v>
      </c>
      <c r="G781" s="23" t="s">
        <v>66</v>
      </c>
      <c r="H781" s="160"/>
      <c r="I781" s="163"/>
      <c r="L781" s="181"/>
      <c r="M781" s="178"/>
      <c r="N781" s="23" t="s">
        <v>82</v>
      </c>
      <c r="O781" s="24">
        <v>5</v>
      </c>
      <c r="P781" s="24">
        <v>17</v>
      </c>
      <c r="Q781" s="23" t="s">
        <v>66</v>
      </c>
      <c r="R781" s="160"/>
      <c r="S781" s="163"/>
    </row>
    <row r="782" spans="2:19" ht="15.75" thickBot="1" x14ac:dyDescent="0.3">
      <c r="B782" s="181"/>
      <c r="C782" s="179"/>
      <c r="D782" s="23" t="s">
        <v>83</v>
      </c>
      <c r="E782" s="24">
        <v>6</v>
      </c>
      <c r="F782" s="24">
        <v>18</v>
      </c>
      <c r="G782" s="23" t="s">
        <v>66</v>
      </c>
      <c r="H782" s="161"/>
      <c r="I782" s="164"/>
      <c r="L782" s="181"/>
      <c r="M782" s="179"/>
      <c r="N782" s="23" t="s">
        <v>83</v>
      </c>
      <c r="O782" s="24">
        <v>6</v>
      </c>
      <c r="P782" s="24">
        <v>18</v>
      </c>
      <c r="Q782" s="23" t="s">
        <v>66</v>
      </c>
      <c r="R782" s="161"/>
      <c r="S782" s="164"/>
    </row>
    <row r="783" spans="2:19" x14ac:dyDescent="0.25">
      <c r="B783" s="181"/>
      <c r="C783" s="177" t="s">
        <v>84</v>
      </c>
      <c r="D783" s="23" t="s">
        <v>2</v>
      </c>
      <c r="E783" s="24">
        <v>1</v>
      </c>
      <c r="F783" s="24">
        <v>19</v>
      </c>
      <c r="G783" s="23" t="s">
        <v>66</v>
      </c>
      <c r="H783" s="23"/>
      <c r="I783" s="47"/>
      <c r="L783" s="181"/>
      <c r="M783" s="177" t="s">
        <v>84</v>
      </c>
      <c r="N783" s="23" t="s">
        <v>2</v>
      </c>
      <c r="O783" s="24">
        <v>1</v>
      </c>
      <c r="P783" s="24">
        <v>19</v>
      </c>
      <c r="Q783" s="23" t="s">
        <v>66</v>
      </c>
      <c r="R783" s="23"/>
      <c r="S783" s="47"/>
    </row>
    <row r="784" spans="2:19" x14ac:dyDescent="0.25">
      <c r="B784" s="181"/>
      <c r="C784" s="178"/>
      <c r="D784" s="23" t="s">
        <v>3</v>
      </c>
      <c r="E784" s="24">
        <v>2</v>
      </c>
      <c r="F784" s="24">
        <v>20</v>
      </c>
      <c r="G784" s="23" t="s">
        <v>66</v>
      </c>
      <c r="H784" s="23"/>
      <c r="I784" s="47"/>
      <c r="L784" s="181"/>
      <c r="M784" s="178"/>
      <c r="N784" s="23" t="s">
        <v>3</v>
      </c>
      <c r="O784" s="24">
        <v>2</v>
      </c>
      <c r="P784" s="24">
        <v>20</v>
      </c>
      <c r="Q784" s="23" t="s">
        <v>66</v>
      </c>
      <c r="R784" s="23"/>
      <c r="S784" s="47"/>
    </row>
    <row r="785" spans="2:19" x14ac:dyDescent="0.25">
      <c r="B785" s="181"/>
      <c r="C785" s="178"/>
      <c r="D785" s="23" t="s">
        <v>80</v>
      </c>
      <c r="E785" s="26">
        <v>3</v>
      </c>
      <c r="F785" s="24">
        <v>21</v>
      </c>
      <c r="G785" s="23" t="s">
        <v>66</v>
      </c>
      <c r="H785" s="23"/>
      <c r="I785" s="47"/>
      <c r="L785" s="181"/>
      <c r="M785" s="178"/>
      <c r="N785" s="23" t="s">
        <v>80</v>
      </c>
      <c r="O785" s="26">
        <v>3</v>
      </c>
      <c r="P785" s="24">
        <v>21</v>
      </c>
      <c r="Q785" s="23" t="s">
        <v>66</v>
      </c>
      <c r="R785" s="23"/>
      <c r="S785" s="47"/>
    </row>
    <row r="786" spans="2:19" x14ac:dyDescent="0.25">
      <c r="B786" s="181"/>
      <c r="C786" s="178"/>
      <c r="D786" s="23" t="s">
        <v>81</v>
      </c>
      <c r="E786" s="24">
        <v>4</v>
      </c>
      <c r="F786" s="24">
        <v>22</v>
      </c>
      <c r="G786" s="23" t="s">
        <v>66</v>
      </c>
      <c r="H786" s="23"/>
      <c r="I786" s="47"/>
      <c r="L786" s="181"/>
      <c r="M786" s="178"/>
      <c r="N786" s="23" t="s">
        <v>81</v>
      </c>
      <c r="O786" s="24">
        <v>4</v>
      </c>
      <c r="P786" s="24">
        <v>22</v>
      </c>
      <c r="Q786" s="23" t="s">
        <v>66</v>
      </c>
      <c r="R786" s="23"/>
      <c r="S786" s="47"/>
    </row>
    <row r="787" spans="2:19" x14ac:dyDescent="0.25">
      <c r="B787" s="181"/>
      <c r="C787" s="178"/>
      <c r="D787" s="23" t="s">
        <v>82</v>
      </c>
      <c r="E787" s="24">
        <v>5</v>
      </c>
      <c r="F787" s="24">
        <v>23</v>
      </c>
      <c r="G787" s="23" t="s">
        <v>66</v>
      </c>
      <c r="H787" s="23"/>
      <c r="I787" s="47"/>
      <c r="L787" s="181"/>
      <c r="M787" s="178"/>
      <c r="N787" s="23" t="s">
        <v>82</v>
      </c>
      <c r="O787" s="24">
        <v>5</v>
      </c>
      <c r="P787" s="24">
        <v>23</v>
      </c>
      <c r="Q787" s="23" t="s">
        <v>66</v>
      </c>
      <c r="R787" s="23"/>
      <c r="S787" s="47"/>
    </row>
    <row r="788" spans="2:19" ht="15.75" thickBot="1" x14ac:dyDescent="0.3">
      <c r="B788" s="182"/>
      <c r="C788" s="179"/>
      <c r="D788" s="23" t="s">
        <v>83</v>
      </c>
      <c r="E788" s="24">
        <v>6</v>
      </c>
      <c r="F788" s="24">
        <v>24</v>
      </c>
      <c r="G788" s="23" t="s">
        <v>66</v>
      </c>
      <c r="H788" s="23"/>
      <c r="I788" s="47"/>
      <c r="L788" s="182"/>
      <c r="M788" s="179"/>
      <c r="N788" s="23" t="s">
        <v>83</v>
      </c>
      <c r="O788" s="24">
        <v>6</v>
      </c>
      <c r="P788" s="24">
        <v>24</v>
      </c>
      <c r="Q788" s="23" t="s">
        <v>66</v>
      </c>
      <c r="R788" s="23"/>
      <c r="S788" s="47"/>
    </row>
    <row r="789" spans="2:19" x14ac:dyDescent="0.25">
      <c r="B789" s="189" t="s">
        <v>80</v>
      </c>
      <c r="C789" s="192" t="s">
        <v>77</v>
      </c>
      <c r="D789" s="27" t="s">
        <v>2</v>
      </c>
      <c r="E789" s="28">
        <v>1</v>
      </c>
      <c r="F789" s="28">
        <v>25</v>
      </c>
      <c r="G789" s="27" t="s">
        <v>66</v>
      </c>
      <c r="H789" s="27"/>
      <c r="I789" s="48"/>
      <c r="L789" s="189" t="s">
        <v>80</v>
      </c>
      <c r="M789" s="192" t="s">
        <v>77</v>
      </c>
      <c r="N789" s="27" t="s">
        <v>2</v>
      </c>
      <c r="O789" s="28">
        <v>1</v>
      </c>
      <c r="P789" s="28">
        <v>25</v>
      </c>
      <c r="Q789" s="27" t="s">
        <v>66</v>
      </c>
      <c r="R789" s="27"/>
      <c r="S789" s="48"/>
    </row>
    <row r="790" spans="2:19" x14ac:dyDescent="0.25">
      <c r="B790" s="190"/>
      <c r="C790" s="193"/>
      <c r="D790" s="27" t="s">
        <v>3</v>
      </c>
      <c r="E790" s="28">
        <v>2</v>
      </c>
      <c r="F790" s="28">
        <v>26</v>
      </c>
      <c r="G790" s="27" t="s">
        <v>66</v>
      </c>
      <c r="H790" s="27"/>
      <c r="I790" s="48"/>
      <c r="L790" s="190"/>
      <c r="M790" s="193"/>
      <c r="N790" s="27" t="s">
        <v>3</v>
      </c>
      <c r="O790" s="28">
        <v>2</v>
      </c>
      <c r="P790" s="28">
        <v>26</v>
      </c>
      <c r="Q790" s="27" t="s">
        <v>66</v>
      </c>
      <c r="R790" s="27"/>
      <c r="S790" s="48"/>
    </row>
    <row r="791" spans="2:19" x14ac:dyDescent="0.25">
      <c r="B791" s="190"/>
      <c r="C791" s="193"/>
      <c r="D791" s="27" t="s">
        <v>80</v>
      </c>
      <c r="E791" s="28">
        <v>3</v>
      </c>
      <c r="F791" s="28">
        <v>27</v>
      </c>
      <c r="G791" s="27" t="s">
        <v>66</v>
      </c>
      <c r="H791" s="27"/>
      <c r="I791" s="48"/>
      <c r="L791" s="190"/>
      <c r="M791" s="193"/>
      <c r="N791" s="27" t="s">
        <v>80</v>
      </c>
      <c r="O791" s="28">
        <v>3</v>
      </c>
      <c r="P791" s="28">
        <v>27</v>
      </c>
      <c r="Q791" s="27" t="s">
        <v>66</v>
      </c>
      <c r="R791" s="27"/>
      <c r="S791" s="48"/>
    </row>
    <row r="792" spans="2:19" x14ac:dyDescent="0.25">
      <c r="B792" s="190"/>
      <c r="C792" s="193"/>
      <c r="D792" s="27" t="s">
        <v>81</v>
      </c>
      <c r="E792" s="28">
        <v>4</v>
      </c>
      <c r="F792" s="28">
        <v>28</v>
      </c>
      <c r="G792" s="27" t="s">
        <v>66</v>
      </c>
      <c r="H792" s="27"/>
      <c r="I792" s="48"/>
      <c r="L792" s="190"/>
      <c r="M792" s="193"/>
      <c r="N792" s="27" t="s">
        <v>81</v>
      </c>
      <c r="O792" s="28">
        <v>4</v>
      </c>
      <c r="P792" s="28">
        <v>28</v>
      </c>
      <c r="Q792" s="27" t="s">
        <v>66</v>
      </c>
      <c r="R792" s="27"/>
      <c r="S792" s="48"/>
    </row>
    <row r="793" spans="2:19" x14ac:dyDescent="0.25">
      <c r="B793" s="190"/>
      <c r="C793" s="193"/>
      <c r="D793" s="27" t="s">
        <v>82</v>
      </c>
      <c r="E793" s="28">
        <v>5</v>
      </c>
      <c r="F793" s="28">
        <v>29</v>
      </c>
      <c r="G793" s="27" t="s">
        <v>66</v>
      </c>
      <c r="H793" s="27"/>
      <c r="I793" s="48"/>
      <c r="L793" s="190"/>
      <c r="M793" s="193"/>
      <c r="N793" s="27" t="s">
        <v>82</v>
      </c>
      <c r="O793" s="28">
        <v>5</v>
      </c>
      <c r="P793" s="28">
        <v>29</v>
      </c>
      <c r="Q793" s="27" t="s">
        <v>66</v>
      </c>
      <c r="R793" s="27"/>
      <c r="S793" s="48"/>
    </row>
    <row r="794" spans="2:19" ht="15.75" thickBot="1" x14ac:dyDescent="0.3">
      <c r="B794" s="190"/>
      <c r="C794" s="194"/>
      <c r="D794" s="27" t="s">
        <v>83</v>
      </c>
      <c r="E794" s="28">
        <v>6</v>
      </c>
      <c r="F794" s="28">
        <v>30</v>
      </c>
      <c r="G794" s="27" t="s">
        <v>66</v>
      </c>
      <c r="H794" s="27"/>
      <c r="I794" s="48"/>
      <c r="L794" s="190"/>
      <c r="M794" s="194"/>
      <c r="N794" s="27" t="s">
        <v>83</v>
      </c>
      <c r="O794" s="28">
        <v>6</v>
      </c>
      <c r="P794" s="28">
        <v>30</v>
      </c>
      <c r="Q794" s="27" t="s">
        <v>66</v>
      </c>
      <c r="R794" s="27"/>
      <c r="S794" s="48"/>
    </row>
    <row r="795" spans="2:19" x14ac:dyDescent="0.25">
      <c r="B795" s="190"/>
      <c r="C795" s="192" t="s">
        <v>84</v>
      </c>
      <c r="D795" s="27" t="s">
        <v>2</v>
      </c>
      <c r="E795" s="28">
        <v>1</v>
      </c>
      <c r="F795" s="28">
        <v>31</v>
      </c>
      <c r="G795" s="27" t="s">
        <v>66</v>
      </c>
      <c r="H795" s="27"/>
      <c r="I795" s="48"/>
      <c r="L795" s="190"/>
      <c r="M795" s="192" t="s">
        <v>84</v>
      </c>
      <c r="N795" s="27" t="s">
        <v>2</v>
      </c>
      <c r="O795" s="28">
        <v>1</v>
      </c>
      <c r="P795" s="28">
        <v>31</v>
      </c>
      <c r="Q795" s="27" t="s">
        <v>66</v>
      </c>
      <c r="R795" s="27"/>
      <c r="S795" s="48"/>
    </row>
    <row r="796" spans="2:19" x14ac:dyDescent="0.25">
      <c r="B796" s="190"/>
      <c r="C796" s="193"/>
      <c r="D796" s="27" t="s">
        <v>3</v>
      </c>
      <c r="E796" s="28">
        <v>2</v>
      </c>
      <c r="F796" s="28">
        <v>32</v>
      </c>
      <c r="G796" s="27" t="s">
        <v>66</v>
      </c>
      <c r="H796" s="27"/>
      <c r="I796" s="48"/>
      <c r="L796" s="190"/>
      <c r="M796" s="193"/>
      <c r="N796" s="27" t="s">
        <v>3</v>
      </c>
      <c r="O796" s="28">
        <v>2</v>
      </c>
      <c r="P796" s="28">
        <v>32</v>
      </c>
      <c r="Q796" s="27" t="s">
        <v>66</v>
      </c>
      <c r="R796" s="27"/>
      <c r="S796" s="48"/>
    </row>
    <row r="797" spans="2:19" x14ac:dyDescent="0.25">
      <c r="B797" s="190"/>
      <c r="C797" s="193"/>
      <c r="D797" s="27" t="s">
        <v>80</v>
      </c>
      <c r="E797" s="28">
        <v>3</v>
      </c>
      <c r="F797" s="28">
        <v>33</v>
      </c>
      <c r="G797" s="27" t="s">
        <v>66</v>
      </c>
      <c r="H797" s="27"/>
      <c r="I797" s="48"/>
      <c r="L797" s="190"/>
      <c r="M797" s="193"/>
      <c r="N797" s="27" t="s">
        <v>80</v>
      </c>
      <c r="O797" s="28">
        <v>3</v>
      </c>
      <c r="P797" s="28">
        <v>33</v>
      </c>
      <c r="Q797" s="27" t="s">
        <v>66</v>
      </c>
      <c r="R797" s="27"/>
      <c r="S797" s="48"/>
    </row>
    <row r="798" spans="2:19" x14ac:dyDescent="0.25">
      <c r="B798" s="190"/>
      <c r="C798" s="193"/>
      <c r="D798" s="27" t="s">
        <v>81</v>
      </c>
      <c r="E798" s="28">
        <v>4</v>
      </c>
      <c r="F798" s="28">
        <v>34</v>
      </c>
      <c r="G798" s="27" t="s">
        <v>66</v>
      </c>
      <c r="H798" s="27"/>
      <c r="I798" s="48"/>
      <c r="L798" s="190"/>
      <c r="M798" s="193"/>
      <c r="N798" s="27" t="s">
        <v>81</v>
      </c>
      <c r="O798" s="28">
        <v>4</v>
      </c>
      <c r="P798" s="28">
        <v>34</v>
      </c>
      <c r="Q798" s="27" t="s">
        <v>66</v>
      </c>
      <c r="R798" s="27"/>
      <c r="S798" s="48"/>
    </row>
    <row r="799" spans="2:19" x14ac:dyDescent="0.25">
      <c r="B799" s="190"/>
      <c r="C799" s="193"/>
      <c r="D799" s="27" t="s">
        <v>82</v>
      </c>
      <c r="E799" s="28">
        <v>5</v>
      </c>
      <c r="F799" s="28">
        <v>35</v>
      </c>
      <c r="G799" s="27" t="s">
        <v>66</v>
      </c>
      <c r="H799" s="27"/>
      <c r="I799" s="48"/>
      <c r="L799" s="190"/>
      <c r="M799" s="193"/>
      <c r="N799" s="27" t="s">
        <v>82</v>
      </c>
      <c r="O799" s="28">
        <v>5</v>
      </c>
      <c r="P799" s="28">
        <v>35</v>
      </c>
      <c r="Q799" s="27" t="s">
        <v>66</v>
      </c>
      <c r="R799" s="27"/>
      <c r="S799" s="48"/>
    </row>
    <row r="800" spans="2:19" ht="15.75" thickBot="1" x14ac:dyDescent="0.3">
      <c r="B800" s="191"/>
      <c r="C800" s="194"/>
      <c r="D800" s="27" t="s">
        <v>83</v>
      </c>
      <c r="E800" s="28">
        <v>6</v>
      </c>
      <c r="F800" s="28">
        <v>36</v>
      </c>
      <c r="G800" s="27" t="s">
        <v>66</v>
      </c>
      <c r="H800" s="27"/>
      <c r="I800" s="48"/>
      <c r="L800" s="191"/>
      <c r="M800" s="194"/>
      <c r="N800" s="27" t="s">
        <v>83</v>
      </c>
      <c r="O800" s="28">
        <v>6</v>
      </c>
      <c r="P800" s="28">
        <v>36</v>
      </c>
      <c r="Q800" s="27" t="s">
        <v>66</v>
      </c>
      <c r="R800" s="27"/>
      <c r="S800" s="48"/>
    </row>
    <row r="801" spans="2:19" x14ac:dyDescent="0.25">
      <c r="B801" s="183" t="s">
        <v>81</v>
      </c>
      <c r="C801" s="186" t="s">
        <v>77</v>
      </c>
      <c r="D801" s="29" t="s">
        <v>2</v>
      </c>
      <c r="E801" s="30">
        <v>1</v>
      </c>
      <c r="F801" s="30">
        <v>37</v>
      </c>
      <c r="G801" s="29" t="s">
        <v>66</v>
      </c>
      <c r="H801" s="29"/>
      <c r="I801" s="49"/>
      <c r="L801" s="183" t="s">
        <v>81</v>
      </c>
      <c r="M801" s="186" t="s">
        <v>77</v>
      </c>
      <c r="N801" s="29" t="s">
        <v>2</v>
      </c>
      <c r="O801" s="30">
        <v>1</v>
      </c>
      <c r="P801" s="30">
        <v>37</v>
      </c>
      <c r="Q801" s="29" t="s">
        <v>66</v>
      </c>
      <c r="R801" s="29"/>
      <c r="S801" s="49"/>
    </row>
    <row r="802" spans="2:19" x14ac:dyDescent="0.25">
      <c r="B802" s="184"/>
      <c r="C802" s="187"/>
      <c r="D802" s="29" t="s">
        <v>3</v>
      </c>
      <c r="E802" s="30">
        <v>2</v>
      </c>
      <c r="F802" s="30">
        <v>38</v>
      </c>
      <c r="G802" s="29" t="s">
        <v>66</v>
      </c>
      <c r="H802" s="29"/>
      <c r="I802" s="49"/>
      <c r="L802" s="184"/>
      <c r="M802" s="187"/>
      <c r="N802" s="29" t="s">
        <v>3</v>
      </c>
      <c r="O802" s="30">
        <v>2</v>
      </c>
      <c r="P802" s="30">
        <v>38</v>
      </c>
      <c r="Q802" s="29" t="s">
        <v>66</v>
      </c>
      <c r="R802" s="29"/>
      <c r="S802" s="49"/>
    </row>
    <row r="803" spans="2:19" x14ac:dyDescent="0.25">
      <c r="B803" s="184"/>
      <c r="C803" s="187"/>
      <c r="D803" s="29" t="s">
        <v>80</v>
      </c>
      <c r="E803" s="30">
        <v>3</v>
      </c>
      <c r="F803" s="30">
        <v>39</v>
      </c>
      <c r="G803" s="29" t="s">
        <v>66</v>
      </c>
      <c r="H803" s="29"/>
      <c r="I803" s="49"/>
      <c r="L803" s="184"/>
      <c r="M803" s="187"/>
      <c r="N803" s="29" t="s">
        <v>80</v>
      </c>
      <c r="O803" s="30">
        <v>3</v>
      </c>
      <c r="P803" s="30">
        <v>39</v>
      </c>
      <c r="Q803" s="29" t="s">
        <v>66</v>
      </c>
      <c r="R803" s="29"/>
      <c r="S803" s="49"/>
    </row>
    <row r="804" spans="2:19" x14ac:dyDescent="0.25">
      <c r="B804" s="184"/>
      <c r="C804" s="187"/>
      <c r="D804" s="29" t="s">
        <v>81</v>
      </c>
      <c r="E804" s="30">
        <v>4</v>
      </c>
      <c r="F804" s="30">
        <v>40</v>
      </c>
      <c r="G804" s="29" t="s">
        <v>66</v>
      </c>
      <c r="H804" s="29"/>
      <c r="I804" s="49"/>
      <c r="L804" s="184"/>
      <c r="M804" s="187"/>
      <c r="N804" s="29" t="s">
        <v>81</v>
      </c>
      <c r="O804" s="30">
        <v>4</v>
      </c>
      <c r="P804" s="30">
        <v>40</v>
      </c>
      <c r="Q804" s="29" t="s">
        <v>66</v>
      </c>
      <c r="R804" s="29"/>
      <c r="S804" s="49"/>
    </row>
    <row r="805" spans="2:19" x14ac:dyDescent="0.25">
      <c r="B805" s="184"/>
      <c r="C805" s="187"/>
      <c r="D805" s="29" t="s">
        <v>82</v>
      </c>
      <c r="E805" s="30">
        <v>5</v>
      </c>
      <c r="F805" s="30">
        <v>41</v>
      </c>
      <c r="G805" s="29" t="s">
        <v>66</v>
      </c>
      <c r="H805" s="29"/>
      <c r="I805" s="49"/>
      <c r="L805" s="184"/>
      <c r="M805" s="187"/>
      <c r="N805" s="29" t="s">
        <v>82</v>
      </c>
      <c r="O805" s="30">
        <v>5</v>
      </c>
      <c r="P805" s="30">
        <v>41</v>
      </c>
      <c r="Q805" s="29" t="s">
        <v>66</v>
      </c>
      <c r="R805" s="29"/>
      <c r="S805" s="49"/>
    </row>
    <row r="806" spans="2:19" ht="15.75" thickBot="1" x14ac:dyDescent="0.3">
      <c r="B806" s="184"/>
      <c r="C806" s="188"/>
      <c r="D806" s="29" t="s">
        <v>83</v>
      </c>
      <c r="E806" s="30">
        <v>6</v>
      </c>
      <c r="F806" s="30">
        <v>42</v>
      </c>
      <c r="G806" s="29" t="s">
        <v>66</v>
      </c>
      <c r="H806" s="29"/>
      <c r="I806" s="49"/>
      <c r="L806" s="184"/>
      <c r="M806" s="188"/>
      <c r="N806" s="29" t="s">
        <v>83</v>
      </c>
      <c r="O806" s="30">
        <v>6</v>
      </c>
      <c r="P806" s="30">
        <v>42</v>
      </c>
      <c r="Q806" s="29" t="s">
        <v>66</v>
      </c>
      <c r="R806" s="29"/>
      <c r="S806" s="49"/>
    </row>
    <row r="807" spans="2:19" x14ac:dyDescent="0.25">
      <c r="B807" s="184"/>
      <c r="C807" s="186" t="s">
        <v>84</v>
      </c>
      <c r="D807" s="29" t="s">
        <v>2</v>
      </c>
      <c r="E807" s="30">
        <v>1</v>
      </c>
      <c r="F807" s="30">
        <v>43</v>
      </c>
      <c r="G807" s="29" t="s">
        <v>66</v>
      </c>
      <c r="H807" s="29"/>
      <c r="I807" s="49"/>
      <c r="L807" s="184"/>
      <c r="M807" s="186" t="s">
        <v>84</v>
      </c>
      <c r="N807" s="29" t="s">
        <v>2</v>
      </c>
      <c r="O807" s="30">
        <v>1</v>
      </c>
      <c r="P807" s="30">
        <v>43</v>
      </c>
      <c r="Q807" s="29" t="s">
        <v>66</v>
      </c>
      <c r="R807" s="29"/>
      <c r="S807" s="49"/>
    </row>
    <row r="808" spans="2:19" x14ac:dyDescent="0.25">
      <c r="B808" s="184"/>
      <c r="C808" s="187"/>
      <c r="D808" s="29" t="s">
        <v>3</v>
      </c>
      <c r="E808" s="30">
        <v>2</v>
      </c>
      <c r="F808" s="30">
        <v>44</v>
      </c>
      <c r="G808" s="29" t="s">
        <v>66</v>
      </c>
      <c r="H808" s="29"/>
      <c r="I808" s="49"/>
      <c r="L808" s="184"/>
      <c r="M808" s="187"/>
      <c r="N808" s="29" t="s">
        <v>3</v>
      </c>
      <c r="O808" s="30">
        <v>2</v>
      </c>
      <c r="P808" s="30">
        <v>44</v>
      </c>
      <c r="Q808" s="29" t="s">
        <v>66</v>
      </c>
      <c r="R808" s="29"/>
      <c r="S808" s="49"/>
    </row>
    <row r="809" spans="2:19" x14ac:dyDescent="0.25">
      <c r="B809" s="184"/>
      <c r="C809" s="187"/>
      <c r="D809" s="29" t="s">
        <v>80</v>
      </c>
      <c r="E809" s="30">
        <v>3</v>
      </c>
      <c r="F809" s="30">
        <v>45</v>
      </c>
      <c r="G809" s="29" t="s">
        <v>66</v>
      </c>
      <c r="H809" s="29"/>
      <c r="I809" s="49"/>
      <c r="L809" s="184"/>
      <c r="M809" s="187"/>
      <c r="N809" s="29" t="s">
        <v>80</v>
      </c>
      <c r="O809" s="30">
        <v>3</v>
      </c>
      <c r="P809" s="30">
        <v>45</v>
      </c>
      <c r="Q809" s="29" t="s">
        <v>66</v>
      </c>
      <c r="R809" s="29"/>
      <c r="S809" s="49"/>
    </row>
    <row r="810" spans="2:19" x14ac:dyDescent="0.25">
      <c r="B810" s="184"/>
      <c r="C810" s="187"/>
      <c r="D810" s="29" t="s">
        <v>81</v>
      </c>
      <c r="E810" s="30">
        <v>4</v>
      </c>
      <c r="F810" s="30">
        <v>46</v>
      </c>
      <c r="G810" s="29" t="s">
        <v>66</v>
      </c>
      <c r="H810" s="29"/>
      <c r="I810" s="49"/>
      <c r="L810" s="184"/>
      <c r="M810" s="187"/>
      <c r="N810" s="29" t="s">
        <v>81</v>
      </c>
      <c r="O810" s="30">
        <v>4</v>
      </c>
      <c r="P810" s="30">
        <v>46</v>
      </c>
      <c r="Q810" s="29" t="s">
        <v>66</v>
      </c>
      <c r="R810" s="29"/>
      <c r="S810" s="49"/>
    </row>
    <row r="811" spans="2:19" x14ac:dyDescent="0.25">
      <c r="B811" s="184"/>
      <c r="C811" s="187"/>
      <c r="D811" s="29" t="s">
        <v>82</v>
      </c>
      <c r="E811" s="30">
        <v>5</v>
      </c>
      <c r="F811" s="30">
        <v>47</v>
      </c>
      <c r="G811" s="29" t="s">
        <v>66</v>
      </c>
      <c r="H811" s="29"/>
      <c r="I811" s="49"/>
      <c r="L811" s="184"/>
      <c r="M811" s="187"/>
      <c r="N811" s="29" t="s">
        <v>82</v>
      </c>
      <c r="O811" s="30">
        <v>5</v>
      </c>
      <c r="P811" s="30">
        <v>47</v>
      </c>
      <c r="Q811" s="29" t="s">
        <v>66</v>
      </c>
      <c r="R811" s="29"/>
      <c r="S811" s="49"/>
    </row>
    <row r="812" spans="2:19" ht="15.75" thickBot="1" x14ac:dyDescent="0.3">
      <c r="B812" s="185"/>
      <c r="C812" s="188"/>
      <c r="D812" s="29" t="s">
        <v>83</v>
      </c>
      <c r="E812" s="30">
        <v>6</v>
      </c>
      <c r="F812" s="30">
        <v>48</v>
      </c>
      <c r="G812" s="29" t="s">
        <v>66</v>
      </c>
      <c r="H812" s="29"/>
      <c r="I812" s="49"/>
      <c r="L812" s="185"/>
      <c r="M812" s="188"/>
      <c r="N812" s="29" t="s">
        <v>83</v>
      </c>
      <c r="O812" s="30">
        <v>6</v>
      </c>
      <c r="P812" s="30">
        <v>48</v>
      </c>
      <c r="Q812" s="29" t="s">
        <v>66</v>
      </c>
      <c r="R812" s="29"/>
      <c r="S812" s="49"/>
    </row>
    <row r="813" spans="2:19" ht="15.75" thickBot="1" x14ac:dyDescent="0.3"/>
    <row r="814" spans="2:19" ht="15.75" thickBot="1" x14ac:dyDescent="0.3">
      <c r="B814" s="171" t="s">
        <v>414</v>
      </c>
      <c r="C814" s="172"/>
      <c r="D814" s="172"/>
      <c r="E814" s="172"/>
      <c r="F814" s="172"/>
      <c r="G814" s="172"/>
      <c r="H814" s="172"/>
      <c r="I814" s="173"/>
      <c r="L814" s="171" t="s">
        <v>415</v>
      </c>
      <c r="M814" s="172"/>
      <c r="N814" s="172"/>
      <c r="O814" s="172"/>
      <c r="P814" s="172"/>
      <c r="Q814" s="172"/>
      <c r="R814" s="172"/>
      <c r="S814" s="173"/>
    </row>
    <row r="816" spans="2:19" ht="26.25" thickBot="1" x14ac:dyDescent="0.3">
      <c r="B816" s="15" t="s">
        <v>70</v>
      </c>
      <c r="C816" s="16" t="s">
        <v>71</v>
      </c>
      <c r="D816" s="15" t="s">
        <v>72</v>
      </c>
      <c r="E816" s="17" t="s">
        <v>73</v>
      </c>
      <c r="F816" s="17" t="s">
        <v>74</v>
      </c>
      <c r="G816" s="15" t="s">
        <v>75</v>
      </c>
      <c r="H816" s="15" t="s">
        <v>55</v>
      </c>
      <c r="I816" s="15" t="s">
        <v>76</v>
      </c>
      <c r="L816" s="15" t="s">
        <v>70</v>
      </c>
      <c r="M816" s="16" t="s">
        <v>71</v>
      </c>
      <c r="N816" s="15" t="s">
        <v>72</v>
      </c>
      <c r="O816" s="17" t="s">
        <v>73</v>
      </c>
      <c r="P816" s="17" t="s">
        <v>74</v>
      </c>
      <c r="Q816" s="15" t="s">
        <v>75</v>
      </c>
      <c r="R816" s="15" t="s">
        <v>55</v>
      </c>
      <c r="S816" s="15" t="s">
        <v>76</v>
      </c>
    </row>
    <row r="817" spans="2:19" ht="15" customHeight="1" x14ac:dyDescent="0.25">
      <c r="B817" s="174" t="s">
        <v>2</v>
      </c>
      <c r="C817" s="168" t="s">
        <v>77</v>
      </c>
      <c r="D817" s="18" t="s">
        <v>2</v>
      </c>
      <c r="E817" s="19">
        <v>1</v>
      </c>
      <c r="F817" s="19">
        <v>1</v>
      </c>
      <c r="G817" s="18" t="s">
        <v>66</v>
      </c>
      <c r="H817" s="32"/>
      <c r="I817" s="50"/>
      <c r="L817" s="174" t="s">
        <v>2</v>
      </c>
      <c r="M817" s="168" t="s">
        <v>77</v>
      </c>
      <c r="N817" s="18" t="s">
        <v>2</v>
      </c>
      <c r="O817" s="19">
        <v>1</v>
      </c>
      <c r="P817" s="19">
        <v>1</v>
      </c>
      <c r="Q817" s="18" t="s">
        <v>66</v>
      </c>
      <c r="R817" s="32"/>
      <c r="S817" s="50"/>
    </row>
    <row r="818" spans="2:19" x14ac:dyDescent="0.25">
      <c r="B818" s="175"/>
      <c r="C818" s="169"/>
      <c r="D818" s="18" t="s">
        <v>3</v>
      </c>
      <c r="E818" s="19">
        <v>2</v>
      </c>
      <c r="F818" s="19">
        <v>2</v>
      </c>
      <c r="G818" s="18" t="s">
        <v>66</v>
      </c>
      <c r="H818" s="32"/>
      <c r="I818" s="50"/>
      <c r="L818" s="175"/>
      <c r="M818" s="169"/>
      <c r="N818" s="18" t="s">
        <v>3</v>
      </c>
      <c r="O818" s="19">
        <v>2</v>
      </c>
      <c r="P818" s="19">
        <v>2</v>
      </c>
      <c r="Q818" s="18" t="s">
        <v>66</v>
      </c>
      <c r="R818" s="32"/>
      <c r="S818" s="50"/>
    </row>
    <row r="819" spans="2:19" x14ac:dyDescent="0.25">
      <c r="B819" s="175"/>
      <c r="C819" s="169"/>
      <c r="D819" s="18" t="s">
        <v>80</v>
      </c>
      <c r="E819" s="20">
        <v>3</v>
      </c>
      <c r="F819" s="20">
        <v>3</v>
      </c>
      <c r="G819" s="18" t="s">
        <v>66</v>
      </c>
      <c r="H819" s="32"/>
      <c r="I819" s="50"/>
      <c r="L819" s="175"/>
      <c r="M819" s="169"/>
      <c r="N819" s="18" t="s">
        <v>80</v>
      </c>
      <c r="O819" s="20">
        <v>3</v>
      </c>
      <c r="P819" s="20">
        <v>3</v>
      </c>
      <c r="Q819" s="18" t="s">
        <v>66</v>
      </c>
      <c r="R819" s="32"/>
      <c r="S819" s="50"/>
    </row>
    <row r="820" spans="2:19" x14ac:dyDescent="0.25">
      <c r="B820" s="175"/>
      <c r="C820" s="169"/>
      <c r="D820" s="18" t="s">
        <v>81</v>
      </c>
      <c r="E820" s="20">
        <v>4</v>
      </c>
      <c r="F820" s="20">
        <v>4</v>
      </c>
      <c r="G820" s="18" t="s">
        <v>66</v>
      </c>
      <c r="H820" s="32"/>
      <c r="I820" s="50"/>
      <c r="L820" s="175"/>
      <c r="M820" s="169"/>
      <c r="N820" s="18" t="s">
        <v>81</v>
      </c>
      <c r="O820" s="20">
        <v>4</v>
      </c>
      <c r="P820" s="20">
        <v>4</v>
      </c>
      <c r="Q820" s="18" t="s">
        <v>66</v>
      </c>
      <c r="R820" s="32"/>
      <c r="S820" s="50"/>
    </row>
    <row r="821" spans="2:19" x14ac:dyDescent="0.25">
      <c r="B821" s="175"/>
      <c r="C821" s="169"/>
      <c r="D821" s="18" t="s">
        <v>82</v>
      </c>
      <c r="E821" s="20">
        <v>5</v>
      </c>
      <c r="F821" s="20">
        <v>5</v>
      </c>
      <c r="G821" s="18" t="s">
        <v>66</v>
      </c>
      <c r="H821" s="32"/>
      <c r="I821" s="50"/>
      <c r="L821" s="175"/>
      <c r="M821" s="169"/>
      <c r="N821" s="18" t="s">
        <v>82</v>
      </c>
      <c r="O821" s="20">
        <v>5</v>
      </c>
      <c r="P821" s="20">
        <v>5</v>
      </c>
      <c r="Q821" s="18" t="s">
        <v>66</v>
      </c>
      <c r="R821" s="32"/>
      <c r="S821" s="50"/>
    </row>
    <row r="822" spans="2:19" ht="15.75" thickBot="1" x14ac:dyDescent="0.3">
      <c r="B822" s="175"/>
      <c r="C822" s="170"/>
      <c r="D822" s="18" t="s">
        <v>83</v>
      </c>
      <c r="E822" s="20">
        <v>6</v>
      </c>
      <c r="F822" s="20">
        <v>6</v>
      </c>
      <c r="G822" s="18" t="s">
        <v>66</v>
      </c>
      <c r="H822" s="32"/>
      <c r="I822" s="50"/>
      <c r="L822" s="175"/>
      <c r="M822" s="170"/>
      <c r="N822" s="18" t="s">
        <v>83</v>
      </c>
      <c r="O822" s="20">
        <v>6</v>
      </c>
      <c r="P822" s="20">
        <v>6</v>
      </c>
      <c r="Q822" s="18" t="s">
        <v>66</v>
      </c>
      <c r="R822" s="32"/>
      <c r="S822" s="50"/>
    </row>
    <row r="823" spans="2:19" x14ac:dyDescent="0.25">
      <c r="B823" s="175"/>
      <c r="C823" s="168" t="s">
        <v>84</v>
      </c>
      <c r="D823" s="18" t="s">
        <v>2</v>
      </c>
      <c r="E823" s="19">
        <v>1</v>
      </c>
      <c r="F823" s="19">
        <v>7</v>
      </c>
      <c r="G823" s="18" t="s">
        <v>66</v>
      </c>
      <c r="H823" s="32"/>
      <c r="I823" s="50"/>
      <c r="L823" s="175"/>
      <c r="M823" s="168" t="s">
        <v>84</v>
      </c>
      <c r="N823" s="18" t="s">
        <v>2</v>
      </c>
      <c r="O823" s="19">
        <v>1</v>
      </c>
      <c r="P823" s="19">
        <v>7</v>
      </c>
      <c r="Q823" s="18" t="s">
        <v>66</v>
      </c>
      <c r="R823" s="32"/>
      <c r="S823" s="50"/>
    </row>
    <row r="824" spans="2:19" x14ac:dyDescent="0.25">
      <c r="B824" s="175"/>
      <c r="C824" s="169"/>
      <c r="D824" s="18" t="s">
        <v>3</v>
      </c>
      <c r="E824" s="19">
        <v>2</v>
      </c>
      <c r="F824" s="19">
        <v>8</v>
      </c>
      <c r="G824" s="18" t="s">
        <v>66</v>
      </c>
      <c r="H824" s="32"/>
      <c r="I824" s="50"/>
      <c r="L824" s="175"/>
      <c r="M824" s="169"/>
      <c r="N824" s="18" t="s">
        <v>3</v>
      </c>
      <c r="O824" s="19">
        <v>2</v>
      </c>
      <c r="P824" s="19">
        <v>8</v>
      </c>
      <c r="Q824" s="18" t="s">
        <v>66</v>
      </c>
      <c r="R824" s="32"/>
      <c r="S824" s="50"/>
    </row>
    <row r="825" spans="2:19" x14ac:dyDescent="0.25">
      <c r="B825" s="175"/>
      <c r="C825" s="169"/>
      <c r="D825" s="18" t="s">
        <v>80</v>
      </c>
      <c r="E825" s="20">
        <v>3</v>
      </c>
      <c r="F825" s="20">
        <v>9</v>
      </c>
      <c r="G825" s="18" t="s">
        <v>66</v>
      </c>
      <c r="H825" s="32"/>
      <c r="I825" s="50"/>
      <c r="L825" s="175"/>
      <c r="M825" s="169"/>
      <c r="N825" s="18" t="s">
        <v>80</v>
      </c>
      <c r="O825" s="20">
        <v>3</v>
      </c>
      <c r="P825" s="20">
        <v>9</v>
      </c>
      <c r="Q825" s="18" t="s">
        <v>66</v>
      </c>
      <c r="R825" s="32"/>
      <c r="S825" s="50"/>
    </row>
    <row r="826" spans="2:19" x14ac:dyDescent="0.25">
      <c r="B826" s="175"/>
      <c r="C826" s="169"/>
      <c r="D826" s="18" t="s">
        <v>81</v>
      </c>
      <c r="E826" s="20">
        <v>4</v>
      </c>
      <c r="F826" s="20">
        <v>10</v>
      </c>
      <c r="G826" s="18" t="s">
        <v>66</v>
      </c>
      <c r="H826" s="32"/>
      <c r="I826" s="50"/>
      <c r="L826" s="175"/>
      <c r="M826" s="169"/>
      <c r="N826" s="18" t="s">
        <v>81</v>
      </c>
      <c r="O826" s="20">
        <v>4</v>
      </c>
      <c r="P826" s="20">
        <v>10</v>
      </c>
      <c r="Q826" s="18" t="s">
        <v>66</v>
      </c>
      <c r="R826" s="32"/>
      <c r="S826" s="50"/>
    </row>
    <row r="827" spans="2:19" x14ac:dyDescent="0.25">
      <c r="B827" s="175"/>
      <c r="C827" s="169"/>
      <c r="D827" s="18" t="s">
        <v>82</v>
      </c>
      <c r="E827" s="20">
        <v>5</v>
      </c>
      <c r="F827" s="20">
        <v>11</v>
      </c>
      <c r="G827" s="18" t="s">
        <v>66</v>
      </c>
      <c r="H827" s="32"/>
      <c r="I827" s="50"/>
      <c r="L827" s="175"/>
      <c r="M827" s="169"/>
      <c r="N827" s="18" t="s">
        <v>82</v>
      </c>
      <c r="O827" s="20">
        <v>5</v>
      </c>
      <c r="P827" s="20">
        <v>11</v>
      </c>
      <c r="Q827" s="18" t="s">
        <v>66</v>
      </c>
      <c r="R827" s="32"/>
      <c r="S827" s="50"/>
    </row>
    <row r="828" spans="2:19" ht="15.75" thickBot="1" x14ac:dyDescent="0.3">
      <c r="B828" s="176"/>
      <c r="C828" s="170"/>
      <c r="D828" s="18" t="s">
        <v>83</v>
      </c>
      <c r="E828" s="20">
        <v>6</v>
      </c>
      <c r="F828" s="20">
        <v>12</v>
      </c>
      <c r="G828" s="18" t="s">
        <v>66</v>
      </c>
      <c r="H828" s="32"/>
      <c r="I828" s="50"/>
      <c r="L828" s="176"/>
      <c r="M828" s="170"/>
      <c r="N828" s="18" t="s">
        <v>83</v>
      </c>
      <c r="O828" s="20">
        <v>6</v>
      </c>
      <c r="P828" s="20">
        <v>12</v>
      </c>
      <c r="Q828" s="18" t="s">
        <v>66</v>
      </c>
      <c r="R828" s="32"/>
      <c r="S828" s="50"/>
    </row>
    <row r="829" spans="2:19" x14ac:dyDescent="0.25">
      <c r="B829" s="180" t="s">
        <v>3</v>
      </c>
      <c r="C829" s="177" t="s">
        <v>77</v>
      </c>
      <c r="D829" s="21" t="s">
        <v>2</v>
      </c>
      <c r="E829" s="22">
        <v>1</v>
      </c>
      <c r="F829" s="22">
        <v>13</v>
      </c>
      <c r="G829" s="21" t="s">
        <v>78</v>
      </c>
      <c r="H829" s="159" t="s">
        <v>385</v>
      </c>
      <c r="I829" s="162" t="s">
        <v>226</v>
      </c>
      <c r="L829" s="180" t="s">
        <v>3</v>
      </c>
      <c r="M829" s="177" t="s">
        <v>77</v>
      </c>
      <c r="N829" s="21" t="s">
        <v>2</v>
      </c>
      <c r="O829" s="22">
        <v>1</v>
      </c>
      <c r="P829" s="22">
        <v>13</v>
      </c>
      <c r="Q829" s="21" t="s">
        <v>78</v>
      </c>
      <c r="R829" s="159" t="s">
        <v>385</v>
      </c>
      <c r="S829" s="162" t="s">
        <v>219</v>
      </c>
    </row>
    <row r="830" spans="2:19" x14ac:dyDescent="0.25">
      <c r="B830" s="181"/>
      <c r="C830" s="178"/>
      <c r="D830" s="23" t="s">
        <v>3</v>
      </c>
      <c r="E830" s="24">
        <v>2</v>
      </c>
      <c r="F830" s="24">
        <v>14</v>
      </c>
      <c r="G830" s="23" t="s">
        <v>78</v>
      </c>
      <c r="H830" s="160"/>
      <c r="I830" s="163"/>
      <c r="L830" s="181"/>
      <c r="M830" s="178"/>
      <c r="N830" s="23" t="s">
        <v>3</v>
      </c>
      <c r="O830" s="24">
        <v>2</v>
      </c>
      <c r="P830" s="24">
        <v>14</v>
      </c>
      <c r="Q830" s="23" t="s">
        <v>78</v>
      </c>
      <c r="R830" s="160"/>
      <c r="S830" s="163"/>
    </row>
    <row r="831" spans="2:19" x14ac:dyDescent="0.25">
      <c r="B831" s="181"/>
      <c r="C831" s="178"/>
      <c r="D831" s="23" t="s">
        <v>80</v>
      </c>
      <c r="E831" s="24">
        <v>3</v>
      </c>
      <c r="F831" s="24">
        <v>15</v>
      </c>
      <c r="G831" s="23" t="s">
        <v>66</v>
      </c>
      <c r="H831" s="160"/>
      <c r="I831" s="163"/>
      <c r="L831" s="181"/>
      <c r="M831" s="178"/>
      <c r="N831" s="23" t="s">
        <v>80</v>
      </c>
      <c r="O831" s="24">
        <v>3</v>
      </c>
      <c r="P831" s="24">
        <v>15</v>
      </c>
      <c r="Q831" s="23" t="s">
        <v>66</v>
      </c>
      <c r="R831" s="160"/>
      <c r="S831" s="163"/>
    </row>
    <row r="832" spans="2:19" x14ac:dyDescent="0.25">
      <c r="B832" s="181"/>
      <c r="C832" s="178"/>
      <c r="D832" s="23" t="s">
        <v>81</v>
      </c>
      <c r="E832" s="24">
        <v>4</v>
      </c>
      <c r="F832" s="24">
        <v>16</v>
      </c>
      <c r="G832" s="23" t="s">
        <v>66</v>
      </c>
      <c r="H832" s="160"/>
      <c r="I832" s="163"/>
      <c r="L832" s="181"/>
      <c r="M832" s="178"/>
      <c r="N832" s="23" t="s">
        <v>81</v>
      </c>
      <c r="O832" s="24">
        <v>4</v>
      </c>
      <c r="P832" s="24">
        <v>16</v>
      </c>
      <c r="Q832" s="23" t="s">
        <v>66</v>
      </c>
      <c r="R832" s="160"/>
      <c r="S832" s="163"/>
    </row>
    <row r="833" spans="2:19" x14ac:dyDescent="0.25">
      <c r="B833" s="181"/>
      <c r="C833" s="178"/>
      <c r="D833" s="23" t="s">
        <v>82</v>
      </c>
      <c r="E833" s="24">
        <v>5</v>
      </c>
      <c r="F833" s="24">
        <v>17</v>
      </c>
      <c r="G833" s="23" t="s">
        <v>66</v>
      </c>
      <c r="H833" s="160"/>
      <c r="I833" s="163"/>
      <c r="L833" s="181"/>
      <c r="M833" s="178"/>
      <c r="N833" s="23" t="s">
        <v>82</v>
      </c>
      <c r="O833" s="24">
        <v>5</v>
      </c>
      <c r="P833" s="24">
        <v>17</v>
      </c>
      <c r="Q833" s="23" t="s">
        <v>66</v>
      </c>
      <c r="R833" s="160"/>
      <c r="S833" s="163"/>
    </row>
    <row r="834" spans="2:19" ht="15.75" thickBot="1" x14ac:dyDescent="0.3">
      <c r="B834" s="181"/>
      <c r="C834" s="179"/>
      <c r="D834" s="23" t="s">
        <v>83</v>
      </c>
      <c r="E834" s="24">
        <v>6</v>
      </c>
      <c r="F834" s="24">
        <v>18</v>
      </c>
      <c r="G834" s="23" t="s">
        <v>66</v>
      </c>
      <c r="H834" s="161"/>
      <c r="I834" s="164"/>
      <c r="L834" s="181"/>
      <c r="M834" s="179"/>
      <c r="N834" s="23" t="s">
        <v>83</v>
      </c>
      <c r="O834" s="24">
        <v>6</v>
      </c>
      <c r="P834" s="24">
        <v>18</v>
      </c>
      <c r="Q834" s="23" t="s">
        <v>66</v>
      </c>
      <c r="R834" s="161"/>
      <c r="S834" s="164"/>
    </row>
    <row r="835" spans="2:19" x14ac:dyDescent="0.25">
      <c r="B835" s="181"/>
      <c r="C835" s="177" t="s">
        <v>84</v>
      </c>
      <c r="D835" s="23" t="s">
        <v>2</v>
      </c>
      <c r="E835" s="24">
        <v>1</v>
      </c>
      <c r="F835" s="24">
        <v>19</v>
      </c>
      <c r="G835" s="23" t="s">
        <v>66</v>
      </c>
      <c r="H835" s="23"/>
      <c r="I835" s="47"/>
      <c r="L835" s="181"/>
      <c r="M835" s="177" t="s">
        <v>84</v>
      </c>
      <c r="N835" s="23" t="s">
        <v>2</v>
      </c>
      <c r="O835" s="24">
        <v>1</v>
      </c>
      <c r="P835" s="24">
        <v>19</v>
      </c>
      <c r="Q835" s="23" t="s">
        <v>66</v>
      </c>
      <c r="R835" s="23"/>
      <c r="S835" s="47"/>
    </row>
    <row r="836" spans="2:19" x14ac:dyDescent="0.25">
      <c r="B836" s="181"/>
      <c r="C836" s="178"/>
      <c r="D836" s="23" t="s">
        <v>3</v>
      </c>
      <c r="E836" s="24">
        <v>2</v>
      </c>
      <c r="F836" s="24">
        <v>20</v>
      </c>
      <c r="G836" s="23" t="s">
        <v>66</v>
      </c>
      <c r="H836" s="23"/>
      <c r="I836" s="47"/>
      <c r="L836" s="181"/>
      <c r="M836" s="178"/>
      <c r="N836" s="23" t="s">
        <v>3</v>
      </c>
      <c r="O836" s="24">
        <v>2</v>
      </c>
      <c r="P836" s="24">
        <v>20</v>
      </c>
      <c r="Q836" s="23" t="s">
        <v>66</v>
      </c>
      <c r="R836" s="23"/>
      <c r="S836" s="47"/>
    </row>
    <row r="837" spans="2:19" x14ac:dyDescent="0.25">
      <c r="B837" s="181"/>
      <c r="C837" s="178"/>
      <c r="D837" s="23" t="s">
        <v>80</v>
      </c>
      <c r="E837" s="26">
        <v>3</v>
      </c>
      <c r="F837" s="24">
        <v>21</v>
      </c>
      <c r="G837" s="23" t="s">
        <v>66</v>
      </c>
      <c r="H837" s="23"/>
      <c r="I837" s="47"/>
      <c r="L837" s="181"/>
      <c r="M837" s="178"/>
      <c r="N837" s="23" t="s">
        <v>80</v>
      </c>
      <c r="O837" s="26">
        <v>3</v>
      </c>
      <c r="P837" s="24">
        <v>21</v>
      </c>
      <c r="Q837" s="23" t="s">
        <v>66</v>
      </c>
      <c r="R837" s="23"/>
      <c r="S837" s="47"/>
    </row>
    <row r="838" spans="2:19" x14ac:dyDescent="0.25">
      <c r="B838" s="181"/>
      <c r="C838" s="178"/>
      <c r="D838" s="23" t="s">
        <v>81</v>
      </c>
      <c r="E838" s="24">
        <v>4</v>
      </c>
      <c r="F838" s="24">
        <v>22</v>
      </c>
      <c r="G838" s="23" t="s">
        <v>66</v>
      </c>
      <c r="H838" s="23"/>
      <c r="I838" s="47"/>
      <c r="L838" s="181"/>
      <c r="M838" s="178"/>
      <c r="N838" s="23" t="s">
        <v>81</v>
      </c>
      <c r="O838" s="24">
        <v>4</v>
      </c>
      <c r="P838" s="24">
        <v>22</v>
      </c>
      <c r="Q838" s="23" t="s">
        <v>66</v>
      </c>
      <c r="R838" s="23"/>
      <c r="S838" s="47"/>
    </row>
    <row r="839" spans="2:19" x14ac:dyDescent="0.25">
      <c r="B839" s="181"/>
      <c r="C839" s="178"/>
      <c r="D839" s="23" t="s">
        <v>82</v>
      </c>
      <c r="E839" s="24">
        <v>5</v>
      </c>
      <c r="F839" s="24">
        <v>23</v>
      </c>
      <c r="G839" s="23" t="s">
        <v>66</v>
      </c>
      <c r="H839" s="23"/>
      <c r="I839" s="47"/>
      <c r="L839" s="181"/>
      <c r="M839" s="178"/>
      <c r="N839" s="23" t="s">
        <v>82</v>
      </c>
      <c r="O839" s="24">
        <v>5</v>
      </c>
      <c r="P839" s="24">
        <v>23</v>
      </c>
      <c r="Q839" s="23" t="s">
        <v>66</v>
      </c>
      <c r="R839" s="23"/>
      <c r="S839" s="47"/>
    </row>
    <row r="840" spans="2:19" ht="15.75" thickBot="1" x14ac:dyDescent="0.3">
      <c r="B840" s="182"/>
      <c r="C840" s="179"/>
      <c r="D840" s="23" t="s">
        <v>83</v>
      </c>
      <c r="E840" s="24">
        <v>6</v>
      </c>
      <c r="F840" s="24">
        <v>24</v>
      </c>
      <c r="G840" s="23" t="s">
        <v>66</v>
      </c>
      <c r="H840" s="23"/>
      <c r="I840" s="47"/>
      <c r="L840" s="182"/>
      <c r="M840" s="179"/>
      <c r="N840" s="23" t="s">
        <v>83</v>
      </c>
      <c r="O840" s="24">
        <v>6</v>
      </c>
      <c r="P840" s="24">
        <v>24</v>
      </c>
      <c r="Q840" s="23" t="s">
        <v>66</v>
      </c>
      <c r="R840" s="23"/>
      <c r="S840" s="47"/>
    </row>
    <row r="841" spans="2:19" x14ac:dyDescent="0.25">
      <c r="B841" s="189" t="s">
        <v>80</v>
      </c>
      <c r="C841" s="192" t="s">
        <v>77</v>
      </c>
      <c r="D841" s="27" t="s">
        <v>2</v>
      </c>
      <c r="E841" s="28">
        <v>1</v>
      </c>
      <c r="F841" s="28">
        <v>25</v>
      </c>
      <c r="G841" s="27" t="s">
        <v>66</v>
      </c>
      <c r="H841" s="27"/>
      <c r="I841" s="48"/>
      <c r="L841" s="189" t="s">
        <v>80</v>
      </c>
      <c r="M841" s="192" t="s">
        <v>77</v>
      </c>
      <c r="N841" s="27" t="s">
        <v>2</v>
      </c>
      <c r="O841" s="28">
        <v>1</v>
      </c>
      <c r="P841" s="28">
        <v>25</v>
      </c>
      <c r="Q841" s="27" t="s">
        <v>66</v>
      </c>
      <c r="R841" s="27"/>
      <c r="S841" s="48"/>
    </row>
    <row r="842" spans="2:19" x14ac:dyDescent="0.25">
      <c r="B842" s="190"/>
      <c r="C842" s="193"/>
      <c r="D842" s="27" t="s">
        <v>3</v>
      </c>
      <c r="E842" s="28">
        <v>2</v>
      </c>
      <c r="F842" s="28">
        <v>26</v>
      </c>
      <c r="G842" s="27" t="s">
        <v>66</v>
      </c>
      <c r="H842" s="27"/>
      <c r="I842" s="48"/>
      <c r="L842" s="190"/>
      <c r="M842" s="193"/>
      <c r="N842" s="27" t="s">
        <v>3</v>
      </c>
      <c r="O842" s="28">
        <v>2</v>
      </c>
      <c r="P842" s="28">
        <v>26</v>
      </c>
      <c r="Q842" s="27" t="s">
        <v>66</v>
      </c>
      <c r="R842" s="27"/>
      <c r="S842" s="48"/>
    </row>
    <row r="843" spans="2:19" x14ac:dyDescent="0.25">
      <c r="B843" s="190"/>
      <c r="C843" s="193"/>
      <c r="D843" s="27" t="s">
        <v>80</v>
      </c>
      <c r="E843" s="28">
        <v>3</v>
      </c>
      <c r="F843" s="28">
        <v>27</v>
      </c>
      <c r="G843" s="27" t="s">
        <v>66</v>
      </c>
      <c r="H843" s="27"/>
      <c r="I843" s="48"/>
      <c r="L843" s="190"/>
      <c r="M843" s="193"/>
      <c r="N843" s="27" t="s">
        <v>80</v>
      </c>
      <c r="O843" s="28">
        <v>3</v>
      </c>
      <c r="P843" s="28">
        <v>27</v>
      </c>
      <c r="Q843" s="27" t="s">
        <v>66</v>
      </c>
      <c r="R843" s="27"/>
      <c r="S843" s="48"/>
    </row>
    <row r="844" spans="2:19" x14ac:dyDescent="0.25">
      <c r="B844" s="190"/>
      <c r="C844" s="193"/>
      <c r="D844" s="27" t="s">
        <v>81</v>
      </c>
      <c r="E844" s="28">
        <v>4</v>
      </c>
      <c r="F844" s="28">
        <v>28</v>
      </c>
      <c r="G844" s="27" t="s">
        <v>66</v>
      </c>
      <c r="H844" s="27"/>
      <c r="I844" s="48"/>
      <c r="L844" s="190"/>
      <c r="M844" s="193"/>
      <c r="N844" s="27" t="s">
        <v>81</v>
      </c>
      <c r="O844" s="28">
        <v>4</v>
      </c>
      <c r="P844" s="28">
        <v>28</v>
      </c>
      <c r="Q844" s="27" t="s">
        <v>66</v>
      </c>
      <c r="R844" s="27"/>
      <c r="S844" s="48"/>
    </row>
    <row r="845" spans="2:19" x14ac:dyDescent="0.25">
      <c r="B845" s="190"/>
      <c r="C845" s="193"/>
      <c r="D845" s="27" t="s">
        <v>82</v>
      </c>
      <c r="E845" s="28">
        <v>5</v>
      </c>
      <c r="F845" s="28">
        <v>29</v>
      </c>
      <c r="G845" s="27" t="s">
        <v>66</v>
      </c>
      <c r="H845" s="27"/>
      <c r="I845" s="48"/>
      <c r="L845" s="190"/>
      <c r="M845" s="193"/>
      <c r="N845" s="27" t="s">
        <v>82</v>
      </c>
      <c r="O845" s="28">
        <v>5</v>
      </c>
      <c r="P845" s="28">
        <v>29</v>
      </c>
      <c r="Q845" s="27" t="s">
        <v>66</v>
      </c>
      <c r="R845" s="27"/>
      <c r="S845" s="48"/>
    </row>
    <row r="846" spans="2:19" ht="15.75" thickBot="1" x14ac:dyDescent="0.3">
      <c r="B846" s="190"/>
      <c r="C846" s="194"/>
      <c r="D846" s="27" t="s">
        <v>83</v>
      </c>
      <c r="E846" s="28">
        <v>6</v>
      </c>
      <c r="F846" s="28">
        <v>30</v>
      </c>
      <c r="G846" s="27" t="s">
        <v>66</v>
      </c>
      <c r="H846" s="27"/>
      <c r="I846" s="48"/>
      <c r="L846" s="190"/>
      <c r="M846" s="194"/>
      <c r="N846" s="27" t="s">
        <v>83</v>
      </c>
      <c r="O846" s="28">
        <v>6</v>
      </c>
      <c r="P846" s="28">
        <v>30</v>
      </c>
      <c r="Q846" s="27" t="s">
        <v>66</v>
      </c>
      <c r="R846" s="27"/>
      <c r="S846" s="48"/>
    </row>
    <row r="847" spans="2:19" x14ac:dyDescent="0.25">
      <c r="B847" s="190"/>
      <c r="C847" s="192" t="s">
        <v>84</v>
      </c>
      <c r="D847" s="27" t="s">
        <v>2</v>
      </c>
      <c r="E847" s="28">
        <v>1</v>
      </c>
      <c r="F847" s="28">
        <v>31</v>
      </c>
      <c r="G847" s="27" t="s">
        <v>66</v>
      </c>
      <c r="H847" s="27"/>
      <c r="I847" s="48"/>
      <c r="L847" s="190"/>
      <c r="M847" s="192" t="s">
        <v>84</v>
      </c>
      <c r="N847" s="27" t="s">
        <v>2</v>
      </c>
      <c r="O847" s="28">
        <v>1</v>
      </c>
      <c r="P847" s="28">
        <v>31</v>
      </c>
      <c r="Q847" s="27" t="s">
        <v>66</v>
      </c>
      <c r="R847" s="27"/>
      <c r="S847" s="48"/>
    </row>
    <row r="848" spans="2:19" x14ac:dyDescent="0.25">
      <c r="B848" s="190"/>
      <c r="C848" s="193"/>
      <c r="D848" s="27" t="s">
        <v>3</v>
      </c>
      <c r="E848" s="28">
        <v>2</v>
      </c>
      <c r="F848" s="28">
        <v>32</v>
      </c>
      <c r="G848" s="27" t="s">
        <v>66</v>
      </c>
      <c r="H848" s="27"/>
      <c r="I848" s="48"/>
      <c r="L848" s="190"/>
      <c r="M848" s="193"/>
      <c r="N848" s="27" t="s">
        <v>3</v>
      </c>
      <c r="O848" s="28">
        <v>2</v>
      </c>
      <c r="P848" s="28">
        <v>32</v>
      </c>
      <c r="Q848" s="27" t="s">
        <v>66</v>
      </c>
      <c r="R848" s="27"/>
      <c r="S848" s="48"/>
    </row>
    <row r="849" spans="2:19" x14ac:dyDescent="0.25">
      <c r="B849" s="190"/>
      <c r="C849" s="193"/>
      <c r="D849" s="27" t="s">
        <v>80</v>
      </c>
      <c r="E849" s="28">
        <v>3</v>
      </c>
      <c r="F849" s="28">
        <v>33</v>
      </c>
      <c r="G849" s="27" t="s">
        <v>66</v>
      </c>
      <c r="H849" s="27"/>
      <c r="I849" s="48"/>
      <c r="L849" s="190"/>
      <c r="M849" s="193"/>
      <c r="N849" s="27" t="s">
        <v>80</v>
      </c>
      <c r="O849" s="28">
        <v>3</v>
      </c>
      <c r="P849" s="28">
        <v>33</v>
      </c>
      <c r="Q849" s="27" t="s">
        <v>66</v>
      </c>
      <c r="R849" s="27"/>
      <c r="S849" s="48"/>
    </row>
    <row r="850" spans="2:19" x14ac:dyDescent="0.25">
      <c r="B850" s="190"/>
      <c r="C850" s="193"/>
      <c r="D850" s="27" t="s">
        <v>81</v>
      </c>
      <c r="E850" s="28">
        <v>4</v>
      </c>
      <c r="F850" s="28">
        <v>34</v>
      </c>
      <c r="G850" s="27" t="s">
        <v>66</v>
      </c>
      <c r="H850" s="27"/>
      <c r="I850" s="48"/>
      <c r="L850" s="190"/>
      <c r="M850" s="193"/>
      <c r="N850" s="27" t="s">
        <v>81</v>
      </c>
      <c r="O850" s="28">
        <v>4</v>
      </c>
      <c r="P850" s="28">
        <v>34</v>
      </c>
      <c r="Q850" s="27" t="s">
        <v>66</v>
      </c>
      <c r="R850" s="27"/>
      <c r="S850" s="48"/>
    </row>
    <row r="851" spans="2:19" x14ac:dyDescent="0.25">
      <c r="B851" s="190"/>
      <c r="C851" s="193"/>
      <c r="D851" s="27" t="s">
        <v>82</v>
      </c>
      <c r="E851" s="28">
        <v>5</v>
      </c>
      <c r="F851" s="28">
        <v>35</v>
      </c>
      <c r="G851" s="27" t="s">
        <v>66</v>
      </c>
      <c r="H851" s="27"/>
      <c r="I851" s="48"/>
      <c r="L851" s="190"/>
      <c r="M851" s="193"/>
      <c r="N851" s="27" t="s">
        <v>82</v>
      </c>
      <c r="O851" s="28">
        <v>5</v>
      </c>
      <c r="P851" s="28">
        <v>35</v>
      </c>
      <c r="Q851" s="27" t="s">
        <v>66</v>
      </c>
      <c r="R851" s="27"/>
      <c r="S851" s="48"/>
    </row>
    <row r="852" spans="2:19" ht="15.75" thickBot="1" x14ac:dyDescent="0.3">
      <c r="B852" s="191"/>
      <c r="C852" s="194"/>
      <c r="D852" s="27" t="s">
        <v>83</v>
      </c>
      <c r="E852" s="28">
        <v>6</v>
      </c>
      <c r="F852" s="28">
        <v>36</v>
      </c>
      <c r="G852" s="27" t="s">
        <v>66</v>
      </c>
      <c r="H852" s="27"/>
      <c r="I852" s="48"/>
      <c r="L852" s="191"/>
      <c r="M852" s="194"/>
      <c r="N852" s="27" t="s">
        <v>83</v>
      </c>
      <c r="O852" s="28">
        <v>6</v>
      </c>
      <c r="P852" s="28">
        <v>36</v>
      </c>
      <c r="Q852" s="27" t="s">
        <v>66</v>
      </c>
      <c r="R852" s="27"/>
      <c r="S852" s="48"/>
    </row>
    <row r="853" spans="2:19" x14ac:dyDescent="0.25">
      <c r="B853" s="183" t="s">
        <v>81</v>
      </c>
      <c r="C853" s="186" t="s">
        <v>77</v>
      </c>
      <c r="D853" s="29" t="s">
        <v>2</v>
      </c>
      <c r="E853" s="30">
        <v>1</v>
      </c>
      <c r="F853" s="30">
        <v>37</v>
      </c>
      <c r="G853" s="29" t="s">
        <v>66</v>
      </c>
      <c r="H853" s="29"/>
      <c r="I853" s="49"/>
      <c r="L853" s="183" t="s">
        <v>81</v>
      </c>
      <c r="M853" s="186" t="s">
        <v>77</v>
      </c>
      <c r="N853" s="29" t="s">
        <v>2</v>
      </c>
      <c r="O853" s="30">
        <v>1</v>
      </c>
      <c r="P853" s="30">
        <v>37</v>
      </c>
      <c r="Q853" s="29" t="s">
        <v>66</v>
      </c>
      <c r="R853" s="29"/>
      <c r="S853" s="49"/>
    </row>
    <row r="854" spans="2:19" x14ac:dyDescent="0.25">
      <c r="B854" s="184"/>
      <c r="C854" s="187"/>
      <c r="D854" s="29" t="s">
        <v>3</v>
      </c>
      <c r="E854" s="30">
        <v>2</v>
      </c>
      <c r="F854" s="30">
        <v>38</v>
      </c>
      <c r="G854" s="29" t="s">
        <v>66</v>
      </c>
      <c r="H854" s="29"/>
      <c r="I854" s="49"/>
      <c r="L854" s="184"/>
      <c r="M854" s="187"/>
      <c r="N854" s="29" t="s">
        <v>3</v>
      </c>
      <c r="O854" s="30">
        <v>2</v>
      </c>
      <c r="P854" s="30">
        <v>38</v>
      </c>
      <c r="Q854" s="29" t="s">
        <v>66</v>
      </c>
      <c r="R854" s="29"/>
      <c r="S854" s="49"/>
    </row>
    <row r="855" spans="2:19" x14ac:dyDescent="0.25">
      <c r="B855" s="184"/>
      <c r="C855" s="187"/>
      <c r="D855" s="29" t="s">
        <v>80</v>
      </c>
      <c r="E855" s="30">
        <v>3</v>
      </c>
      <c r="F855" s="30">
        <v>39</v>
      </c>
      <c r="G855" s="29" t="s">
        <v>66</v>
      </c>
      <c r="H855" s="29"/>
      <c r="I855" s="49"/>
      <c r="L855" s="184"/>
      <c r="M855" s="187"/>
      <c r="N855" s="29" t="s">
        <v>80</v>
      </c>
      <c r="O855" s="30">
        <v>3</v>
      </c>
      <c r="P855" s="30">
        <v>39</v>
      </c>
      <c r="Q855" s="29" t="s">
        <v>66</v>
      </c>
      <c r="R855" s="29"/>
      <c r="S855" s="49"/>
    </row>
    <row r="856" spans="2:19" x14ac:dyDescent="0.25">
      <c r="B856" s="184"/>
      <c r="C856" s="187"/>
      <c r="D856" s="29" t="s">
        <v>81</v>
      </c>
      <c r="E856" s="30">
        <v>4</v>
      </c>
      <c r="F856" s="30">
        <v>40</v>
      </c>
      <c r="G856" s="29" t="s">
        <v>66</v>
      </c>
      <c r="H856" s="29"/>
      <c r="I856" s="49"/>
      <c r="L856" s="184"/>
      <c r="M856" s="187"/>
      <c r="N856" s="29" t="s">
        <v>81</v>
      </c>
      <c r="O856" s="30">
        <v>4</v>
      </c>
      <c r="P856" s="30">
        <v>40</v>
      </c>
      <c r="Q856" s="29" t="s">
        <v>66</v>
      </c>
      <c r="R856" s="29"/>
      <c r="S856" s="49"/>
    </row>
    <row r="857" spans="2:19" x14ac:dyDescent="0.25">
      <c r="B857" s="184"/>
      <c r="C857" s="187"/>
      <c r="D857" s="29" t="s">
        <v>82</v>
      </c>
      <c r="E857" s="30">
        <v>5</v>
      </c>
      <c r="F857" s="30">
        <v>41</v>
      </c>
      <c r="G857" s="29" t="s">
        <v>66</v>
      </c>
      <c r="H857" s="29"/>
      <c r="I857" s="49"/>
      <c r="L857" s="184"/>
      <c r="M857" s="187"/>
      <c r="N857" s="29" t="s">
        <v>82</v>
      </c>
      <c r="O857" s="30">
        <v>5</v>
      </c>
      <c r="P857" s="30">
        <v>41</v>
      </c>
      <c r="Q857" s="29" t="s">
        <v>66</v>
      </c>
      <c r="R857" s="29"/>
      <c r="S857" s="49"/>
    </row>
    <row r="858" spans="2:19" ht="15.75" thickBot="1" x14ac:dyDescent="0.3">
      <c r="B858" s="184"/>
      <c r="C858" s="188"/>
      <c r="D858" s="29" t="s">
        <v>83</v>
      </c>
      <c r="E858" s="30">
        <v>6</v>
      </c>
      <c r="F858" s="30">
        <v>42</v>
      </c>
      <c r="G858" s="29" t="s">
        <v>66</v>
      </c>
      <c r="H858" s="29"/>
      <c r="I858" s="49"/>
      <c r="L858" s="184"/>
      <c r="M858" s="188"/>
      <c r="N858" s="29" t="s">
        <v>83</v>
      </c>
      <c r="O858" s="30">
        <v>6</v>
      </c>
      <c r="P858" s="30">
        <v>42</v>
      </c>
      <c r="Q858" s="29" t="s">
        <v>66</v>
      </c>
      <c r="R858" s="29"/>
      <c r="S858" s="49"/>
    </row>
    <row r="859" spans="2:19" x14ac:dyDescent="0.25">
      <c r="B859" s="184"/>
      <c r="C859" s="186" t="s">
        <v>84</v>
      </c>
      <c r="D859" s="29" t="s">
        <v>2</v>
      </c>
      <c r="E859" s="30">
        <v>1</v>
      </c>
      <c r="F859" s="30">
        <v>43</v>
      </c>
      <c r="G859" s="29" t="s">
        <v>66</v>
      </c>
      <c r="H859" s="29"/>
      <c r="I859" s="49"/>
      <c r="L859" s="184"/>
      <c r="M859" s="186" t="s">
        <v>84</v>
      </c>
      <c r="N859" s="29" t="s">
        <v>2</v>
      </c>
      <c r="O859" s="30">
        <v>1</v>
      </c>
      <c r="P859" s="30">
        <v>43</v>
      </c>
      <c r="Q859" s="29" t="s">
        <v>66</v>
      </c>
      <c r="R859" s="29"/>
      <c r="S859" s="49"/>
    </row>
    <row r="860" spans="2:19" x14ac:dyDescent="0.25">
      <c r="B860" s="184"/>
      <c r="C860" s="187"/>
      <c r="D860" s="29" t="s">
        <v>3</v>
      </c>
      <c r="E860" s="30">
        <v>2</v>
      </c>
      <c r="F860" s="30">
        <v>44</v>
      </c>
      <c r="G860" s="29" t="s">
        <v>66</v>
      </c>
      <c r="H860" s="29"/>
      <c r="I860" s="49"/>
      <c r="L860" s="184"/>
      <c r="M860" s="187"/>
      <c r="N860" s="29" t="s">
        <v>3</v>
      </c>
      <c r="O860" s="30">
        <v>2</v>
      </c>
      <c r="P860" s="30">
        <v>44</v>
      </c>
      <c r="Q860" s="29" t="s">
        <v>66</v>
      </c>
      <c r="R860" s="29"/>
      <c r="S860" s="49"/>
    </row>
    <row r="861" spans="2:19" x14ac:dyDescent="0.25">
      <c r="B861" s="184"/>
      <c r="C861" s="187"/>
      <c r="D861" s="29" t="s">
        <v>80</v>
      </c>
      <c r="E861" s="30">
        <v>3</v>
      </c>
      <c r="F861" s="30">
        <v>45</v>
      </c>
      <c r="G861" s="29" t="s">
        <v>66</v>
      </c>
      <c r="H861" s="29"/>
      <c r="I861" s="49"/>
      <c r="L861" s="184"/>
      <c r="M861" s="187"/>
      <c r="N861" s="29" t="s">
        <v>80</v>
      </c>
      <c r="O861" s="30">
        <v>3</v>
      </c>
      <c r="P861" s="30">
        <v>45</v>
      </c>
      <c r="Q861" s="29" t="s">
        <v>66</v>
      </c>
      <c r="R861" s="29"/>
      <c r="S861" s="49"/>
    </row>
    <row r="862" spans="2:19" x14ac:dyDescent="0.25">
      <c r="B862" s="184"/>
      <c r="C862" s="187"/>
      <c r="D862" s="29" t="s">
        <v>81</v>
      </c>
      <c r="E862" s="30">
        <v>4</v>
      </c>
      <c r="F862" s="30">
        <v>46</v>
      </c>
      <c r="G862" s="29" t="s">
        <v>66</v>
      </c>
      <c r="H862" s="29"/>
      <c r="I862" s="49"/>
      <c r="L862" s="184"/>
      <c r="M862" s="187"/>
      <c r="N862" s="29" t="s">
        <v>81</v>
      </c>
      <c r="O862" s="30">
        <v>4</v>
      </c>
      <c r="P862" s="30">
        <v>46</v>
      </c>
      <c r="Q862" s="29" t="s">
        <v>66</v>
      </c>
      <c r="R862" s="29"/>
      <c r="S862" s="49"/>
    </row>
    <row r="863" spans="2:19" x14ac:dyDescent="0.25">
      <c r="B863" s="184"/>
      <c r="C863" s="187"/>
      <c r="D863" s="29" t="s">
        <v>82</v>
      </c>
      <c r="E863" s="30">
        <v>5</v>
      </c>
      <c r="F863" s="30">
        <v>47</v>
      </c>
      <c r="G863" s="29" t="s">
        <v>66</v>
      </c>
      <c r="H863" s="29"/>
      <c r="I863" s="49"/>
      <c r="L863" s="184"/>
      <c r="M863" s="187"/>
      <c r="N863" s="29" t="s">
        <v>82</v>
      </c>
      <c r="O863" s="30">
        <v>5</v>
      </c>
      <c r="P863" s="30">
        <v>47</v>
      </c>
      <c r="Q863" s="29" t="s">
        <v>66</v>
      </c>
      <c r="R863" s="29"/>
      <c r="S863" s="49"/>
    </row>
    <row r="864" spans="2:19" ht="15.75" thickBot="1" x14ac:dyDescent="0.3">
      <c r="B864" s="185"/>
      <c r="C864" s="188"/>
      <c r="D864" s="29" t="s">
        <v>83</v>
      </c>
      <c r="E864" s="30">
        <v>6</v>
      </c>
      <c r="F864" s="30">
        <v>48</v>
      </c>
      <c r="G864" s="29" t="s">
        <v>66</v>
      </c>
      <c r="H864" s="29"/>
      <c r="I864" s="49"/>
      <c r="L864" s="185"/>
      <c r="M864" s="188"/>
      <c r="N864" s="29" t="s">
        <v>83</v>
      </c>
      <c r="O864" s="30">
        <v>6</v>
      </c>
      <c r="P864" s="30">
        <v>48</v>
      </c>
      <c r="Q864" s="29" t="s">
        <v>66</v>
      </c>
      <c r="R864" s="29"/>
      <c r="S864" s="49"/>
    </row>
    <row r="865" spans="2:19" ht="15.75" thickBot="1" x14ac:dyDescent="0.3"/>
    <row r="866" spans="2:19" ht="15.75" thickBot="1" x14ac:dyDescent="0.3">
      <c r="B866" s="171" t="s">
        <v>417</v>
      </c>
      <c r="C866" s="172"/>
      <c r="D866" s="172"/>
      <c r="E866" s="172"/>
      <c r="F866" s="172"/>
      <c r="G866" s="172"/>
      <c r="H866" s="172"/>
      <c r="I866" s="173"/>
      <c r="L866" s="171" t="s">
        <v>418</v>
      </c>
      <c r="M866" s="172"/>
      <c r="N866" s="172"/>
      <c r="O866" s="172"/>
      <c r="P866" s="172"/>
      <c r="Q866" s="172"/>
      <c r="R866" s="172"/>
      <c r="S866" s="173"/>
    </row>
    <row r="868" spans="2:19" ht="26.25" thickBot="1" x14ac:dyDescent="0.3">
      <c r="B868" s="15" t="s">
        <v>70</v>
      </c>
      <c r="C868" s="16" t="s">
        <v>71</v>
      </c>
      <c r="D868" s="15" t="s">
        <v>72</v>
      </c>
      <c r="E868" s="17" t="s">
        <v>73</v>
      </c>
      <c r="F868" s="17" t="s">
        <v>74</v>
      </c>
      <c r="G868" s="15" t="s">
        <v>75</v>
      </c>
      <c r="H868" s="15" t="s">
        <v>55</v>
      </c>
      <c r="I868" s="15" t="s">
        <v>76</v>
      </c>
      <c r="L868" s="15" t="s">
        <v>70</v>
      </c>
      <c r="M868" s="16" t="s">
        <v>71</v>
      </c>
      <c r="N868" s="15" t="s">
        <v>72</v>
      </c>
      <c r="O868" s="17" t="s">
        <v>73</v>
      </c>
      <c r="P868" s="17" t="s">
        <v>74</v>
      </c>
      <c r="Q868" s="15" t="s">
        <v>75</v>
      </c>
      <c r="R868" s="15" t="s">
        <v>55</v>
      </c>
      <c r="S868" s="15" t="s">
        <v>76</v>
      </c>
    </row>
    <row r="869" spans="2:19" ht="15" customHeight="1" x14ac:dyDescent="0.25">
      <c r="B869" s="174" t="s">
        <v>2</v>
      </c>
      <c r="C869" s="168" t="s">
        <v>77</v>
      </c>
      <c r="D869" s="18" t="s">
        <v>2</v>
      </c>
      <c r="E869" s="19">
        <v>1</v>
      </c>
      <c r="F869" s="19">
        <v>1</v>
      </c>
      <c r="G869" s="18" t="s">
        <v>78</v>
      </c>
      <c r="H869" s="156" t="s">
        <v>416</v>
      </c>
      <c r="I869" s="156" t="s">
        <v>235</v>
      </c>
      <c r="L869" s="174" t="s">
        <v>2</v>
      </c>
      <c r="M869" s="168" t="s">
        <v>77</v>
      </c>
      <c r="N869" s="18" t="s">
        <v>2</v>
      </c>
      <c r="O869" s="19">
        <v>1</v>
      </c>
      <c r="P869" s="19">
        <v>1</v>
      </c>
      <c r="Q869" s="18" t="s">
        <v>78</v>
      </c>
      <c r="R869" s="156" t="s">
        <v>416</v>
      </c>
      <c r="S869" s="156" t="s">
        <v>224</v>
      </c>
    </row>
    <row r="870" spans="2:19" x14ac:dyDescent="0.25">
      <c r="B870" s="175"/>
      <c r="C870" s="169"/>
      <c r="D870" s="18" t="s">
        <v>3</v>
      </c>
      <c r="E870" s="19">
        <v>2</v>
      </c>
      <c r="F870" s="19">
        <v>2</v>
      </c>
      <c r="G870" s="18" t="s">
        <v>78</v>
      </c>
      <c r="H870" s="157"/>
      <c r="I870" s="157"/>
      <c r="L870" s="175"/>
      <c r="M870" s="169"/>
      <c r="N870" s="18" t="s">
        <v>3</v>
      </c>
      <c r="O870" s="19">
        <v>2</v>
      </c>
      <c r="P870" s="19">
        <v>2</v>
      </c>
      <c r="Q870" s="18" t="s">
        <v>78</v>
      </c>
      <c r="R870" s="157"/>
      <c r="S870" s="157"/>
    </row>
    <row r="871" spans="2:19" x14ac:dyDescent="0.25">
      <c r="B871" s="175"/>
      <c r="C871" s="169"/>
      <c r="D871" s="18" t="s">
        <v>80</v>
      </c>
      <c r="E871" s="20">
        <v>3</v>
      </c>
      <c r="F871" s="20">
        <v>3</v>
      </c>
      <c r="G871" s="18" t="s">
        <v>66</v>
      </c>
      <c r="H871" s="157"/>
      <c r="I871" s="157"/>
      <c r="L871" s="175"/>
      <c r="M871" s="169"/>
      <c r="N871" s="18" t="s">
        <v>80</v>
      </c>
      <c r="O871" s="20">
        <v>3</v>
      </c>
      <c r="P871" s="20">
        <v>3</v>
      </c>
      <c r="Q871" s="18" t="s">
        <v>66</v>
      </c>
      <c r="R871" s="157"/>
      <c r="S871" s="157"/>
    </row>
    <row r="872" spans="2:19" x14ac:dyDescent="0.25">
      <c r="B872" s="175"/>
      <c r="C872" s="169"/>
      <c r="D872" s="18" t="s">
        <v>81</v>
      </c>
      <c r="E872" s="20">
        <v>4</v>
      </c>
      <c r="F872" s="20">
        <v>4</v>
      </c>
      <c r="G872" s="18" t="s">
        <v>66</v>
      </c>
      <c r="H872" s="157"/>
      <c r="I872" s="157"/>
      <c r="L872" s="175"/>
      <c r="M872" s="169"/>
      <c r="N872" s="18" t="s">
        <v>81</v>
      </c>
      <c r="O872" s="20">
        <v>4</v>
      </c>
      <c r="P872" s="20">
        <v>4</v>
      </c>
      <c r="Q872" s="18" t="s">
        <v>66</v>
      </c>
      <c r="R872" s="157"/>
      <c r="S872" s="157"/>
    </row>
    <row r="873" spans="2:19" x14ac:dyDescent="0.25">
      <c r="B873" s="175"/>
      <c r="C873" s="169"/>
      <c r="D873" s="18" t="s">
        <v>82</v>
      </c>
      <c r="E873" s="20">
        <v>5</v>
      </c>
      <c r="F873" s="20">
        <v>5</v>
      </c>
      <c r="G873" s="18" t="s">
        <v>66</v>
      </c>
      <c r="H873" s="157"/>
      <c r="I873" s="157"/>
      <c r="L873" s="175"/>
      <c r="M873" s="169"/>
      <c r="N873" s="18" t="s">
        <v>82</v>
      </c>
      <c r="O873" s="20">
        <v>5</v>
      </c>
      <c r="P873" s="20">
        <v>5</v>
      </c>
      <c r="Q873" s="18" t="s">
        <v>66</v>
      </c>
      <c r="R873" s="157"/>
      <c r="S873" s="157"/>
    </row>
    <row r="874" spans="2:19" ht="15.75" thickBot="1" x14ac:dyDescent="0.3">
      <c r="B874" s="175"/>
      <c r="C874" s="170"/>
      <c r="D874" s="18" t="s">
        <v>83</v>
      </c>
      <c r="E874" s="20">
        <v>6</v>
      </c>
      <c r="F874" s="20">
        <v>6</v>
      </c>
      <c r="G874" s="18" t="s">
        <v>66</v>
      </c>
      <c r="H874" s="158"/>
      <c r="I874" s="158"/>
      <c r="L874" s="175"/>
      <c r="M874" s="170"/>
      <c r="N874" s="18" t="s">
        <v>83</v>
      </c>
      <c r="O874" s="20">
        <v>6</v>
      </c>
      <c r="P874" s="20">
        <v>6</v>
      </c>
      <c r="Q874" s="18" t="s">
        <v>66</v>
      </c>
      <c r="R874" s="158"/>
      <c r="S874" s="158"/>
    </row>
    <row r="875" spans="2:19" x14ac:dyDescent="0.25">
      <c r="B875" s="175"/>
      <c r="C875" s="168" t="s">
        <v>84</v>
      </c>
      <c r="D875" s="18" t="s">
        <v>2</v>
      </c>
      <c r="E875" s="19">
        <v>1</v>
      </c>
      <c r="F875" s="19">
        <v>7</v>
      </c>
      <c r="G875" s="18" t="s">
        <v>66</v>
      </c>
      <c r="H875" s="32"/>
      <c r="I875" s="50"/>
      <c r="L875" s="175"/>
      <c r="M875" s="168" t="s">
        <v>84</v>
      </c>
      <c r="N875" s="18" t="s">
        <v>2</v>
      </c>
      <c r="O875" s="19">
        <v>1</v>
      </c>
      <c r="P875" s="19">
        <v>7</v>
      </c>
      <c r="Q875" s="18" t="s">
        <v>66</v>
      </c>
      <c r="R875" s="32"/>
      <c r="S875" s="50"/>
    </row>
    <row r="876" spans="2:19" x14ac:dyDescent="0.25">
      <c r="B876" s="175"/>
      <c r="C876" s="169"/>
      <c r="D876" s="18" t="s">
        <v>3</v>
      </c>
      <c r="E876" s="19">
        <v>2</v>
      </c>
      <c r="F876" s="19">
        <v>8</v>
      </c>
      <c r="G876" s="18" t="s">
        <v>66</v>
      </c>
      <c r="H876" s="32"/>
      <c r="I876" s="50"/>
      <c r="L876" s="175"/>
      <c r="M876" s="169"/>
      <c r="N876" s="18" t="s">
        <v>3</v>
      </c>
      <c r="O876" s="19">
        <v>2</v>
      </c>
      <c r="P876" s="19">
        <v>8</v>
      </c>
      <c r="Q876" s="18" t="s">
        <v>66</v>
      </c>
      <c r="R876" s="32"/>
      <c r="S876" s="50"/>
    </row>
    <row r="877" spans="2:19" x14ac:dyDescent="0.25">
      <c r="B877" s="175"/>
      <c r="C877" s="169"/>
      <c r="D877" s="18" t="s">
        <v>80</v>
      </c>
      <c r="E877" s="20">
        <v>3</v>
      </c>
      <c r="F877" s="20">
        <v>9</v>
      </c>
      <c r="G877" s="18" t="s">
        <v>66</v>
      </c>
      <c r="H877" s="32"/>
      <c r="I877" s="50"/>
      <c r="L877" s="175"/>
      <c r="M877" s="169"/>
      <c r="N877" s="18" t="s">
        <v>80</v>
      </c>
      <c r="O877" s="20">
        <v>3</v>
      </c>
      <c r="P877" s="20">
        <v>9</v>
      </c>
      <c r="Q877" s="18" t="s">
        <v>66</v>
      </c>
      <c r="R877" s="32"/>
      <c r="S877" s="50"/>
    </row>
    <row r="878" spans="2:19" x14ac:dyDescent="0.25">
      <c r="B878" s="175"/>
      <c r="C878" s="169"/>
      <c r="D878" s="18" t="s">
        <v>81</v>
      </c>
      <c r="E878" s="20">
        <v>4</v>
      </c>
      <c r="F878" s="20">
        <v>10</v>
      </c>
      <c r="G878" s="18" t="s">
        <v>66</v>
      </c>
      <c r="H878" s="32"/>
      <c r="I878" s="50"/>
      <c r="L878" s="175"/>
      <c r="M878" s="169"/>
      <c r="N878" s="18" t="s">
        <v>81</v>
      </c>
      <c r="O878" s="20">
        <v>4</v>
      </c>
      <c r="P878" s="20">
        <v>10</v>
      </c>
      <c r="Q878" s="18" t="s">
        <v>66</v>
      </c>
      <c r="R878" s="32"/>
      <c r="S878" s="50"/>
    </row>
    <row r="879" spans="2:19" x14ac:dyDescent="0.25">
      <c r="B879" s="175"/>
      <c r="C879" s="169"/>
      <c r="D879" s="18" t="s">
        <v>82</v>
      </c>
      <c r="E879" s="20">
        <v>5</v>
      </c>
      <c r="F879" s="20">
        <v>11</v>
      </c>
      <c r="G879" s="18" t="s">
        <v>66</v>
      </c>
      <c r="H879" s="32"/>
      <c r="I879" s="50"/>
      <c r="L879" s="175"/>
      <c r="M879" s="169"/>
      <c r="N879" s="18" t="s">
        <v>82</v>
      </c>
      <c r="O879" s="20">
        <v>5</v>
      </c>
      <c r="P879" s="20">
        <v>11</v>
      </c>
      <c r="Q879" s="18" t="s">
        <v>66</v>
      </c>
      <c r="R879" s="32"/>
      <c r="S879" s="50"/>
    </row>
    <row r="880" spans="2:19" ht="15.75" thickBot="1" x14ac:dyDescent="0.3">
      <c r="B880" s="176"/>
      <c r="C880" s="170"/>
      <c r="D880" s="18" t="s">
        <v>83</v>
      </c>
      <c r="E880" s="20">
        <v>6</v>
      </c>
      <c r="F880" s="20">
        <v>12</v>
      </c>
      <c r="G880" s="18" t="s">
        <v>66</v>
      </c>
      <c r="H880" s="32"/>
      <c r="I880" s="50"/>
      <c r="L880" s="176"/>
      <c r="M880" s="170"/>
      <c r="N880" s="18" t="s">
        <v>83</v>
      </c>
      <c r="O880" s="20">
        <v>6</v>
      </c>
      <c r="P880" s="20">
        <v>12</v>
      </c>
      <c r="Q880" s="18" t="s">
        <v>66</v>
      </c>
      <c r="R880" s="32"/>
      <c r="S880" s="50"/>
    </row>
    <row r="881" spans="2:19" x14ac:dyDescent="0.25">
      <c r="B881" s="180" t="s">
        <v>3</v>
      </c>
      <c r="C881" s="177" t="s">
        <v>77</v>
      </c>
      <c r="D881" s="21" t="s">
        <v>2</v>
      </c>
      <c r="E881" s="22">
        <v>1</v>
      </c>
      <c r="F881" s="22">
        <v>13</v>
      </c>
      <c r="G881" s="21" t="s">
        <v>66</v>
      </c>
      <c r="H881" s="63"/>
      <c r="I881" s="64"/>
      <c r="L881" s="180" t="s">
        <v>3</v>
      </c>
      <c r="M881" s="177" t="s">
        <v>77</v>
      </c>
      <c r="N881" s="21" t="s">
        <v>2</v>
      </c>
      <c r="O881" s="22">
        <v>1</v>
      </c>
      <c r="P881" s="22">
        <v>13</v>
      </c>
      <c r="Q881" s="21" t="s">
        <v>66</v>
      </c>
      <c r="R881" s="63"/>
      <c r="S881" s="64"/>
    </row>
    <row r="882" spans="2:19" x14ac:dyDescent="0.25">
      <c r="B882" s="181"/>
      <c r="C882" s="178"/>
      <c r="D882" s="23" t="s">
        <v>3</v>
      </c>
      <c r="E882" s="24">
        <v>2</v>
      </c>
      <c r="F882" s="24">
        <v>14</v>
      </c>
      <c r="G882" s="23" t="s">
        <v>66</v>
      </c>
      <c r="H882" s="63"/>
      <c r="I882" s="64"/>
      <c r="L882" s="181"/>
      <c r="M882" s="178"/>
      <c r="N882" s="23" t="s">
        <v>3</v>
      </c>
      <c r="O882" s="24">
        <v>2</v>
      </c>
      <c r="P882" s="24">
        <v>14</v>
      </c>
      <c r="Q882" s="23" t="s">
        <v>66</v>
      </c>
      <c r="R882" s="63"/>
      <c r="S882" s="64"/>
    </row>
    <row r="883" spans="2:19" x14ac:dyDescent="0.25">
      <c r="B883" s="181"/>
      <c r="C883" s="178"/>
      <c r="D883" s="23" t="s">
        <v>80</v>
      </c>
      <c r="E883" s="24">
        <v>3</v>
      </c>
      <c r="F883" s="24">
        <v>15</v>
      </c>
      <c r="G883" s="23" t="s">
        <v>66</v>
      </c>
      <c r="H883" s="63"/>
      <c r="I883" s="64"/>
      <c r="L883" s="181"/>
      <c r="M883" s="178"/>
      <c r="N883" s="23" t="s">
        <v>80</v>
      </c>
      <c r="O883" s="24">
        <v>3</v>
      </c>
      <c r="P883" s="24">
        <v>15</v>
      </c>
      <c r="Q883" s="23" t="s">
        <v>66</v>
      </c>
      <c r="R883" s="63"/>
      <c r="S883" s="64"/>
    </row>
    <row r="884" spans="2:19" x14ac:dyDescent="0.25">
      <c r="B884" s="181"/>
      <c r="C884" s="178"/>
      <c r="D884" s="23" t="s">
        <v>81</v>
      </c>
      <c r="E884" s="24">
        <v>4</v>
      </c>
      <c r="F884" s="24">
        <v>16</v>
      </c>
      <c r="G884" s="23" t="s">
        <v>66</v>
      </c>
      <c r="H884" s="63"/>
      <c r="I884" s="64"/>
      <c r="L884" s="181"/>
      <c r="M884" s="178"/>
      <c r="N884" s="23" t="s">
        <v>81</v>
      </c>
      <c r="O884" s="24">
        <v>4</v>
      </c>
      <c r="P884" s="24">
        <v>16</v>
      </c>
      <c r="Q884" s="23" t="s">
        <v>66</v>
      </c>
      <c r="R884" s="63"/>
      <c r="S884" s="64"/>
    </row>
    <row r="885" spans="2:19" x14ac:dyDescent="0.25">
      <c r="B885" s="181"/>
      <c r="C885" s="178"/>
      <c r="D885" s="23" t="s">
        <v>82</v>
      </c>
      <c r="E885" s="24">
        <v>5</v>
      </c>
      <c r="F885" s="24">
        <v>17</v>
      </c>
      <c r="G885" s="23" t="s">
        <v>66</v>
      </c>
      <c r="H885" s="63"/>
      <c r="I885" s="64"/>
      <c r="L885" s="181"/>
      <c r="M885" s="178"/>
      <c r="N885" s="23" t="s">
        <v>82</v>
      </c>
      <c r="O885" s="24">
        <v>5</v>
      </c>
      <c r="P885" s="24">
        <v>17</v>
      </c>
      <c r="Q885" s="23" t="s">
        <v>66</v>
      </c>
      <c r="R885" s="63"/>
      <c r="S885" s="64"/>
    </row>
    <row r="886" spans="2:19" ht="15.75" thickBot="1" x14ac:dyDescent="0.3">
      <c r="B886" s="181"/>
      <c r="C886" s="179"/>
      <c r="D886" s="23" t="s">
        <v>83</v>
      </c>
      <c r="E886" s="24">
        <v>6</v>
      </c>
      <c r="F886" s="24">
        <v>18</v>
      </c>
      <c r="G886" s="23" t="s">
        <v>66</v>
      </c>
      <c r="H886" s="63"/>
      <c r="I886" s="64"/>
      <c r="L886" s="181"/>
      <c r="M886" s="179"/>
      <c r="N886" s="23" t="s">
        <v>83</v>
      </c>
      <c r="O886" s="24">
        <v>6</v>
      </c>
      <c r="P886" s="24">
        <v>18</v>
      </c>
      <c r="Q886" s="23" t="s">
        <v>66</v>
      </c>
      <c r="R886" s="63"/>
      <c r="S886" s="64"/>
    </row>
    <row r="887" spans="2:19" x14ac:dyDescent="0.25">
      <c r="B887" s="181"/>
      <c r="C887" s="177" t="s">
        <v>84</v>
      </c>
      <c r="D887" s="23" t="s">
        <v>2</v>
      </c>
      <c r="E887" s="24">
        <v>1</v>
      </c>
      <c r="F887" s="24">
        <v>19</v>
      </c>
      <c r="G887" s="23" t="s">
        <v>66</v>
      </c>
      <c r="H887" s="63"/>
      <c r="I887" s="64"/>
      <c r="L887" s="181"/>
      <c r="M887" s="177" t="s">
        <v>84</v>
      </c>
      <c r="N887" s="23" t="s">
        <v>2</v>
      </c>
      <c r="O887" s="24">
        <v>1</v>
      </c>
      <c r="P887" s="24">
        <v>19</v>
      </c>
      <c r="Q887" s="23" t="s">
        <v>66</v>
      </c>
      <c r="R887" s="63"/>
      <c r="S887" s="64"/>
    </row>
    <row r="888" spans="2:19" x14ac:dyDescent="0.25">
      <c r="B888" s="181"/>
      <c r="C888" s="178"/>
      <c r="D888" s="23" t="s">
        <v>3</v>
      </c>
      <c r="E888" s="24">
        <v>2</v>
      </c>
      <c r="F888" s="24">
        <v>20</v>
      </c>
      <c r="G888" s="23" t="s">
        <v>66</v>
      </c>
      <c r="H888" s="63"/>
      <c r="I888" s="64"/>
      <c r="L888" s="181"/>
      <c r="M888" s="178"/>
      <c r="N888" s="23" t="s">
        <v>3</v>
      </c>
      <c r="O888" s="24">
        <v>2</v>
      </c>
      <c r="P888" s="24">
        <v>20</v>
      </c>
      <c r="Q888" s="23" t="s">
        <v>66</v>
      </c>
      <c r="R888" s="63"/>
      <c r="S888" s="64"/>
    </row>
    <row r="889" spans="2:19" x14ac:dyDescent="0.25">
      <c r="B889" s="181"/>
      <c r="C889" s="178"/>
      <c r="D889" s="23" t="s">
        <v>80</v>
      </c>
      <c r="E889" s="26">
        <v>3</v>
      </c>
      <c r="F889" s="24">
        <v>21</v>
      </c>
      <c r="G889" s="23" t="s">
        <v>66</v>
      </c>
      <c r="H889" s="63"/>
      <c r="I889" s="64"/>
      <c r="L889" s="181"/>
      <c r="M889" s="178"/>
      <c r="N889" s="23" t="s">
        <v>80</v>
      </c>
      <c r="O889" s="26">
        <v>3</v>
      </c>
      <c r="P889" s="24">
        <v>21</v>
      </c>
      <c r="Q889" s="23" t="s">
        <v>66</v>
      </c>
      <c r="R889" s="63"/>
      <c r="S889" s="64"/>
    </row>
    <row r="890" spans="2:19" x14ac:dyDescent="0.25">
      <c r="B890" s="181"/>
      <c r="C890" s="178"/>
      <c r="D890" s="23" t="s">
        <v>81</v>
      </c>
      <c r="E890" s="24">
        <v>4</v>
      </c>
      <c r="F890" s="24">
        <v>22</v>
      </c>
      <c r="G890" s="23" t="s">
        <v>66</v>
      </c>
      <c r="H890" s="63"/>
      <c r="I890" s="64"/>
      <c r="L890" s="181"/>
      <c r="M890" s="178"/>
      <c r="N890" s="23" t="s">
        <v>81</v>
      </c>
      <c r="O890" s="24">
        <v>4</v>
      </c>
      <c r="P890" s="24">
        <v>22</v>
      </c>
      <c r="Q890" s="23" t="s">
        <v>66</v>
      </c>
      <c r="R890" s="63"/>
      <c r="S890" s="64"/>
    </row>
    <row r="891" spans="2:19" x14ac:dyDescent="0.25">
      <c r="B891" s="181"/>
      <c r="C891" s="178"/>
      <c r="D891" s="23" t="s">
        <v>82</v>
      </c>
      <c r="E891" s="24">
        <v>5</v>
      </c>
      <c r="F891" s="24">
        <v>23</v>
      </c>
      <c r="G891" s="23" t="s">
        <v>66</v>
      </c>
      <c r="H891" s="63"/>
      <c r="I891" s="64"/>
      <c r="L891" s="181"/>
      <c r="M891" s="178"/>
      <c r="N891" s="23" t="s">
        <v>82</v>
      </c>
      <c r="O891" s="24">
        <v>5</v>
      </c>
      <c r="P891" s="24">
        <v>23</v>
      </c>
      <c r="Q891" s="23" t="s">
        <v>66</v>
      </c>
      <c r="R891" s="63"/>
      <c r="S891" s="64"/>
    </row>
    <row r="892" spans="2:19" ht="15.75" thickBot="1" x14ac:dyDescent="0.3">
      <c r="B892" s="182"/>
      <c r="C892" s="179"/>
      <c r="D892" s="23" t="s">
        <v>83</v>
      </c>
      <c r="E892" s="24">
        <v>6</v>
      </c>
      <c r="F892" s="24">
        <v>24</v>
      </c>
      <c r="G892" s="23" t="s">
        <v>66</v>
      </c>
      <c r="H892" s="63"/>
      <c r="I892" s="64"/>
      <c r="L892" s="182"/>
      <c r="M892" s="179"/>
      <c r="N892" s="23" t="s">
        <v>83</v>
      </c>
      <c r="O892" s="24">
        <v>6</v>
      </c>
      <c r="P892" s="24">
        <v>24</v>
      </c>
      <c r="Q892" s="23" t="s">
        <v>66</v>
      </c>
      <c r="R892" s="63"/>
      <c r="S892" s="64"/>
    </row>
    <row r="893" spans="2:19" x14ac:dyDescent="0.25">
      <c r="B893" s="189" t="s">
        <v>80</v>
      </c>
      <c r="C893" s="192" t="s">
        <v>77</v>
      </c>
      <c r="D893" s="27" t="s">
        <v>2</v>
      </c>
      <c r="E893" s="28">
        <v>1</v>
      </c>
      <c r="F893" s="28">
        <v>25</v>
      </c>
      <c r="G893" s="27" t="s">
        <v>66</v>
      </c>
      <c r="H893" s="27"/>
      <c r="I893" s="48"/>
      <c r="L893" s="189" t="s">
        <v>80</v>
      </c>
      <c r="M893" s="192" t="s">
        <v>77</v>
      </c>
      <c r="N893" s="27" t="s">
        <v>2</v>
      </c>
      <c r="O893" s="28">
        <v>1</v>
      </c>
      <c r="P893" s="28">
        <v>25</v>
      </c>
      <c r="Q893" s="27" t="s">
        <v>66</v>
      </c>
      <c r="R893" s="27"/>
      <c r="S893" s="48"/>
    </row>
    <row r="894" spans="2:19" x14ac:dyDescent="0.25">
      <c r="B894" s="190"/>
      <c r="C894" s="193"/>
      <c r="D894" s="27" t="s">
        <v>3</v>
      </c>
      <c r="E894" s="28">
        <v>2</v>
      </c>
      <c r="F894" s="28">
        <v>26</v>
      </c>
      <c r="G894" s="27" t="s">
        <v>66</v>
      </c>
      <c r="H894" s="27"/>
      <c r="I894" s="48"/>
      <c r="L894" s="190"/>
      <c r="M894" s="193"/>
      <c r="N894" s="27" t="s">
        <v>3</v>
      </c>
      <c r="O894" s="28">
        <v>2</v>
      </c>
      <c r="P894" s="28">
        <v>26</v>
      </c>
      <c r="Q894" s="27" t="s">
        <v>66</v>
      </c>
      <c r="R894" s="27"/>
      <c r="S894" s="48"/>
    </row>
    <row r="895" spans="2:19" x14ac:dyDescent="0.25">
      <c r="B895" s="190"/>
      <c r="C895" s="193"/>
      <c r="D895" s="27" t="s">
        <v>80</v>
      </c>
      <c r="E895" s="28">
        <v>3</v>
      </c>
      <c r="F895" s="28">
        <v>27</v>
      </c>
      <c r="G895" s="27" t="s">
        <v>66</v>
      </c>
      <c r="H895" s="27"/>
      <c r="I895" s="48"/>
      <c r="L895" s="190"/>
      <c r="M895" s="193"/>
      <c r="N895" s="27" t="s">
        <v>80</v>
      </c>
      <c r="O895" s="28">
        <v>3</v>
      </c>
      <c r="P895" s="28">
        <v>27</v>
      </c>
      <c r="Q895" s="27" t="s">
        <v>66</v>
      </c>
      <c r="R895" s="27"/>
      <c r="S895" s="48"/>
    </row>
    <row r="896" spans="2:19" x14ac:dyDescent="0.25">
      <c r="B896" s="190"/>
      <c r="C896" s="193"/>
      <c r="D896" s="27" t="s">
        <v>81</v>
      </c>
      <c r="E896" s="28">
        <v>4</v>
      </c>
      <c r="F896" s="28">
        <v>28</v>
      </c>
      <c r="G896" s="27" t="s">
        <v>66</v>
      </c>
      <c r="H896" s="27"/>
      <c r="I896" s="48"/>
      <c r="L896" s="190"/>
      <c r="M896" s="193"/>
      <c r="N896" s="27" t="s">
        <v>81</v>
      </c>
      <c r="O896" s="28">
        <v>4</v>
      </c>
      <c r="P896" s="28">
        <v>28</v>
      </c>
      <c r="Q896" s="27" t="s">
        <v>66</v>
      </c>
      <c r="R896" s="27"/>
      <c r="S896" s="48"/>
    </row>
    <row r="897" spans="2:19" x14ac:dyDescent="0.25">
      <c r="B897" s="190"/>
      <c r="C897" s="193"/>
      <c r="D897" s="27" t="s">
        <v>82</v>
      </c>
      <c r="E897" s="28">
        <v>5</v>
      </c>
      <c r="F897" s="28">
        <v>29</v>
      </c>
      <c r="G897" s="27" t="s">
        <v>66</v>
      </c>
      <c r="H897" s="27"/>
      <c r="I897" s="48"/>
      <c r="L897" s="190"/>
      <c r="M897" s="193"/>
      <c r="N897" s="27" t="s">
        <v>82</v>
      </c>
      <c r="O897" s="28">
        <v>5</v>
      </c>
      <c r="P897" s="28">
        <v>29</v>
      </c>
      <c r="Q897" s="27" t="s">
        <v>66</v>
      </c>
      <c r="R897" s="27"/>
      <c r="S897" s="48"/>
    </row>
    <row r="898" spans="2:19" ht="15.75" thickBot="1" x14ac:dyDescent="0.3">
      <c r="B898" s="190"/>
      <c r="C898" s="194"/>
      <c r="D898" s="27" t="s">
        <v>83</v>
      </c>
      <c r="E898" s="28">
        <v>6</v>
      </c>
      <c r="F898" s="28">
        <v>30</v>
      </c>
      <c r="G898" s="27" t="s">
        <v>66</v>
      </c>
      <c r="H898" s="27"/>
      <c r="I898" s="48"/>
      <c r="L898" s="190"/>
      <c r="M898" s="194"/>
      <c r="N898" s="27" t="s">
        <v>83</v>
      </c>
      <c r="O898" s="28">
        <v>6</v>
      </c>
      <c r="P898" s="28">
        <v>30</v>
      </c>
      <c r="Q898" s="27" t="s">
        <v>66</v>
      </c>
      <c r="R898" s="27"/>
      <c r="S898" s="48"/>
    </row>
    <row r="899" spans="2:19" x14ac:dyDescent="0.25">
      <c r="B899" s="190"/>
      <c r="C899" s="192" t="s">
        <v>84</v>
      </c>
      <c r="D899" s="27" t="s">
        <v>2</v>
      </c>
      <c r="E899" s="28">
        <v>1</v>
      </c>
      <c r="F899" s="28">
        <v>31</v>
      </c>
      <c r="G899" s="27" t="s">
        <v>66</v>
      </c>
      <c r="H899" s="27"/>
      <c r="I899" s="48"/>
      <c r="L899" s="190"/>
      <c r="M899" s="192" t="s">
        <v>84</v>
      </c>
      <c r="N899" s="27" t="s">
        <v>2</v>
      </c>
      <c r="O899" s="28">
        <v>1</v>
      </c>
      <c r="P899" s="28">
        <v>31</v>
      </c>
      <c r="Q899" s="27" t="s">
        <v>66</v>
      </c>
      <c r="R899" s="27"/>
      <c r="S899" s="48"/>
    </row>
    <row r="900" spans="2:19" x14ac:dyDescent="0.25">
      <c r="B900" s="190"/>
      <c r="C900" s="193"/>
      <c r="D900" s="27" t="s">
        <v>3</v>
      </c>
      <c r="E900" s="28">
        <v>2</v>
      </c>
      <c r="F900" s="28">
        <v>32</v>
      </c>
      <c r="G900" s="27" t="s">
        <v>66</v>
      </c>
      <c r="H900" s="27"/>
      <c r="I900" s="48"/>
      <c r="L900" s="190"/>
      <c r="M900" s="193"/>
      <c r="N900" s="27" t="s">
        <v>3</v>
      </c>
      <c r="O900" s="28">
        <v>2</v>
      </c>
      <c r="P900" s="28">
        <v>32</v>
      </c>
      <c r="Q900" s="27" t="s">
        <v>66</v>
      </c>
      <c r="R900" s="27"/>
      <c r="S900" s="48"/>
    </row>
    <row r="901" spans="2:19" x14ac:dyDescent="0.25">
      <c r="B901" s="190"/>
      <c r="C901" s="193"/>
      <c r="D901" s="27" t="s">
        <v>80</v>
      </c>
      <c r="E901" s="28">
        <v>3</v>
      </c>
      <c r="F901" s="28">
        <v>33</v>
      </c>
      <c r="G901" s="27" t="s">
        <v>66</v>
      </c>
      <c r="H901" s="27"/>
      <c r="I901" s="48"/>
      <c r="L901" s="190"/>
      <c r="M901" s="193"/>
      <c r="N901" s="27" t="s">
        <v>80</v>
      </c>
      <c r="O901" s="28">
        <v>3</v>
      </c>
      <c r="P901" s="28">
        <v>33</v>
      </c>
      <c r="Q901" s="27" t="s">
        <v>66</v>
      </c>
      <c r="R901" s="27"/>
      <c r="S901" s="48"/>
    </row>
    <row r="902" spans="2:19" x14ac:dyDescent="0.25">
      <c r="B902" s="190"/>
      <c r="C902" s="193"/>
      <c r="D902" s="27" t="s">
        <v>81</v>
      </c>
      <c r="E902" s="28">
        <v>4</v>
      </c>
      <c r="F902" s="28">
        <v>34</v>
      </c>
      <c r="G902" s="27" t="s">
        <v>66</v>
      </c>
      <c r="H902" s="27"/>
      <c r="I902" s="48"/>
      <c r="L902" s="190"/>
      <c r="M902" s="193"/>
      <c r="N902" s="27" t="s">
        <v>81</v>
      </c>
      <c r="O902" s="28">
        <v>4</v>
      </c>
      <c r="P902" s="28">
        <v>34</v>
      </c>
      <c r="Q902" s="27" t="s">
        <v>66</v>
      </c>
      <c r="R902" s="27"/>
      <c r="S902" s="48"/>
    </row>
    <row r="903" spans="2:19" x14ac:dyDescent="0.25">
      <c r="B903" s="190"/>
      <c r="C903" s="193"/>
      <c r="D903" s="27" t="s">
        <v>82</v>
      </c>
      <c r="E903" s="28">
        <v>5</v>
      </c>
      <c r="F903" s="28">
        <v>35</v>
      </c>
      <c r="G903" s="27" t="s">
        <v>66</v>
      </c>
      <c r="H903" s="27"/>
      <c r="I903" s="48"/>
      <c r="L903" s="190"/>
      <c r="M903" s="193"/>
      <c r="N903" s="27" t="s">
        <v>82</v>
      </c>
      <c r="O903" s="28">
        <v>5</v>
      </c>
      <c r="P903" s="28">
        <v>35</v>
      </c>
      <c r="Q903" s="27" t="s">
        <v>66</v>
      </c>
      <c r="R903" s="27"/>
      <c r="S903" s="48"/>
    </row>
    <row r="904" spans="2:19" ht="15.75" thickBot="1" x14ac:dyDescent="0.3">
      <c r="B904" s="191"/>
      <c r="C904" s="194"/>
      <c r="D904" s="27" t="s">
        <v>83</v>
      </c>
      <c r="E904" s="28">
        <v>6</v>
      </c>
      <c r="F904" s="28">
        <v>36</v>
      </c>
      <c r="G904" s="27" t="s">
        <v>66</v>
      </c>
      <c r="H904" s="27"/>
      <c r="I904" s="48"/>
      <c r="L904" s="191"/>
      <c r="M904" s="194"/>
      <c r="N904" s="27" t="s">
        <v>83</v>
      </c>
      <c r="O904" s="28">
        <v>6</v>
      </c>
      <c r="P904" s="28">
        <v>36</v>
      </c>
      <c r="Q904" s="27" t="s">
        <v>66</v>
      </c>
      <c r="R904" s="27"/>
      <c r="S904" s="48"/>
    </row>
    <row r="905" spans="2:19" x14ac:dyDescent="0.25">
      <c r="B905" s="183" t="s">
        <v>81</v>
      </c>
      <c r="C905" s="186" t="s">
        <v>77</v>
      </c>
      <c r="D905" s="29" t="s">
        <v>2</v>
      </c>
      <c r="E905" s="30">
        <v>1</v>
      </c>
      <c r="F905" s="30">
        <v>37</v>
      </c>
      <c r="G905" s="29" t="s">
        <v>66</v>
      </c>
      <c r="H905" s="29"/>
      <c r="I905" s="49"/>
      <c r="L905" s="183" t="s">
        <v>81</v>
      </c>
      <c r="M905" s="186" t="s">
        <v>77</v>
      </c>
      <c r="N905" s="29" t="s">
        <v>2</v>
      </c>
      <c r="O905" s="30">
        <v>1</v>
      </c>
      <c r="P905" s="30">
        <v>37</v>
      </c>
      <c r="Q905" s="29" t="s">
        <v>66</v>
      </c>
      <c r="R905" s="29"/>
      <c r="S905" s="49"/>
    </row>
    <row r="906" spans="2:19" x14ac:dyDescent="0.25">
      <c r="B906" s="184"/>
      <c r="C906" s="187"/>
      <c r="D906" s="29" t="s">
        <v>3</v>
      </c>
      <c r="E906" s="30">
        <v>2</v>
      </c>
      <c r="F906" s="30">
        <v>38</v>
      </c>
      <c r="G906" s="29" t="s">
        <v>66</v>
      </c>
      <c r="H906" s="29"/>
      <c r="I906" s="49"/>
      <c r="L906" s="184"/>
      <c r="M906" s="187"/>
      <c r="N906" s="29" t="s">
        <v>3</v>
      </c>
      <c r="O906" s="30">
        <v>2</v>
      </c>
      <c r="P906" s="30">
        <v>38</v>
      </c>
      <c r="Q906" s="29" t="s">
        <v>66</v>
      </c>
      <c r="R906" s="29"/>
      <c r="S906" s="49"/>
    </row>
    <row r="907" spans="2:19" x14ac:dyDescent="0.25">
      <c r="B907" s="184"/>
      <c r="C907" s="187"/>
      <c r="D907" s="29" t="s">
        <v>80</v>
      </c>
      <c r="E907" s="30">
        <v>3</v>
      </c>
      <c r="F907" s="30">
        <v>39</v>
      </c>
      <c r="G907" s="29" t="s">
        <v>66</v>
      </c>
      <c r="H907" s="29"/>
      <c r="I907" s="49"/>
      <c r="L907" s="184"/>
      <c r="M907" s="187"/>
      <c r="N907" s="29" t="s">
        <v>80</v>
      </c>
      <c r="O907" s="30">
        <v>3</v>
      </c>
      <c r="P907" s="30">
        <v>39</v>
      </c>
      <c r="Q907" s="29" t="s">
        <v>66</v>
      </c>
      <c r="R907" s="29"/>
      <c r="S907" s="49"/>
    </row>
    <row r="908" spans="2:19" x14ac:dyDescent="0.25">
      <c r="B908" s="184"/>
      <c r="C908" s="187"/>
      <c r="D908" s="29" t="s">
        <v>81</v>
      </c>
      <c r="E908" s="30">
        <v>4</v>
      </c>
      <c r="F908" s="30">
        <v>40</v>
      </c>
      <c r="G908" s="29" t="s">
        <v>66</v>
      </c>
      <c r="H908" s="29"/>
      <c r="I908" s="49"/>
      <c r="L908" s="184"/>
      <c r="M908" s="187"/>
      <c r="N908" s="29" t="s">
        <v>81</v>
      </c>
      <c r="O908" s="30">
        <v>4</v>
      </c>
      <c r="P908" s="30">
        <v>40</v>
      </c>
      <c r="Q908" s="29" t="s">
        <v>66</v>
      </c>
      <c r="R908" s="29"/>
      <c r="S908" s="49"/>
    </row>
    <row r="909" spans="2:19" x14ac:dyDescent="0.25">
      <c r="B909" s="184"/>
      <c r="C909" s="187"/>
      <c r="D909" s="29" t="s">
        <v>82</v>
      </c>
      <c r="E909" s="30">
        <v>5</v>
      </c>
      <c r="F909" s="30">
        <v>41</v>
      </c>
      <c r="G909" s="29" t="s">
        <v>66</v>
      </c>
      <c r="H909" s="29"/>
      <c r="I909" s="49"/>
      <c r="L909" s="184"/>
      <c r="M909" s="187"/>
      <c r="N909" s="29" t="s">
        <v>82</v>
      </c>
      <c r="O909" s="30">
        <v>5</v>
      </c>
      <c r="P909" s="30">
        <v>41</v>
      </c>
      <c r="Q909" s="29" t="s">
        <v>66</v>
      </c>
      <c r="R909" s="29"/>
      <c r="S909" s="49"/>
    </row>
    <row r="910" spans="2:19" ht="15.75" thickBot="1" x14ac:dyDescent="0.3">
      <c r="B910" s="184"/>
      <c r="C910" s="188"/>
      <c r="D910" s="29" t="s">
        <v>83</v>
      </c>
      <c r="E910" s="30">
        <v>6</v>
      </c>
      <c r="F910" s="30">
        <v>42</v>
      </c>
      <c r="G910" s="29" t="s">
        <v>66</v>
      </c>
      <c r="H910" s="29"/>
      <c r="I910" s="49"/>
      <c r="L910" s="184"/>
      <c r="M910" s="188"/>
      <c r="N910" s="29" t="s">
        <v>83</v>
      </c>
      <c r="O910" s="30">
        <v>6</v>
      </c>
      <c r="P910" s="30">
        <v>42</v>
      </c>
      <c r="Q910" s="29" t="s">
        <v>66</v>
      </c>
      <c r="R910" s="29"/>
      <c r="S910" s="49"/>
    </row>
    <row r="911" spans="2:19" x14ac:dyDescent="0.25">
      <c r="B911" s="184"/>
      <c r="C911" s="186" t="s">
        <v>84</v>
      </c>
      <c r="D911" s="29" t="s">
        <v>2</v>
      </c>
      <c r="E911" s="30">
        <v>1</v>
      </c>
      <c r="F911" s="30">
        <v>43</v>
      </c>
      <c r="G911" s="29" t="s">
        <v>66</v>
      </c>
      <c r="H911" s="29"/>
      <c r="I911" s="49"/>
      <c r="L911" s="184"/>
      <c r="M911" s="186" t="s">
        <v>84</v>
      </c>
      <c r="N911" s="29" t="s">
        <v>2</v>
      </c>
      <c r="O911" s="30">
        <v>1</v>
      </c>
      <c r="P911" s="30">
        <v>43</v>
      </c>
      <c r="Q911" s="29" t="s">
        <v>66</v>
      </c>
      <c r="R911" s="29"/>
      <c r="S911" s="49"/>
    </row>
    <row r="912" spans="2:19" x14ac:dyDescent="0.25">
      <c r="B912" s="184"/>
      <c r="C912" s="187"/>
      <c r="D912" s="29" t="s">
        <v>3</v>
      </c>
      <c r="E912" s="30">
        <v>2</v>
      </c>
      <c r="F912" s="30">
        <v>44</v>
      </c>
      <c r="G912" s="29" t="s">
        <v>66</v>
      </c>
      <c r="H912" s="29"/>
      <c r="I912" s="49"/>
      <c r="L912" s="184"/>
      <c r="M912" s="187"/>
      <c r="N912" s="29" t="s">
        <v>3</v>
      </c>
      <c r="O912" s="30">
        <v>2</v>
      </c>
      <c r="P912" s="30">
        <v>44</v>
      </c>
      <c r="Q912" s="29" t="s">
        <v>66</v>
      </c>
      <c r="R912" s="29"/>
      <c r="S912" s="49"/>
    </row>
    <row r="913" spans="2:19" x14ac:dyDescent="0.25">
      <c r="B913" s="184"/>
      <c r="C913" s="187"/>
      <c r="D913" s="29" t="s">
        <v>80</v>
      </c>
      <c r="E913" s="30">
        <v>3</v>
      </c>
      <c r="F913" s="30">
        <v>45</v>
      </c>
      <c r="G913" s="29" t="s">
        <v>66</v>
      </c>
      <c r="H913" s="29"/>
      <c r="I913" s="49"/>
      <c r="L913" s="184"/>
      <c r="M913" s="187"/>
      <c r="N913" s="29" t="s">
        <v>80</v>
      </c>
      <c r="O913" s="30">
        <v>3</v>
      </c>
      <c r="P913" s="30">
        <v>45</v>
      </c>
      <c r="Q913" s="29" t="s">
        <v>66</v>
      </c>
      <c r="R913" s="29"/>
      <c r="S913" s="49"/>
    </row>
    <row r="914" spans="2:19" x14ac:dyDescent="0.25">
      <c r="B914" s="184"/>
      <c r="C914" s="187"/>
      <c r="D914" s="29" t="s">
        <v>81</v>
      </c>
      <c r="E914" s="30">
        <v>4</v>
      </c>
      <c r="F914" s="30">
        <v>46</v>
      </c>
      <c r="G914" s="29" t="s">
        <v>66</v>
      </c>
      <c r="H914" s="29"/>
      <c r="I914" s="49"/>
      <c r="L914" s="184"/>
      <c r="M914" s="187"/>
      <c r="N914" s="29" t="s">
        <v>81</v>
      </c>
      <c r="O914" s="30">
        <v>4</v>
      </c>
      <c r="P914" s="30">
        <v>46</v>
      </c>
      <c r="Q914" s="29" t="s">
        <v>66</v>
      </c>
      <c r="R914" s="29"/>
      <c r="S914" s="49"/>
    </row>
    <row r="915" spans="2:19" x14ac:dyDescent="0.25">
      <c r="B915" s="184"/>
      <c r="C915" s="187"/>
      <c r="D915" s="29" t="s">
        <v>82</v>
      </c>
      <c r="E915" s="30">
        <v>5</v>
      </c>
      <c r="F915" s="30">
        <v>47</v>
      </c>
      <c r="G915" s="29" t="s">
        <v>66</v>
      </c>
      <c r="H915" s="29"/>
      <c r="I915" s="49"/>
      <c r="L915" s="184"/>
      <c r="M915" s="187"/>
      <c r="N915" s="29" t="s">
        <v>82</v>
      </c>
      <c r="O915" s="30">
        <v>5</v>
      </c>
      <c r="P915" s="30">
        <v>47</v>
      </c>
      <c r="Q915" s="29" t="s">
        <v>66</v>
      </c>
      <c r="R915" s="29"/>
      <c r="S915" s="49"/>
    </row>
    <row r="916" spans="2:19" ht="15.75" thickBot="1" x14ac:dyDescent="0.3">
      <c r="B916" s="185"/>
      <c r="C916" s="188"/>
      <c r="D916" s="29" t="s">
        <v>83</v>
      </c>
      <c r="E916" s="30">
        <v>6</v>
      </c>
      <c r="F916" s="30">
        <v>48</v>
      </c>
      <c r="G916" s="29" t="s">
        <v>66</v>
      </c>
      <c r="H916" s="29"/>
      <c r="I916" s="49"/>
      <c r="L916" s="185"/>
      <c r="M916" s="188"/>
      <c r="N916" s="29" t="s">
        <v>83</v>
      </c>
      <c r="O916" s="30">
        <v>6</v>
      </c>
      <c r="P916" s="30">
        <v>48</v>
      </c>
      <c r="Q916" s="29" t="s">
        <v>66</v>
      </c>
      <c r="R916" s="29"/>
      <c r="S916" s="49"/>
    </row>
  </sheetData>
  <mergeCells count="510">
    <mergeCell ref="B905:B916"/>
    <mergeCell ref="C905:C910"/>
    <mergeCell ref="L905:L916"/>
    <mergeCell ref="M905:M910"/>
    <mergeCell ref="C911:C916"/>
    <mergeCell ref="M911:M916"/>
    <mergeCell ref="B893:B904"/>
    <mergeCell ref="C893:C898"/>
    <mergeCell ref="L893:L904"/>
    <mergeCell ref="M893:M898"/>
    <mergeCell ref="C899:C904"/>
    <mergeCell ref="M899:M904"/>
    <mergeCell ref="R869:R874"/>
    <mergeCell ref="S869:S874"/>
    <mergeCell ref="C875:C880"/>
    <mergeCell ref="M875:M880"/>
    <mergeCell ref="B881:B892"/>
    <mergeCell ref="C881:C886"/>
    <mergeCell ref="L881:L892"/>
    <mergeCell ref="M881:M886"/>
    <mergeCell ref="C887:C892"/>
    <mergeCell ref="M887:M892"/>
    <mergeCell ref="R829:R834"/>
    <mergeCell ref="S829:S834"/>
    <mergeCell ref="B866:I866"/>
    <mergeCell ref="L866:S866"/>
    <mergeCell ref="B869:B880"/>
    <mergeCell ref="C869:C874"/>
    <mergeCell ref="H869:H874"/>
    <mergeCell ref="I869:I874"/>
    <mergeCell ref="L869:L880"/>
    <mergeCell ref="M869:M874"/>
    <mergeCell ref="R725:R730"/>
    <mergeCell ref="S725:S730"/>
    <mergeCell ref="H777:H782"/>
    <mergeCell ref="I777:I782"/>
    <mergeCell ref="R777:R782"/>
    <mergeCell ref="S777:S782"/>
    <mergeCell ref="R386:R391"/>
    <mergeCell ref="S386:S391"/>
    <mergeCell ref="H439:H444"/>
    <mergeCell ref="I439:I444"/>
    <mergeCell ref="R439:R444"/>
    <mergeCell ref="S439:S444"/>
    <mergeCell ref="B853:B864"/>
    <mergeCell ref="C853:C858"/>
    <mergeCell ref="L853:L864"/>
    <mergeCell ref="M853:M858"/>
    <mergeCell ref="C859:C864"/>
    <mergeCell ref="M859:M864"/>
    <mergeCell ref="B841:B852"/>
    <mergeCell ref="C841:C846"/>
    <mergeCell ref="L841:L852"/>
    <mergeCell ref="M841:M846"/>
    <mergeCell ref="C847:C852"/>
    <mergeCell ref="M847:M852"/>
    <mergeCell ref="C823:C828"/>
    <mergeCell ref="M823:M828"/>
    <mergeCell ref="B829:B840"/>
    <mergeCell ref="C829:C834"/>
    <mergeCell ref="L829:L840"/>
    <mergeCell ref="M829:M834"/>
    <mergeCell ref="C835:C840"/>
    <mergeCell ref="M835:M840"/>
    <mergeCell ref="H829:H834"/>
    <mergeCell ref="I829:I834"/>
    <mergeCell ref="B814:I814"/>
    <mergeCell ref="L814:S814"/>
    <mergeCell ref="B817:B828"/>
    <mergeCell ref="C817:C822"/>
    <mergeCell ref="L817:L828"/>
    <mergeCell ref="M817:M822"/>
    <mergeCell ref="B801:B812"/>
    <mergeCell ref="C801:C806"/>
    <mergeCell ref="L801:L812"/>
    <mergeCell ref="M801:M806"/>
    <mergeCell ref="C807:C812"/>
    <mergeCell ref="M807:M812"/>
    <mergeCell ref="B789:B800"/>
    <mergeCell ref="C789:C794"/>
    <mergeCell ref="L789:L800"/>
    <mergeCell ref="M789:M794"/>
    <mergeCell ref="C795:C800"/>
    <mergeCell ref="M795:M800"/>
    <mergeCell ref="C771:C776"/>
    <mergeCell ref="M771:M776"/>
    <mergeCell ref="B777:B788"/>
    <mergeCell ref="C777:C782"/>
    <mergeCell ref="L777:L788"/>
    <mergeCell ref="M777:M782"/>
    <mergeCell ref="C783:C788"/>
    <mergeCell ref="M783:M788"/>
    <mergeCell ref="B762:I762"/>
    <mergeCell ref="L762:S762"/>
    <mergeCell ref="B765:B776"/>
    <mergeCell ref="C765:C770"/>
    <mergeCell ref="L765:L776"/>
    <mergeCell ref="M765:M770"/>
    <mergeCell ref="B749:B760"/>
    <mergeCell ref="C749:C754"/>
    <mergeCell ref="L749:L760"/>
    <mergeCell ref="M749:M754"/>
    <mergeCell ref="C755:C760"/>
    <mergeCell ref="M755:M760"/>
    <mergeCell ref="B737:B748"/>
    <mergeCell ref="C737:C742"/>
    <mergeCell ref="L737:L748"/>
    <mergeCell ref="M737:M742"/>
    <mergeCell ref="C743:C748"/>
    <mergeCell ref="M743:M748"/>
    <mergeCell ref="C719:C724"/>
    <mergeCell ref="M719:M724"/>
    <mergeCell ref="B725:B736"/>
    <mergeCell ref="C725:C730"/>
    <mergeCell ref="L725:L736"/>
    <mergeCell ref="M725:M730"/>
    <mergeCell ref="C731:C736"/>
    <mergeCell ref="M731:M736"/>
    <mergeCell ref="H725:H730"/>
    <mergeCell ref="I725:I730"/>
    <mergeCell ref="B710:I710"/>
    <mergeCell ref="L710:S710"/>
    <mergeCell ref="B713:B724"/>
    <mergeCell ref="C713:C718"/>
    <mergeCell ref="L713:L724"/>
    <mergeCell ref="M713:M718"/>
    <mergeCell ref="B689:B700"/>
    <mergeCell ref="C689:C694"/>
    <mergeCell ref="L689:L700"/>
    <mergeCell ref="M689:M694"/>
    <mergeCell ref="C695:C700"/>
    <mergeCell ref="M695:M700"/>
    <mergeCell ref="R665:R670"/>
    <mergeCell ref="S665:S670"/>
    <mergeCell ref="C671:C676"/>
    <mergeCell ref="M671:M676"/>
    <mergeCell ref="B677:B688"/>
    <mergeCell ref="C677:C682"/>
    <mergeCell ref="L677:L688"/>
    <mergeCell ref="M677:M682"/>
    <mergeCell ref="C683:C688"/>
    <mergeCell ref="M683:M688"/>
    <mergeCell ref="B665:B676"/>
    <mergeCell ref="C665:C670"/>
    <mergeCell ref="H665:H670"/>
    <mergeCell ref="I665:I670"/>
    <mergeCell ref="L665:L676"/>
    <mergeCell ref="M665:M670"/>
    <mergeCell ref="B650:I650"/>
    <mergeCell ref="L650:S650"/>
    <mergeCell ref="B653:B664"/>
    <mergeCell ref="C653:C658"/>
    <mergeCell ref="L653:L664"/>
    <mergeCell ref="M653:M658"/>
    <mergeCell ref="C659:C664"/>
    <mergeCell ref="M659:M664"/>
    <mergeCell ref="B636:B647"/>
    <mergeCell ref="C636:C641"/>
    <mergeCell ref="L636:L647"/>
    <mergeCell ref="M636:M641"/>
    <mergeCell ref="C642:C647"/>
    <mergeCell ref="M642:M647"/>
    <mergeCell ref="R612:R617"/>
    <mergeCell ref="S612:S617"/>
    <mergeCell ref="C618:C623"/>
    <mergeCell ref="M618:M623"/>
    <mergeCell ref="B624:B635"/>
    <mergeCell ref="C624:C629"/>
    <mergeCell ref="L624:L635"/>
    <mergeCell ref="M624:M629"/>
    <mergeCell ref="C630:C635"/>
    <mergeCell ref="M630:M635"/>
    <mergeCell ref="B612:B623"/>
    <mergeCell ref="C612:C617"/>
    <mergeCell ref="H612:H617"/>
    <mergeCell ref="I612:I617"/>
    <mergeCell ref="L612:L623"/>
    <mergeCell ref="M612:M617"/>
    <mergeCell ref="B597:I597"/>
    <mergeCell ref="L597:S597"/>
    <mergeCell ref="B600:B611"/>
    <mergeCell ref="C600:C605"/>
    <mergeCell ref="L600:L611"/>
    <mergeCell ref="M600:M605"/>
    <mergeCell ref="C606:C611"/>
    <mergeCell ref="M606:M611"/>
    <mergeCell ref="B583:B594"/>
    <mergeCell ref="C583:C588"/>
    <mergeCell ref="L583:L594"/>
    <mergeCell ref="M583:M588"/>
    <mergeCell ref="C589:C594"/>
    <mergeCell ref="M589:M594"/>
    <mergeCell ref="R559:R564"/>
    <mergeCell ref="S559:S564"/>
    <mergeCell ref="C565:C570"/>
    <mergeCell ref="M565:M570"/>
    <mergeCell ref="B571:B582"/>
    <mergeCell ref="C571:C576"/>
    <mergeCell ref="L571:L582"/>
    <mergeCell ref="M571:M576"/>
    <mergeCell ref="C577:C582"/>
    <mergeCell ref="M577:M582"/>
    <mergeCell ref="B559:B570"/>
    <mergeCell ref="C559:C564"/>
    <mergeCell ref="H559:H564"/>
    <mergeCell ref="I559:I564"/>
    <mergeCell ref="L559:L570"/>
    <mergeCell ref="M559:M564"/>
    <mergeCell ref="B544:I544"/>
    <mergeCell ref="L544:S544"/>
    <mergeCell ref="B547:B558"/>
    <mergeCell ref="C547:C552"/>
    <mergeCell ref="L547:L558"/>
    <mergeCell ref="M547:M552"/>
    <mergeCell ref="C553:C558"/>
    <mergeCell ref="M553:M558"/>
    <mergeCell ref="B529:B540"/>
    <mergeCell ref="C529:C534"/>
    <mergeCell ref="L529:L540"/>
    <mergeCell ref="M529:M534"/>
    <mergeCell ref="C535:C540"/>
    <mergeCell ref="M535:M540"/>
    <mergeCell ref="R505:R510"/>
    <mergeCell ref="S505:S510"/>
    <mergeCell ref="C511:C516"/>
    <mergeCell ref="M511:M516"/>
    <mergeCell ref="B517:B528"/>
    <mergeCell ref="C517:C522"/>
    <mergeCell ref="L517:L528"/>
    <mergeCell ref="M517:M522"/>
    <mergeCell ref="C523:C528"/>
    <mergeCell ref="M523:M528"/>
    <mergeCell ref="B505:B516"/>
    <mergeCell ref="C505:C510"/>
    <mergeCell ref="H505:H510"/>
    <mergeCell ref="I505:I510"/>
    <mergeCell ref="L505:L516"/>
    <mergeCell ref="M505:M510"/>
    <mergeCell ref="B490:I490"/>
    <mergeCell ref="L490:S490"/>
    <mergeCell ref="B493:B504"/>
    <mergeCell ref="C493:C498"/>
    <mergeCell ref="L493:L504"/>
    <mergeCell ref="M493:M498"/>
    <mergeCell ref="C499:C504"/>
    <mergeCell ref="M499:M504"/>
    <mergeCell ref="B469:B480"/>
    <mergeCell ref="C469:C474"/>
    <mergeCell ref="L469:L480"/>
    <mergeCell ref="M469:M474"/>
    <mergeCell ref="C475:C480"/>
    <mergeCell ref="M475:M480"/>
    <mergeCell ref="C451:C456"/>
    <mergeCell ref="M451:M456"/>
    <mergeCell ref="B457:B468"/>
    <mergeCell ref="C457:C462"/>
    <mergeCell ref="L457:L468"/>
    <mergeCell ref="M457:M462"/>
    <mergeCell ref="C463:C468"/>
    <mergeCell ref="M463:M468"/>
    <mergeCell ref="B445:B456"/>
    <mergeCell ref="C445:C450"/>
    <mergeCell ref="L445:L456"/>
    <mergeCell ref="M445:M450"/>
    <mergeCell ref="B430:I430"/>
    <mergeCell ref="L430:S430"/>
    <mergeCell ref="B433:B444"/>
    <mergeCell ref="C433:C438"/>
    <mergeCell ref="L433:L444"/>
    <mergeCell ref="M433:M438"/>
    <mergeCell ref="C439:C444"/>
    <mergeCell ref="M439:M444"/>
    <mergeCell ref="B416:B427"/>
    <mergeCell ref="C416:C421"/>
    <mergeCell ref="L416:L427"/>
    <mergeCell ref="M416:M421"/>
    <mergeCell ref="C422:C427"/>
    <mergeCell ref="M422:M427"/>
    <mergeCell ref="C398:C403"/>
    <mergeCell ref="M398:M403"/>
    <mergeCell ref="B404:B415"/>
    <mergeCell ref="C404:C409"/>
    <mergeCell ref="L404:L415"/>
    <mergeCell ref="M404:M409"/>
    <mergeCell ref="C410:C415"/>
    <mergeCell ref="M410:M415"/>
    <mergeCell ref="B392:B403"/>
    <mergeCell ref="C392:C397"/>
    <mergeCell ref="L392:L403"/>
    <mergeCell ref="M392:M397"/>
    <mergeCell ref="B377:I377"/>
    <mergeCell ref="L377:S377"/>
    <mergeCell ref="B380:B391"/>
    <mergeCell ref="C380:C385"/>
    <mergeCell ref="L380:L391"/>
    <mergeCell ref="M380:M385"/>
    <mergeCell ref="C386:C391"/>
    <mergeCell ref="M386:M391"/>
    <mergeCell ref="H386:H391"/>
    <mergeCell ref="I386:I391"/>
    <mergeCell ref="B363:B374"/>
    <mergeCell ref="C363:C368"/>
    <mergeCell ref="L363:L374"/>
    <mergeCell ref="M363:M368"/>
    <mergeCell ref="C369:C374"/>
    <mergeCell ref="M369:M374"/>
    <mergeCell ref="B351:B362"/>
    <mergeCell ref="C351:C356"/>
    <mergeCell ref="L351:L362"/>
    <mergeCell ref="M351:M356"/>
    <mergeCell ref="C357:C362"/>
    <mergeCell ref="M357:M362"/>
    <mergeCell ref="R333:R338"/>
    <mergeCell ref="S333:S338"/>
    <mergeCell ref="B339:B350"/>
    <mergeCell ref="C339:C344"/>
    <mergeCell ref="L339:L350"/>
    <mergeCell ref="M339:M344"/>
    <mergeCell ref="C345:C350"/>
    <mergeCell ref="M345:M350"/>
    <mergeCell ref="B324:I324"/>
    <mergeCell ref="L324:S324"/>
    <mergeCell ref="B327:B338"/>
    <mergeCell ref="C327:C332"/>
    <mergeCell ref="L327:L338"/>
    <mergeCell ref="M327:M332"/>
    <mergeCell ref="C333:C338"/>
    <mergeCell ref="H333:H338"/>
    <mergeCell ref="I333:I338"/>
    <mergeCell ref="M333:M338"/>
    <mergeCell ref="B310:B321"/>
    <mergeCell ref="C310:C315"/>
    <mergeCell ref="L310:L321"/>
    <mergeCell ref="M310:M315"/>
    <mergeCell ref="C316:C321"/>
    <mergeCell ref="M316:M321"/>
    <mergeCell ref="B298:B309"/>
    <mergeCell ref="C298:C303"/>
    <mergeCell ref="L298:L309"/>
    <mergeCell ref="M298:M303"/>
    <mergeCell ref="C304:C309"/>
    <mergeCell ref="M304:M309"/>
    <mergeCell ref="R280:R285"/>
    <mergeCell ref="S280:S285"/>
    <mergeCell ref="B286:B297"/>
    <mergeCell ref="C286:C291"/>
    <mergeCell ref="L286:L297"/>
    <mergeCell ref="M286:M291"/>
    <mergeCell ref="C292:C297"/>
    <mergeCell ref="M292:M297"/>
    <mergeCell ref="B271:I271"/>
    <mergeCell ref="L271:S271"/>
    <mergeCell ref="B274:B285"/>
    <mergeCell ref="C274:C279"/>
    <mergeCell ref="L274:L285"/>
    <mergeCell ref="M274:M279"/>
    <mergeCell ref="C280:C285"/>
    <mergeCell ref="H280:H285"/>
    <mergeCell ref="I280:I285"/>
    <mergeCell ref="M280:M285"/>
    <mergeCell ref="B253:B264"/>
    <mergeCell ref="C253:C258"/>
    <mergeCell ref="L253:L264"/>
    <mergeCell ref="M253:M258"/>
    <mergeCell ref="C259:C264"/>
    <mergeCell ref="M259:M264"/>
    <mergeCell ref="B241:B252"/>
    <mergeCell ref="C241:C246"/>
    <mergeCell ref="L241:L252"/>
    <mergeCell ref="M241:M246"/>
    <mergeCell ref="C247:C252"/>
    <mergeCell ref="M247:M252"/>
    <mergeCell ref="R223:R228"/>
    <mergeCell ref="S223:S228"/>
    <mergeCell ref="B229:B240"/>
    <mergeCell ref="C229:C234"/>
    <mergeCell ref="L229:L240"/>
    <mergeCell ref="M229:M234"/>
    <mergeCell ref="C235:C240"/>
    <mergeCell ref="M235:M240"/>
    <mergeCell ref="B214:I214"/>
    <mergeCell ref="L214:S214"/>
    <mergeCell ref="B217:B228"/>
    <mergeCell ref="C217:C222"/>
    <mergeCell ref="L217:L228"/>
    <mergeCell ref="M217:M222"/>
    <mergeCell ref="C223:C228"/>
    <mergeCell ref="H223:H228"/>
    <mergeCell ref="I223:I228"/>
    <mergeCell ref="M223:M228"/>
    <mergeCell ref="B201:B212"/>
    <mergeCell ref="C201:C206"/>
    <mergeCell ref="L201:L212"/>
    <mergeCell ref="M201:M206"/>
    <mergeCell ref="C207:C212"/>
    <mergeCell ref="M207:M212"/>
    <mergeCell ref="B189:B200"/>
    <mergeCell ref="C189:C194"/>
    <mergeCell ref="L189:L200"/>
    <mergeCell ref="M189:M194"/>
    <mergeCell ref="C195:C200"/>
    <mergeCell ref="M195:M200"/>
    <mergeCell ref="R171:R176"/>
    <mergeCell ref="S171:S176"/>
    <mergeCell ref="B177:B188"/>
    <mergeCell ref="C177:C182"/>
    <mergeCell ref="L177:L188"/>
    <mergeCell ref="M177:M182"/>
    <mergeCell ref="C183:C188"/>
    <mergeCell ref="M183:M188"/>
    <mergeCell ref="B162:I162"/>
    <mergeCell ref="L162:S162"/>
    <mergeCell ref="B165:B176"/>
    <mergeCell ref="C165:C170"/>
    <mergeCell ref="L165:L176"/>
    <mergeCell ref="M165:M170"/>
    <mergeCell ref="C171:C176"/>
    <mergeCell ref="H171:H176"/>
    <mergeCell ref="I171:I176"/>
    <mergeCell ref="M171:M176"/>
    <mergeCell ref="B149:B160"/>
    <mergeCell ref="C149:C154"/>
    <mergeCell ref="L149:L160"/>
    <mergeCell ref="M149:M154"/>
    <mergeCell ref="C155:C160"/>
    <mergeCell ref="M155:M160"/>
    <mergeCell ref="B137:B148"/>
    <mergeCell ref="C137:C142"/>
    <mergeCell ref="L137:L148"/>
    <mergeCell ref="M137:M142"/>
    <mergeCell ref="C143:C148"/>
    <mergeCell ref="M143:M148"/>
    <mergeCell ref="R119:R124"/>
    <mergeCell ref="S119:S124"/>
    <mergeCell ref="B125:B136"/>
    <mergeCell ref="C125:C130"/>
    <mergeCell ref="L125:L136"/>
    <mergeCell ref="M125:M130"/>
    <mergeCell ref="C131:C136"/>
    <mergeCell ref="M131:M136"/>
    <mergeCell ref="B110:I110"/>
    <mergeCell ref="L110:S110"/>
    <mergeCell ref="B113:B124"/>
    <mergeCell ref="C113:C118"/>
    <mergeCell ref="L113:L124"/>
    <mergeCell ref="M113:M118"/>
    <mergeCell ref="C119:C124"/>
    <mergeCell ref="H119:H124"/>
    <mergeCell ref="I119:I124"/>
    <mergeCell ref="M119:M124"/>
    <mergeCell ref="B97:B108"/>
    <mergeCell ref="C97:C102"/>
    <mergeCell ref="L97:L108"/>
    <mergeCell ref="M97:M102"/>
    <mergeCell ref="C103:C108"/>
    <mergeCell ref="M103:M108"/>
    <mergeCell ref="B85:B96"/>
    <mergeCell ref="C85:C90"/>
    <mergeCell ref="L85:L96"/>
    <mergeCell ref="M85:M90"/>
    <mergeCell ref="C91:C96"/>
    <mergeCell ref="M91:M96"/>
    <mergeCell ref="R67:R72"/>
    <mergeCell ref="S67:S72"/>
    <mergeCell ref="B73:B84"/>
    <mergeCell ref="C73:C78"/>
    <mergeCell ref="L73:L84"/>
    <mergeCell ref="M73:M78"/>
    <mergeCell ref="C79:C84"/>
    <mergeCell ref="M79:M84"/>
    <mergeCell ref="B58:I58"/>
    <mergeCell ref="L58:S58"/>
    <mergeCell ref="B61:B72"/>
    <mergeCell ref="C61:C66"/>
    <mergeCell ref="L61:L72"/>
    <mergeCell ref="M61:M66"/>
    <mergeCell ref="C67:C72"/>
    <mergeCell ref="H67:H72"/>
    <mergeCell ref="I67:I72"/>
    <mergeCell ref="M67:M72"/>
    <mergeCell ref="B45:B56"/>
    <mergeCell ref="C45:C50"/>
    <mergeCell ref="L45:L56"/>
    <mergeCell ref="M45:M50"/>
    <mergeCell ref="C51:C56"/>
    <mergeCell ref="M51:M56"/>
    <mergeCell ref="C27:C32"/>
    <mergeCell ref="M27:M32"/>
    <mergeCell ref="B33:B44"/>
    <mergeCell ref="C33:C38"/>
    <mergeCell ref="L33:L44"/>
    <mergeCell ref="M33:M38"/>
    <mergeCell ref="C39:C44"/>
    <mergeCell ref="M39:M44"/>
    <mergeCell ref="B21:B32"/>
    <mergeCell ref="C21:C26"/>
    <mergeCell ref="H21:H26"/>
    <mergeCell ref="I21:I26"/>
    <mergeCell ref="L21:L32"/>
    <mergeCell ref="M21:M26"/>
    <mergeCell ref="C15:C20"/>
    <mergeCell ref="H15:H20"/>
    <mergeCell ref="I15:I20"/>
    <mergeCell ref="M15:M20"/>
    <mergeCell ref="B6:I6"/>
    <mergeCell ref="L6:S6"/>
    <mergeCell ref="B9:B20"/>
    <mergeCell ref="C9:C14"/>
    <mergeCell ref="L9:L20"/>
    <mergeCell ref="M9:M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70"/>
  <sheetViews>
    <sheetView topLeftCell="A58" zoomScale="50" zoomScaleNormal="50" workbookViewId="0">
      <selection activeCell="V122" sqref="V122"/>
    </sheetView>
  </sheetViews>
  <sheetFormatPr defaultRowHeight="15" x14ac:dyDescent="0.25"/>
  <cols>
    <col min="1" max="1" width="39.28515625" style="44" customWidth="1"/>
    <col min="2" max="2" width="9.140625" style="44" customWidth="1"/>
    <col min="3" max="16384" width="9.140625" style="44"/>
  </cols>
  <sheetData>
    <row r="5" spans="1:6" ht="31.5" x14ac:dyDescent="0.5">
      <c r="A5" s="14"/>
      <c r="B5" s="14"/>
      <c r="C5" s="14"/>
      <c r="D5" s="14"/>
      <c r="E5" s="14"/>
      <c r="F5" s="14"/>
    </row>
    <row r="8" spans="1:6" x14ac:dyDescent="0.25">
      <c r="A8" s="198"/>
    </row>
    <row r="9" spans="1:6" x14ac:dyDescent="0.25">
      <c r="A9" s="198"/>
    </row>
    <row r="29" spans="1:1" x14ac:dyDescent="0.25">
      <c r="A29" s="35"/>
    </row>
    <row r="30" spans="1:1" x14ac:dyDescent="0.25">
      <c r="A30" s="35"/>
    </row>
    <row r="49" spans="1:1" x14ac:dyDescent="0.25">
      <c r="A49" s="45"/>
    </row>
    <row r="50" spans="1:1" x14ac:dyDescent="0.25">
      <c r="A50" s="45"/>
    </row>
    <row r="51" spans="1:1" x14ac:dyDescent="0.25">
      <c r="A51" s="45"/>
    </row>
    <row r="52" spans="1:1" x14ac:dyDescent="0.25">
      <c r="A52" s="46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</sheetData>
  <mergeCells count="1">
    <mergeCell ref="A8:A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2"/>
  <sheetViews>
    <sheetView zoomScale="40" zoomScaleNormal="40" workbookViewId="0">
      <selection activeCell="AE107" sqref="AE107"/>
    </sheetView>
  </sheetViews>
  <sheetFormatPr defaultRowHeight="15" x14ac:dyDescent="0.25"/>
  <cols>
    <col min="1" max="1" width="39.28515625" style="44" customWidth="1"/>
    <col min="2" max="2" width="9.140625" style="44" customWidth="1"/>
    <col min="3" max="16384" width="9.140625" style="44"/>
  </cols>
  <sheetData>
    <row r="5" spans="1:6" ht="31.5" x14ac:dyDescent="0.5">
      <c r="A5" s="14"/>
      <c r="B5" s="14"/>
      <c r="C5" s="14"/>
      <c r="D5" s="14"/>
      <c r="E5" s="14"/>
      <c r="F5" s="14"/>
    </row>
    <row r="8" spans="1:6" x14ac:dyDescent="0.25">
      <c r="A8" s="198"/>
    </row>
    <row r="9" spans="1:6" x14ac:dyDescent="0.25">
      <c r="A9" s="198"/>
    </row>
    <row r="29" spans="1:1" x14ac:dyDescent="0.25">
      <c r="A29" s="35"/>
    </row>
    <row r="30" spans="1:1" x14ac:dyDescent="0.25">
      <c r="A30" s="35"/>
    </row>
    <row r="49" spans="1:1" x14ac:dyDescent="0.25">
      <c r="A49" s="45"/>
    </row>
    <row r="50" spans="1:1" x14ac:dyDescent="0.25">
      <c r="A50" s="45"/>
    </row>
    <row r="51" spans="1:1" x14ac:dyDescent="0.25">
      <c r="A51" s="45"/>
    </row>
    <row r="52" spans="1:1" x14ac:dyDescent="0.25">
      <c r="A52" s="46"/>
    </row>
  </sheetData>
  <mergeCells count="1">
    <mergeCell ref="A8:A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2"/>
  <sheetViews>
    <sheetView zoomScale="40" zoomScaleNormal="40" workbookViewId="0">
      <selection sqref="A1:XFD1048576"/>
    </sheetView>
  </sheetViews>
  <sheetFormatPr defaultRowHeight="15" x14ac:dyDescent="0.25"/>
  <cols>
    <col min="1" max="1" width="39.28515625" style="44" customWidth="1"/>
    <col min="2" max="2" width="9.140625" style="44" customWidth="1"/>
    <col min="3" max="16384" width="9.140625" style="44"/>
  </cols>
  <sheetData>
    <row r="5" spans="1:6" ht="31.5" x14ac:dyDescent="0.5">
      <c r="A5" s="14"/>
      <c r="B5" s="14"/>
      <c r="C5" s="14"/>
      <c r="D5" s="14"/>
      <c r="E5" s="14"/>
      <c r="F5" s="14"/>
    </row>
    <row r="8" spans="1:6" x14ac:dyDescent="0.25">
      <c r="A8" s="198"/>
    </row>
    <row r="9" spans="1:6" x14ac:dyDescent="0.25">
      <c r="A9" s="198"/>
    </row>
    <row r="29" spans="1:1" x14ac:dyDescent="0.25">
      <c r="A29" s="35"/>
    </row>
    <row r="30" spans="1:1" x14ac:dyDescent="0.25">
      <c r="A30" s="35"/>
    </row>
    <row r="49" spans="1:1" x14ac:dyDescent="0.25">
      <c r="A49" s="45"/>
    </row>
    <row r="50" spans="1:1" x14ac:dyDescent="0.25">
      <c r="A50" s="45"/>
    </row>
    <row r="51" spans="1:1" x14ac:dyDescent="0.25">
      <c r="A51" s="45"/>
    </row>
    <row r="52" spans="1:1" x14ac:dyDescent="0.25">
      <c r="A52" s="46"/>
    </row>
  </sheetData>
  <mergeCells count="1">
    <mergeCell ref="A8:A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2"/>
  <sheetViews>
    <sheetView topLeftCell="A40" zoomScale="50" zoomScaleNormal="50" workbookViewId="0">
      <selection activeCell="Y67" sqref="Y67"/>
    </sheetView>
  </sheetViews>
  <sheetFormatPr defaultRowHeight="15" x14ac:dyDescent="0.25"/>
  <cols>
    <col min="1" max="1" width="39.28515625" style="44" customWidth="1"/>
    <col min="2" max="2" width="9.140625" style="44" customWidth="1"/>
    <col min="3" max="16384" width="9.140625" style="44"/>
  </cols>
  <sheetData>
    <row r="5" spans="1:6" ht="31.5" x14ac:dyDescent="0.5">
      <c r="A5" s="14"/>
      <c r="B5" s="14"/>
      <c r="C5" s="14"/>
      <c r="D5" s="14"/>
      <c r="E5" s="14"/>
      <c r="F5" s="14"/>
    </row>
    <row r="8" spans="1:6" x14ac:dyDescent="0.25">
      <c r="A8" s="198"/>
    </row>
    <row r="9" spans="1:6" x14ac:dyDescent="0.25">
      <c r="A9" s="198"/>
    </row>
    <row r="29" spans="1:1" x14ac:dyDescent="0.25">
      <c r="A29" s="35"/>
    </row>
    <row r="30" spans="1:1" x14ac:dyDescent="0.25">
      <c r="A30" s="35"/>
    </row>
    <row r="49" spans="1:1" x14ac:dyDescent="0.25">
      <c r="A49" s="45"/>
    </row>
    <row r="50" spans="1:1" x14ac:dyDescent="0.25">
      <c r="A50" s="45"/>
    </row>
    <row r="51" spans="1:1" x14ac:dyDescent="0.25">
      <c r="A51" s="45"/>
    </row>
    <row r="52" spans="1:1" x14ac:dyDescent="0.25">
      <c r="A52" s="46"/>
    </row>
  </sheetData>
  <mergeCells count="1">
    <mergeCell ref="A8:A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O92"/>
  <sheetViews>
    <sheetView topLeftCell="B79" zoomScale="80" zoomScaleNormal="80" workbookViewId="0">
      <selection activeCell="J106" sqref="J106"/>
    </sheetView>
  </sheetViews>
  <sheetFormatPr defaultRowHeight="15" x14ac:dyDescent="0.25"/>
  <cols>
    <col min="3" max="3" width="6" bestFit="1" customWidth="1"/>
    <col min="4" max="4" width="14.42578125" bestFit="1" customWidth="1"/>
    <col min="5" max="5" width="12.5703125" bestFit="1" customWidth="1"/>
    <col min="6" max="6" width="13" customWidth="1"/>
    <col min="7" max="7" width="14.85546875" bestFit="1" customWidth="1"/>
    <col min="8" max="9" width="23.5703125" style="52" bestFit="1" customWidth="1"/>
    <col min="10" max="10" width="13.7109375" style="53" customWidth="1"/>
    <col min="11" max="11" width="18.42578125" bestFit="1" customWidth="1"/>
    <col min="12" max="12" width="16.140625" customWidth="1"/>
    <col min="13" max="13" width="15.5703125" customWidth="1"/>
    <col min="14" max="14" width="10.28515625" customWidth="1"/>
  </cols>
  <sheetData>
    <row r="6" spans="3:15" ht="44.25" customHeight="1" x14ac:dyDescent="0.25">
      <c r="C6" s="200" t="s">
        <v>10</v>
      </c>
      <c r="D6" s="202" t="s">
        <v>1</v>
      </c>
      <c r="E6" s="202" t="s">
        <v>0</v>
      </c>
      <c r="F6" s="202" t="s">
        <v>136</v>
      </c>
      <c r="G6" s="202" t="s">
        <v>4</v>
      </c>
      <c r="H6" s="202" t="s">
        <v>13</v>
      </c>
      <c r="I6" s="202" t="s">
        <v>14</v>
      </c>
      <c r="J6" s="202" t="s">
        <v>142</v>
      </c>
      <c r="K6" s="202" t="s">
        <v>87</v>
      </c>
      <c r="L6" s="204" t="s">
        <v>88</v>
      </c>
      <c r="M6" s="204" t="s">
        <v>89</v>
      </c>
      <c r="N6" s="204" t="s">
        <v>12</v>
      </c>
      <c r="O6" s="199"/>
    </row>
    <row r="7" spans="3:15" ht="15" customHeight="1" x14ac:dyDescent="0.25">
      <c r="C7" s="201"/>
      <c r="D7" s="203"/>
      <c r="E7" s="202"/>
      <c r="F7" s="202"/>
      <c r="G7" s="202"/>
      <c r="H7" s="202"/>
      <c r="I7" s="202"/>
      <c r="J7" s="202"/>
      <c r="K7" s="202"/>
      <c r="L7" s="204"/>
      <c r="M7" s="204"/>
      <c r="N7" s="204"/>
      <c r="O7" s="199"/>
    </row>
    <row r="8" spans="3:15" x14ac:dyDescent="0.25">
      <c r="C8" s="207">
        <v>1</v>
      </c>
      <c r="D8" s="208" t="s">
        <v>145</v>
      </c>
      <c r="E8" s="72" t="s">
        <v>155</v>
      </c>
      <c r="F8" s="209" t="s">
        <v>2</v>
      </c>
      <c r="G8" s="209" t="s">
        <v>5</v>
      </c>
      <c r="H8" s="137" t="s">
        <v>156</v>
      </c>
      <c r="I8" s="73" t="s">
        <v>157</v>
      </c>
      <c r="J8" s="72">
        <v>5768</v>
      </c>
      <c r="K8" s="66" t="s">
        <v>55</v>
      </c>
      <c r="L8" s="4">
        <v>19.999867080000001</v>
      </c>
      <c r="M8" s="4">
        <v>80.617238330000006</v>
      </c>
      <c r="N8" s="210" t="s">
        <v>11</v>
      </c>
    </row>
    <row r="9" spans="3:15" x14ac:dyDescent="0.25">
      <c r="C9" s="207">
        <v>2</v>
      </c>
      <c r="D9" s="208" t="s">
        <v>145</v>
      </c>
      <c r="E9" s="72" t="s">
        <v>155</v>
      </c>
      <c r="F9" s="209" t="s">
        <v>2</v>
      </c>
      <c r="G9" s="209" t="s">
        <v>5</v>
      </c>
      <c r="H9" s="73" t="s">
        <v>157</v>
      </c>
      <c r="I9" s="73" t="s">
        <v>158</v>
      </c>
      <c r="J9" s="72">
        <v>15156</v>
      </c>
      <c r="K9" s="66" t="s">
        <v>55</v>
      </c>
      <c r="L9" s="4">
        <v>19.908879259999999</v>
      </c>
      <c r="M9" s="4">
        <v>80.60351387</v>
      </c>
      <c r="N9" s="210" t="s">
        <v>11</v>
      </c>
    </row>
    <row r="10" spans="3:15" x14ac:dyDescent="0.25">
      <c r="C10" s="207">
        <v>3</v>
      </c>
      <c r="D10" s="208" t="s">
        <v>145</v>
      </c>
      <c r="E10" s="72" t="s">
        <v>155</v>
      </c>
      <c r="F10" s="209" t="s">
        <v>2</v>
      </c>
      <c r="G10" s="209" t="s">
        <v>5</v>
      </c>
      <c r="H10" s="73" t="s">
        <v>158</v>
      </c>
      <c r="I10" s="73" t="s">
        <v>159</v>
      </c>
      <c r="J10" s="72">
        <v>10431</v>
      </c>
      <c r="K10" s="66" t="s">
        <v>55</v>
      </c>
      <c r="L10" s="4">
        <v>19.83550237</v>
      </c>
      <c r="M10" s="4">
        <v>80.644813110000001</v>
      </c>
      <c r="N10" s="210" t="s">
        <v>11</v>
      </c>
    </row>
    <row r="11" spans="3:15" x14ac:dyDescent="0.25">
      <c r="C11" s="207">
        <v>4</v>
      </c>
      <c r="D11" s="208" t="s">
        <v>145</v>
      </c>
      <c r="E11" s="72" t="s">
        <v>155</v>
      </c>
      <c r="F11" s="209" t="s">
        <v>2</v>
      </c>
      <c r="G11" s="209" t="s">
        <v>5</v>
      </c>
      <c r="H11" s="73" t="s">
        <v>159</v>
      </c>
      <c r="I11" s="73" t="s">
        <v>160</v>
      </c>
      <c r="J11" s="72">
        <v>21316</v>
      </c>
      <c r="K11" s="66" t="s">
        <v>55</v>
      </c>
      <c r="L11" s="4">
        <v>19.858377220000001</v>
      </c>
      <c r="M11" s="4">
        <v>80.555934649999998</v>
      </c>
      <c r="N11" s="210" t="s">
        <v>11</v>
      </c>
    </row>
    <row r="12" spans="3:15" x14ac:dyDescent="0.25">
      <c r="C12" s="207">
        <v>5</v>
      </c>
      <c r="D12" s="208" t="s">
        <v>145</v>
      </c>
      <c r="E12" s="72" t="s">
        <v>155</v>
      </c>
      <c r="F12" s="209" t="s">
        <v>2</v>
      </c>
      <c r="G12" s="209" t="s">
        <v>5</v>
      </c>
      <c r="H12" s="73" t="s">
        <v>160</v>
      </c>
      <c r="I12" s="73" t="s">
        <v>161</v>
      </c>
      <c r="J12" s="72">
        <v>3759</v>
      </c>
      <c r="K12" s="66" t="s">
        <v>55</v>
      </c>
      <c r="L12" s="4">
        <v>19.831441649999999</v>
      </c>
      <c r="M12" s="4">
        <v>80.55134271</v>
      </c>
      <c r="N12" s="210" t="s">
        <v>11</v>
      </c>
    </row>
    <row r="13" spans="3:15" x14ac:dyDescent="0.25">
      <c r="C13" s="207">
        <v>6</v>
      </c>
      <c r="D13" s="208" t="s">
        <v>145</v>
      </c>
      <c r="E13" s="72" t="s">
        <v>155</v>
      </c>
      <c r="F13" s="209" t="s">
        <v>2</v>
      </c>
      <c r="G13" s="209" t="s">
        <v>5</v>
      </c>
      <c r="H13" s="73" t="s">
        <v>161</v>
      </c>
      <c r="I13" s="73" t="s">
        <v>162</v>
      </c>
      <c r="J13" s="72">
        <v>30438</v>
      </c>
      <c r="K13" s="66" t="s">
        <v>55</v>
      </c>
      <c r="L13" s="4">
        <v>19.923462019999999</v>
      </c>
      <c r="M13" s="4">
        <v>80.542190320000003</v>
      </c>
      <c r="N13" s="210" t="s">
        <v>11</v>
      </c>
    </row>
    <row r="14" spans="3:15" x14ac:dyDescent="0.25">
      <c r="C14" s="207">
        <v>7</v>
      </c>
      <c r="D14" s="208" t="s">
        <v>145</v>
      </c>
      <c r="E14" s="72" t="s">
        <v>155</v>
      </c>
      <c r="F14" s="209" t="s">
        <v>2</v>
      </c>
      <c r="G14" s="209" t="s">
        <v>5</v>
      </c>
      <c r="H14" s="73" t="s">
        <v>162</v>
      </c>
      <c r="I14" s="73" t="s">
        <v>163</v>
      </c>
      <c r="J14" s="72">
        <v>24158</v>
      </c>
      <c r="K14" s="66" t="s">
        <v>55</v>
      </c>
      <c r="L14" s="4">
        <v>20.04749666</v>
      </c>
      <c r="M14" s="4">
        <v>80.600140159999995</v>
      </c>
      <c r="N14" s="210" t="s">
        <v>11</v>
      </c>
    </row>
    <row r="15" spans="3:15" x14ac:dyDescent="0.25">
      <c r="C15" s="207">
        <v>8</v>
      </c>
      <c r="D15" s="208" t="s">
        <v>145</v>
      </c>
      <c r="E15" s="72" t="s">
        <v>155</v>
      </c>
      <c r="F15" s="209" t="s">
        <v>2</v>
      </c>
      <c r="G15" s="209" t="s">
        <v>5</v>
      </c>
      <c r="H15" s="73" t="s">
        <v>163</v>
      </c>
      <c r="I15" s="137" t="s">
        <v>156</v>
      </c>
      <c r="J15" s="4">
        <v>7374</v>
      </c>
      <c r="K15" s="66" t="s">
        <v>55</v>
      </c>
      <c r="L15" s="4">
        <v>20.037888980000002</v>
      </c>
      <c r="M15" s="4">
        <v>80.632393250000007</v>
      </c>
      <c r="N15" s="210" t="s">
        <v>11</v>
      </c>
    </row>
    <row r="16" spans="3:15" x14ac:dyDescent="0.25">
      <c r="C16" s="207">
        <v>9</v>
      </c>
      <c r="D16" s="208" t="s">
        <v>145</v>
      </c>
      <c r="E16" s="72" t="s">
        <v>155</v>
      </c>
      <c r="F16" s="209" t="s">
        <v>2</v>
      </c>
      <c r="G16" s="209" t="s">
        <v>6</v>
      </c>
      <c r="H16" s="137" t="s">
        <v>156</v>
      </c>
      <c r="I16" s="73" t="s">
        <v>164</v>
      </c>
      <c r="J16" s="4">
        <v>12445</v>
      </c>
      <c r="K16" s="66" t="s">
        <v>55</v>
      </c>
      <c r="L16" s="4">
        <v>19.964644209999999</v>
      </c>
      <c r="M16" s="4">
        <v>80.620963979999999</v>
      </c>
      <c r="N16" s="210" t="s">
        <v>16</v>
      </c>
    </row>
    <row r="17" spans="3:14" x14ac:dyDescent="0.25">
      <c r="C17" s="207">
        <v>10</v>
      </c>
      <c r="D17" s="208" t="s">
        <v>145</v>
      </c>
      <c r="E17" s="72" t="s">
        <v>155</v>
      </c>
      <c r="F17" s="209" t="s">
        <v>2</v>
      </c>
      <c r="G17" s="209" t="s">
        <v>6</v>
      </c>
      <c r="H17" s="73" t="s">
        <v>164</v>
      </c>
      <c r="I17" s="73" t="s">
        <v>165</v>
      </c>
      <c r="J17" s="72">
        <v>23434</v>
      </c>
      <c r="K17" s="66" t="s">
        <v>55</v>
      </c>
      <c r="L17" s="4">
        <v>19.84973798</v>
      </c>
      <c r="M17" s="4">
        <v>80.640680009999997</v>
      </c>
      <c r="N17" s="210" t="s">
        <v>16</v>
      </c>
    </row>
    <row r="18" spans="3:14" x14ac:dyDescent="0.25">
      <c r="C18" s="207">
        <v>11</v>
      </c>
      <c r="D18" s="208" t="s">
        <v>145</v>
      </c>
      <c r="E18" s="72" t="s">
        <v>155</v>
      </c>
      <c r="F18" s="209" t="s">
        <v>2</v>
      </c>
      <c r="G18" s="209" t="s">
        <v>6</v>
      </c>
      <c r="H18" s="73" t="s">
        <v>165</v>
      </c>
      <c r="I18" s="73" t="s">
        <v>166</v>
      </c>
      <c r="J18" s="72">
        <v>31904</v>
      </c>
      <c r="K18" s="66" t="s">
        <v>55</v>
      </c>
      <c r="L18" s="4">
        <v>19.856063639999999</v>
      </c>
      <c r="M18" s="4">
        <v>80.500712010000001</v>
      </c>
      <c r="N18" s="210" t="s">
        <v>16</v>
      </c>
    </row>
    <row r="19" spans="3:14" x14ac:dyDescent="0.25">
      <c r="C19" s="207">
        <v>12</v>
      </c>
      <c r="D19" s="208" t="s">
        <v>145</v>
      </c>
      <c r="E19" s="72" t="s">
        <v>155</v>
      </c>
      <c r="F19" s="209" t="s">
        <v>2</v>
      </c>
      <c r="G19" s="209" t="s">
        <v>6</v>
      </c>
      <c r="H19" s="73" t="s">
        <v>166</v>
      </c>
      <c r="I19" s="73" t="s">
        <v>167</v>
      </c>
      <c r="J19" s="72">
        <v>18778</v>
      </c>
      <c r="K19" s="66" t="s">
        <v>55</v>
      </c>
      <c r="L19" s="4">
        <v>19.92638676</v>
      </c>
      <c r="M19" s="4">
        <v>80.487050120000006</v>
      </c>
      <c r="N19" s="210" t="s">
        <v>16</v>
      </c>
    </row>
    <row r="20" spans="3:14" x14ac:dyDescent="0.25">
      <c r="C20" s="207">
        <v>13</v>
      </c>
      <c r="D20" s="208" t="s">
        <v>145</v>
      </c>
      <c r="E20" s="72" t="s">
        <v>155</v>
      </c>
      <c r="F20" s="209" t="s">
        <v>2</v>
      </c>
      <c r="G20" s="209" t="s">
        <v>6</v>
      </c>
      <c r="H20" s="73" t="s">
        <v>167</v>
      </c>
      <c r="I20" s="73" t="s">
        <v>168</v>
      </c>
      <c r="J20" s="72">
        <v>7175</v>
      </c>
      <c r="K20" s="66" t="s">
        <v>55</v>
      </c>
      <c r="L20" s="4">
        <v>19.914126240000002</v>
      </c>
      <c r="M20" s="4">
        <v>80.535078979999994</v>
      </c>
      <c r="N20" s="210" t="s">
        <v>16</v>
      </c>
    </row>
    <row r="21" spans="3:14" x14ac:dyDescent="0.25">
      <c r="C21" s="207">
        <v>14</v>
      </c>
      <c r="D21" s="208" t="s">
        <v>145</v>
      </c>
      <c r="E21" s="72" t="s">
        <v>155</v>
      </c>
      <c r="F21" s="209" t="s">
        <v>2</v>
      </c>
      <c r="G21" s="209" t="s">
        <v>6</v>
      </c>
      <c r="H21" s="73" t="s">
        <v>168</v>
      </c>
      <c r="I21" s="73" t="s">
        <v>169</v>
      </c>
      <c r="J21" s="72">
        <v>6405</v>
      </c>
      <c r="K21" s="66" t="s">
        <v>55</v>
      </c>
      <c r="L21" s="4">
        <v>19.950995320000001</v>
      </c>
      <c r="M21" s="4">
        <v>80.572487039999999</v>
      </c>
      <c r="N21" s="210" t="s">
        <v>16</v>
      </c>
    </row>
    <row r="22" spans="3:14" x14ac:dyDescent="0.25">
      <c r="C22" s="207">
        <v>15</v>
      </c>
      <c r="D22" s="208" t="s">
        <v>145</v>
      </c>
      <c r="E22" s="72" t="s">
        <v>155</v>
      </c>
      <c r="F22" s="209" t="s">
        <v>2</v>
      </c>
      <c r="G22" s="209" t="s">
        <v>6</v>
      </c>
      <c r="H22" s="73" t="s">
        <v>169</v>
      </c>
      <c r="I22" s="137" t="s">
        <v>156</v>
      </c>
      <c r="J22" s="4">
        <v>26557</v>
      </c>
      <c r="K22" s="66" t="s">
        <v>55</v>
      </c>
      <c r="L22" s="4">
        <v>20.037888980000002</v>
      </c>
      <c r="M22" s="4">
        <v>80.632393250000007</v>
      </c>
      <c r="N22" s="210" t="s">
        <v>16</v>
      </c>
    </row>
    <row r="23" spans="3:14" x14ac:dyDescent="0.25">
      <c r="C23" s="207">
        <v>16</v>
      </c>
      <c r="D23" s="208" t="s">
        <v>145</v>
      </c>
      <c r="E23" s="72" t="s">
        <v>155</v>
      </c>
      <c r="F23" s="209" t="s">
        <v>2</v>
      </c>
      <c r="G23" s="209" t="s">
        <v>7</v>
      </c>
      <c r="H23" s="137" t="s">
        <v>156</v>
      </c>
      <c r="I23" s="73" t="s">
        <v>170</v>
      </c>
      <c r="J23" s="4">
        <v>12841</v>
      </c>
      <c r="K23" s="66" t="s">
        <v>55</v>
      </c>
      <c r="L23" s="4">
        <v>19.970578320000001</v>
      </c>
      <c r="M23" s="4">
        <v>80.576642870000001</v>
      </c>
      <c r="N23" s="210" t="s">
        <v>17</v>
      </c>
    </row>
    <row r="24" spans="3:14" x14ac:dyDescent="0.25">
      <c r="C24" s="207">
        <v>17</v>
      </c>
      <c r="D24" s="208" t="s">
        <v>145</v>
      </c>
      <c r="E24" s="72" t="s">
        <v>155</v>
      </c>
      <c r="F24" s="209" t="s">
        <v>2</v>
      </c>
      <c r="G24" s="209" t="s">
        <v>7</v>
      </c>
      <c r="H24" s="73" t="s">
        <v>170</v>
      </c>
      <c r="I24" s="73" t="s">
        <v>171</v>
      </c>
      <c r="J24" s="72">
        <v>25569</v>
      </c>
      <c r="K24" s="66" t="s">
        <v>55</v>
      </c>
      <c r="L24" s="4">
        <v>19.886871119999999</v>
      </c>
      <c r="M24" s="4">
        <v>80.586172759999997</v>
      </c>
      <c r="N24" s="210" t="s">
        <v>17</v>
      </c>
    </row>
    <row r="25" spans="3:14" x14ac:dyDescent="0.25">
      <c r="C25" s="207">
        <v>18</v>
      </c>
      <c r="D25" s="208" t="s">
        <v>145</v>
      </c>
      <c r="E25" s="72" t="s">
        <v>155</v>
      </c>
      <c r="F25" s="209" t="s">
        <v>2</v>
      </c>
      <c r="G25" s="209" t="s">
        <v>7</v>
      </c>
      <c r="H25" s="73" t="s">
        <v>171</v>
      </c>
      <c r="I25" s="73" t="s">
        <v>172</v>
      </c>
      <c r="J25" s="72">
        <v>34027</v>
      </c>
      <c r="K25" s="66" t="s">
        <v>55</v>
      </c>
      <c r="L25" s="4">
        <v>19.913959859999999</v>
      </c>
      <c r="M25" s="4">
        <v>80.48146156</v>
      </c>
      <c r="N25" s="210" t="s">
        <v>17</v>
      </c>
    </row>
    <row r="26" spans="3:14" x14ac:dyDescent="0.25">
      <c r="C26" s="207">
        <v>19</v>
      </c>
      <c r="D26" s="208" t="s">
        <v>145</v>
      </c>
      <c r="E26" s="72" t="s">
        <v>155</v>
      </c>
      <c r="F26" s="209" t="s">
        <v>2</v>
      </c>
      <c r="G26" s="209" t="s">
        <v>7</v>
      </c>
      <c r="H26" s="73" t="s">
        <v>172</v>
      </c>
      <c r="I26" s="73" t="s">
        <v>173</v>
      </c>
      <c r="J26" s="72">
        <v>22233</v>
      </c>
      <c r="K26" s="66" t="s">
        <v>55</v>
      </c>
      <c r="L26" s="4">
        <v>20.002278780000001</v>
      </c>
      <c r="M26" s="4">
        <v>80.566516759999999</v>
      </c>
      <c r="N26" s="210" t="s">
        <v>17</v>
      </c>
    </row>
    <row r="27" spans="3:14" x14ac:dyDescent="0.25">
      <c r="C27" s="207">
        <v>20</v>
      </c>
      <c r="D27" s="208" t="s">
        <v>145</v>
      </c>
      <c r="E27" s="72" t="s">
        <v>155</v>
      </c>
      <c r="F27" s="209" t="s">
        <v>2</v>
      </c>
      <c r="G27" s="209" t="s">
        <v>7</v>
      </c>
      <c r="H27" s="73" t="s">
        <v>173</v>
      </c>
      <c r="I27" s="73" t="s">
        <v>174</v>
      </c>
      <c r="J27" s="72">
        <v>5220</v>
      </c>
      <c r="K27" s="66" t="s">
        <v>55</v>
      </c>
      <c r="L27" s="4">
        <v>20.026089760000001</v>
      </c>
      <c r="M27" s="4">
        <v>80.555575039999994</v>
      </c>
      <c r="N27" s="210" t="s">
        <v>17</v>
      </c>
    </row>
    <row r="28" spans="3:14" x14ac:dyDescent="0.25">
      <c r="C28" s="207">
        <v>21</v>
      </c>
      <c r="D28" s="208" t="s">
        <v>145</v>
      </c>
      <c r="E28" s="72" t="s">
        <v>155</v>
      </c>
      <c r="F28" s="209" t="s">
        <v>2</v>
      </c>
      <c r="G28" s="209" t="s">
        <v>7</v>
      </c>
      <c r="H28" s="73" t="s">
        <v>174</v>
      </c>
      <c r="I28" s="73" t="s">
        <v>175</v>
      </c>
      <c r="J28" s="72">
        <v>10878</v>
      </c>
      <c r="K28" s="66" t="s">
        <v>55</v>
      </c>
      <c r="L28" s="4">
        <v>20.060648870000001</v>
      </c>
      <c r="M28" s="4">
        <v>80.622919089999996</v>
      </c>
      <c r="N28" s="210" t="s">
        <v>17</v>
      </c>
    </row>
    <row r="29" spans="3:14" x14ac:dyDescent="0.25">
      <c r="C29" s="207">
        <v>22</v>
      </c>
      <c r="D29" s="208" t="s">
        <v>145</v>
      </c>
      <c r="E29" s="72" t="s">
        <v>155</v>
      </c>
      <c r="F29" s="209" t="s">
        <v>2</v>
      </c>
      <c r="G29" s="209" t="s">
        <v>7</v>
      </c>
      <c r="H29" s="73" t="s">
        <v>175</v>
      </c>
      <c r="I29" s="137" t="s">
        <v>156</v>
      </c>
      <c r="J29" s="4">
        <v>3728</v>
      </c>
      <c r="K29" s="66" t="s">
        <v>55</v>
      </c>
      <c r="L29" s="4">
        <v>20.037888980000002</v>
      </c>
      <c r="M29" s="4">
        <v>80.632393250000007</v>
      </c>
      <c r="N29" s="210" t="s">
        <v>17</v>
      </c>
    </row>
    <row r="30" spans="3:14" x14ac:dyDescent="0.25">
      <c r="C30" s="207">
        <v>23</v>
      </c>
      <c r="D30" s="208" t="s">
        <v>145</v>
      </c>
      <c r="E30" s="72" t="s">
        <v>155</v>
      </c>
      <c r="F30" s="211" t="s">
        <v>3</v>
      </c>
      <c r="G30" s="211" t="s">
        <v>8</v>
      </c>
      <c r="H30" s="137" t="s">
        <v>156</v>
      </c>
      <c r="I30" s="73" t="s">
        <v>176</v>
      </c>
      <c r="J30" s="72">
        <v>4355</v>
      </c>
      <c r="K30" s="66" t="s">
        <v>55</v>
      </c>
      <c r="L30" s="4">
        <v>20.017233610000002</v>
      </c>
      <c r="M30" s="4">
        <v>80.618022460000006</v>
      </c>
      <c r="N30" s="210" t="s">
        <v>11</v>
      </c>
    </row>
    <row r="31" spans="3:14" x14ac:dyDescent="0.25">
      <c r="C31" s="207">
        <v>24</v>
      </c>
      <c r="D31" s="208" t="s">
        <v>145</v>
      </c>
      <c r="E31" s="72" t="s">
        <v>155</v>
      </c>
      <c r="F31" s="211" t="s">
        <v>3</v>
      </c>
      <c r="G31" s="211" t="s">
        <v>8</v>
      </c>
      <c r="H31" s="73" t="s">
        <v>176</v>
      </c>
      <c r="I31" s="73" t="s">
        <v>177</v>
      </c>
      <c r="J31" s="72">
        <v>5840</v>
      </c>
      <c r="K31" s="66" t="s">
        <v>55</v>
      </c>
      <c r="L31" s="4">
        <v>20.027467210000001</v>
      </c>
      <c r="M31" s="4">
        <v>80.571983090000003</v>
      </c>
      <c r="N31" s="210" t="s">
        <v>11</v>
      </c>
    </row>
    <row r="32" spans="3:14" x14ac:dyDescent="0.25">
      <c r="C32" s="207">
        <v>25</v>
      </c>
      <c r="D32" s="208" t="s">
        <v>145</v>
      </c>
      <c r="E32" s="72" t="s">
        <v>155</v>
      </c>
      <c r="F32" s="211" t="s">
        <v>3</v>
      </c>
      <c r="G32" s="211" t="s">
        <v>8</v>
      </c>
      <c r="H32" s="73" t="s">
        <v>177</v>
      </c>
      <c r="I32" s="73" t="s">
        <v>178</v>
      </c>
      <c r="J32" s="72">
        <v>7475</v>
      </c>
      <c r="K32" s="66" t="s">
        <v>55</v>
      </c>
      <c r="L32" s="4">
        <v>20.060701420000001</v>
      </c>
      <c r="M32" s="4">
        <v>80.558439800000002</v>
      </c>
      <c r="N32" s="210" t="s">
        <v>11</v>
      </c>
    </row>
    <row r="33" spans="3:14" x14ac:dyDescent="0.25">
      <c r="C33" s="207">
        <v>26</v>
      </c>
      <c r="D33" s="208" t="s">
        <v>145</v>
      </c>
      <c r="E33" s="72" t="s">
        <v>155</v>
      </c>
      <c r="F33" s="211" t="s">
        <v>3</v>
      </c>
      <c r="G33" s="211" t="s">
        <v>8</v>
      </c>
      <c r="H33" s="73" t="s">
        <v>178</v>
      </c>
      <c r="I33" s="73" t="s">
        <v>179</v>
      </c>
      <c r="J33" s="72">
        <v>410</v>
      </c>
      <c r="K33" s="66" t="s">
        <v>55</v>
      </c>
      <c r="L33" s="4">
        <v>20.063495870000001</v>
      </c>
      <c r="M33" s="4">
        <v>80.558636210000003</v>
      </c>
      <c r="N33" s="210" t="s">
        <v>11</v>
      </c>
    </row>
    <row r="34" spans="3:14" x14ac:dyDescent="0.25">
      <c r="C34" s="207">
        <v>27</v>
      </c>
      <c r="D34" s="208" t="s">
        <v>145</v>
      </c>
      <c r="E34" s="72" t="s">
        <v>155</v>
      </c>
      <c r="F34" s="211" t="s">
        <v>3</v>
      </c>
      <c r="G34" s="211" t="s">
        <v>8</v>
      </c>
      <c r="H34" s="73" t="s">
        <v>179</v>
      </c>
      <c r="I34" s="73" t="s">
        <v>180</v>
      </c>
      <c r="J34" s="72">
        <v>3905</v>
      </c>
      <c r="K34" s="66" t="s">
        <v>55</v>
      </c>
      <c r="L34" s="4">
        <v>20.08957066</v>
      </c>
      <c r="M34" s="4">
        <v>80.570619980000004</v>
      </c>
      <c r="N34" s="210" t="s">
        <v>11</v>
      </c>
    </row>
    <row r="35" spans="3:14" x14ac:dyDescent="0.25">
      <c r="C35" s="207">
        <v>28</v>
      </c>
      <c r="D35" s="208" t="s">
        <v>145</v>
      </c>
      <c r="E35" s="72" t="s">
        <v>155</v>
      </c>
      <c r="F35" s="211" t="s">
        <v>3</v>
      </c>
      <c r="G35" s="211" t="s">
        <v>8</v>
      </c>
      <c r="H35" s="73" t="s">
        <v>180</v>
      </c>
      <c r="I35" s="73" t="s">
        <v>181</v>
      </c>
      <c r="J35" s="72">
        <v>7298</v>
      </c>
      <c r="K35" s="66" t="s">
        <v>55</v>
      </c>
      <c r="L35" s="4">
        <v>20.125955869999999</v>
      </c>
      <c r="M35" s="4">
        <v>80.582965689999995</v>
      </c>
      <c r="N35" s="210" t="s">
        <v>11</v>
      </c>
    </row>
    <row r="36" spans="3:14" x14ac:dyDescent="0.25">
      <c r="C36" s="207">
        <v>29</v>
      </c>
      <c r="D36" s="208" t="s">
        <v>145</v>
      </c>
      <c r="E36" s="72" t="s">
        <v>155</v>
      </c>
      <c r="F36" s="211" t="s">
        <v>3</v>
      </c>
      <c r="G36" s="211" t="s">
        <v>8</v>
      </c>
      <c r="H36" s="73" t="s">
        <v>181</v>
      </c>
      <c r="I36" s="73" t="s">
        <v>182</v>
      </c>
      <c r="J36" s="72">
        <v>5032</v>
      </c>
      <c r="K36" s="66" t="s">
        <v>55</v>
      </c>
      <c r="L36" s="4">
        <v>20.09113932</v>
      </c>
      <c r="M36" s="4">
        <v>80.596899089999994</v>
      </c>
      <c r="N36" s="210" t="s">
        <v>11</v>
      </c>
    </row>
    <row r="37" spans="3:14" x14ac:dyDescent="0.25">
      <c r="C37" s="207">
        <v>30</v>
      </c>
      <c r="D37" s="208" t="s">
        <v>145</v>
      </c>
      <c r="E37" s="72" t="s">
        <v>155</v>
      </c>
      <c r="F37" s="211" t="s">
        <v>3</v>
      </c>
      <c r="G37" s="211" t="s">
        <v>8</v>
      </c>
      <c r="H37" s="73" t="s">
        <v>182</v>
      </c>
      <c r="I37" s="73" t="s">
        <v>183</v>
      </c>
      <c r="J37" s="72">
        <v>28870</v>
      </c>
      <c r="K37" s="66" t="s">
        <v>55</v>
      </c>
      <c r="L37" s="4">
        <v>20.087770320000001</v>
      </c>
      <c r="M37" s="4">
        <v>80.684801980000003</v>
      </c>
      <c r="N37" s="210" t="s">
        <v>11</v>
      </c>
    </row>
    <row r="38" spans="3:14" x14ac:dyDescent="0.25">
      <c r="C38" s="207">
        <v>31</v>
      </c>
      <c r="D38" s="208" t="s">
        <v>145</v>
      </c>
      <c r="E38" s="72" t="s">
        <v>155</v>
      </c>
      <c r="F38" s="211" t="s">
        <v>3</v>
      </c>
      <c r="G38" s="211" t="s">
        <v>8</v>
      </c>
      <c r="H38" s="73" t="s">
        <v>183</v>
      </c>
      <c r="I38" s="137" t="s">
        <v>156</v>
      </c>
      <c r="J38" s="72">
        <v>15000</v>
      </c>
      <c r="K38" s="66" t="s">
        <v>55</v>
      </c>
      <c r="L38" s="4">
        <v>20.037888980000002</v>
      </c>
      <c r="M38" s="4">
        <v>80.632393250000007</v>
      </c>
      <c r="N38" s="210" t="s">
        <v>11</v>
      </c>
    </row>
    <row r="39" spans="3:14" x14ac:dyDescent="0.25">
      <c r="C39" s="207">
        <v>32</v>
      </c>
      <c r="D39" s="208" t="s">
        <v>145</v>
      </c>
      <c r="E39" s="72" t="s">
        <v>155</v>
      </c>
      <c r="F39" s="211" t="s">
        <v>3</v>
      </c>
      <c r="G39" s="211" t="s">
        <v>9</v>
      </c>
      <c r="H39" s="137" t="s">
        <v>156</v>
      </c>
      <c r="I39" s="73" t="s">
        <v>184</v>
      </c>
      <c r="J39" s="72">
        <v>33860</v>
      </c>
      <c r="K39" s="66" t="s">
        <v>55</v>
      </c>
      <c r="L39" s="4">
        <v>20.076354089999999</v>
      </c>
      <c r="M39" s="4">
        <v>80.643547049999995</v>
      </c>
      <c r="N39" s="210" t="s">
        <v>16</v>
      </c>
    </row>
    <row r="40" spans="3:14" x14ac:dyDescent="0.25">
      <c r="C40" s="207">
        <v>33</v>
      </c>
      <c r="D40" s="208" t="s">
        <v>145</v>
      </c>
      <c r="E40" s="72" t="s">
        <v>155</v>
      </c>
      <c r="F40" s="211" t="s">
        <v>3</v>
      </c>
      <c r="G40" s="211" t="s">
        <v>9</v>
      </c>
      <c r="H40" s="73" t="s">
        <v>184</v>
      </c>
      <c r="I40" s="73" t="s">
        <v>185</v>
      </c>
      <c r="J40" s="72">
        <v>3340</v>
      </c>
      <c r="K40" s="66" t="s">
        <v>55</v>
      </c>
      <c r="L40" s="4">
        <v>20.09755698</v>
      </c>
      <c r="M40" s="4">
        <v>80.650251979999993</v>
      </c>
      <c r="N40" s="210" t="s">
        <v>16</v>
      </c>
    </row>
    <row r="41" spans="3:14" ht="15.75" customHeight="1" x14ac:dyDescent="0.25">
      <c r="C41" s="207">
        <v>34</v>
      </c>
      <c r="D41" s="208" t="s">
        <v>145</v>
      </c>
      <c r="E41" s="72" t="s">
        <v>155</v>
      </c>
      <c r="F41" s="211" t="s">
        <v>3</v>
      </c>
      <c r="G41" s="211" t="s">
        <v>9</v>
      </c>
      <c r="H41" s="73" t="s">
        <v>185</v>
      </c>
      <c r="I41" s="73" t="s">
        <v>186</v>
      </c>
      <c r="J41" s="72">
        <v>2843</v>
      </c>
      <c r="K41" s="66" t="s">
        <v>55</v>
      </c>
      <c r="L41" s="4">
        <v>20.11481298</v>
      </c>
      <c r="M41" s="4">
        <v>80.641204090000002</v>
      </c>
      <c r="N41" s="210" t="s">
        <v>16</v>
      </c>
    </row>
    <row r="42" spans="3:14" x14ac:dyDescent="0.25">
      <c r="C42" s="207">
        <v>35</v>
      </c>
      <c r="D42" s="208" t="s">
        <v>145</v>
      </c>
      <c r="E42" s="72" t="s">
        <v>155</v>
      </c>
      <c r="F42" s="211" t="s">
        <v>3</v>
      </c>
      <c r="G42" s="211" t="s">
        <v>9</v>
      </c>
      <c r="H42" s="73" t="s">
        <v>186</v>
      </c>
      <c r="I42" s="73" t="s">
        <v>187</v>
      </c>
      <c r="J42" s="72">
        <v>3317</v>
      </c>
      <c r="K42" s="66" t="s">
        <v>55</v>
      </c>
      <c r="L42" s="4">
        <v>20.111882059999999</v>
      </c>
      <c r="M42" s="4">
        <v>80.668643009999997</v>
      </c>
      <c r="N42" s="210" t="s">
        <v>16</v>
      </c>
    </row>
    <row r="43" spans="3:14" x14ac:dyDescent="0.25">
      <c r="C43" s="207">
        <v>36</v>
      </c>
      <c r="D43" s="208" t="s">
        <v>145</v>
      </c>
      <c r="E43" s="72" t="s">
        <v>155</v>
      </c>
      <c r="F43" s="211" t="s">
        <v>3</v>
      </c>
      <c r="G43" s="211" t="s">
        <v>9</v>
      </c>
      <c r="H43" s="73" t="s">
        <v>187</v>
      </c>
      <c r="I43" s="73" t="s">
        <v>188</v>
      </c>
      <c r="J43" s="72">
        <v>3470</v>
      </c>
      <c r="K43" s="66" t="s">
        <v>55</v>
      </c>
      <c r="L43" s="4">
        <v>20.13204313</v>
      </c>
      <c r="M43" s="4">
        <v>80.654820610000002</v>
      </c>
      <c r="N43" s="210" t="s">
        <v>16</v>
      </c>
    </row>
    <row r="44" spans="3:14" x14ac:dyDescent="0.25">
      <c r="C44" s="207">
        <v>37</v>
      </c>
      <c r="D44" s="208" t="s">
        <v>145</v>
      </c>
      <c r="E44" s="72" t="s">
        <v>155</v>
      </c>
      <c r="F44" s="211" t="s">
        <v>3</v>
      </c>
      <c r="G44" s="211" t="s">
        <v>9</v>
      </c>
      <c r="H44" s="73" t="s">
        <v>188</v>
      </c>
      <c r="I44" s="73" t="s">
        <v>189</v>
      </c>
      <c r="J44" s="72">
        <v>3283</v>
      </c>
      <c r="K44" s="66" t="s">
        <v>55</v>
      </c>
      <c r="L44" s="4">
        <v>20.127546089999999</v>
      </c>
      <c r="M44" s="4">
        <v>80.669931109999993</v>
      </c>
      <c r="N44" s="210" t="s">
        <v>16</v>
      </c>
    </row>
    <row r="45" spans="3:14" x14ac:dyDescent="0.25">
      <c r="C45" s="207">
        <v>38</v>
      </c>
      <c r="D45" s="208" t="s">
        <v>145</v>
      </c>
      <c r="E45" s="72" t="s">
        <v>155</v>
      </c>
      <c r="F45" s="211" t="s">
        <v>3</v>
      </c>
      <c r="G45" s="211" t="s">
        <v>9</v>
      </c>
      <c r="H45" s="73" t="s">
        <v>189</v>
      </c>
      <c r="I45" s="73" t="s">
        <v>190</v>
      </c>
      <c r="J45" s="72">
        <v>9730</v>
      </c>
      <c r="K45" s="66" t="s">
        <v>55</v>
      </c>
      <c r="L45" s="4">
        <v>20.093656880000001</v>
      </c>
      <c r="M45" s="4">
        <v>80.675638030000002</v>
      </c>
      <c r="N45" s="210" t="s">
        <v>16</v>
      </c>
    </row>
    <row r="46" spans="3:14" x14ac:dyDescent="0.25">
      <c r="C46" s="207">
        <v>39</v>
      </c>
      <c r="D46" s="208" t="s">
        <v>145</v>
      </c>
      <c r="E46" s="72" t="s">
        <v>155</v>
      </c>
      <c r="F46" s="211" t="s">
        <v>3</v>
      </c>
      <c r="G46" s="211" t="s">
        <v>9</v>
      </c>
      <c r="H46" s="73" t="s">
        <v>190</v>
      </c>
      <c r="I46" s="73" t="s">
        <v>191</v>
      </c>
      <c r="J46" s="72">
        <v>4568</v>
      </c>
      <c r="K46" s="66" t="s">
        <v>55</v>
      </c>
      <c r="L46" s="4">
        <v>20.06386187</v>
      </c>
      <c r="M46" s="4">
        <v>80.662969989999993</v>
      </c>
      <c r="N46" s="210" t="s">
        <v>16</v>
      </c>
    </row>
    <row r="47" spans="3:14" x14ac:dyDescent="0.25">
      <c r="C47" s="207">
        <v>40</v>
      </c>
      <c r="D47" s="208" t="s">
        <v>145</v>
      </c>
      <c r="E47" s="72" t="s">
        <v>155</v>
      </c>
      <c r="F47" s="211" t="s">
        <v>3</v>
      </c>
      <c r="G47" s="211" t="s">
        <v>9</v>
      </c>
      <c r="H47" s="73" t="s">
        <v>191</v>
      </c>
      <c r="I47" s="73" t="s">
        <v>192</v>
      </c>
      <c r="J47" s="72">
        <v>4103</v>
      </c>
      <c r="K47" s="66" t="s">
        <v>55</v>
      </c>
      <c r="L47" s="4">
        <v>20.06005321</v>
      </c>
      <c r="M47" s="4">
        <v>80.630621360000006</v>
      </c>
      <c r="N47" s="210" t="s">
        <v>16</v>
      </c>
    </row>
    <row r="48" spans="3:14" x14ac:dyDescent="0.25">
      <c r="C48" s="207">
        <v>41</v>
      </c>
      <c r="D48" s="208" t="s">
        <v>145</v>
      </c>
      <c r="E48" s="72" t="s">
        <v>155</v>
      </c>
      <c r="F48" s="211" t="s">
        <v>3</v>
      </c>
      <c r="G48" s="211" t="s">
        <v>9</v>
      </c>
      <c r="H48" s="73" t="s">
        <v>192</v>
      </c>
      <c r="I48" s="137" t="s">
        <v>156</v>
      </c>
      <c r="J48" s="4">
        <v>6222</v>
      </c>
      <c r="K48" s="66" t="s">
        <v>55</v>
      </c>
      <c r="L48" s="4">
        <v>20.037888980000002</v>
      </c>
      <c r="M48" s="4">
        <v>80.632393250000007</v>
      </c>
      <c r="N48" s="210" t="s">
        <v>16</v>
      </c>
    </row>
    <row r="49" spans="3:14" x14ac:dyDescent="0.25">
      <c r="C49" s="207">
        <v>42</v>
      </c>
      <c r="D49" s="208" t="s">
        <v>145</v>
      </c>
      <c r="E49" s="72" t="s">
        <v>155</v>
      </c>
      <c r="F49" s="212" t="s">
        <v>19</v>
      </c>
      <c r="G49" s="212" t="s">
        <v>18</v>
      </c>
      <c r="H49" s="137" t="s">
        <v>156</v>
      </c>
      <c r="I49" s="73" t="s">
        <v>193</v>
      </c>
      <c r="J49" s="72">
        <v>4574</v>
      </c>
      <c r="K49" s="66" t="s">
        <v>55</v>
      </c>
      <c r="L49" s="4">
        <v>20.01327865</v>
      </c>
      <c r="M49" s="4">
        <v>80.631232060000002</v>
      </c>
      <c r="N49" s="210" t="s">
        <v>11</v>
      </c>
    </row>
    <row r="50" spans="3:14" x14ac:dyDescent="0.25">
      <c r="C50" s="207">
        <v>43</v>
      </c>
      <c r="D50" s="208" t="s">
        <v>145</v>
      </c>
      <c r="E50" s="72" t="s">
        <v>155</v>
      </c>
      <c r="F50" s="212" t="s">
        <v>19</v>
      </c>
      <c r="G50" s="212" t="s">
        <v>18</v>
      </c>
      <c r="H50" s="73" t="s">
        <v>193</v>
      </c>
      <c r="I50" s="73" t="s">
        <v>194</v>
      </c>
      <c r="J50" s="72">
        <v>5631</v>
      </c>
      <c r="K50" s="66" t="s">
        <v>55</v>
      </c>
      <c r="L50" s="4">
        <v>19.986983779999999</v>
      </c>
      <c r="M50" s="4">
        <v>80.669069059999998</v>
      </c>
      <c r="N50" s="210" t="s">
        <v>11</v>
      </c>
    </row>
    <row r="51" spans="3:14" x14ac:dyDescent="0.25">
      <c r="C51" s="207">
        <v>44</v>
      </c>
      <c r="D51" s="208" t="s">
        <v>145</v>
      </c>
      <c r="E51" s="72" t="s">
        <v>155</v>
      </c>
      <c r="F51" s="212" t="s">
        <v>19</v>
      </c>
      <c r="G51" s="212" t="s">
        <v>18</v>
      </c>
      <c r="H51" s="73" t="s">
        <v>194</v>
      </c>
      <c r="I51" s="73" t="s">
        <v>195</v>
      </c>
      <c r="J51" s="72">
        <v>2074</v>
      </c>
      <c r="K51" s="66" t="s">
        <v>55</v>
      </c>
      <c r="L51" s="4">
        <v>19.992510889999998</v>
      </c>
      <c r="M51" s="4">
        <v>80.681226629999998</v>
      </c>
      <c r="N51" s="210" t="s">
        <v>11</v>
      </c>
    </row>
    <row r="52" spans="3:14" x14ac:dyDescent="0.25">
      <c r="C52" s="207">
        <v>45</v>
      </c>
      <c r="D52" s="208" t="s">
        <v>145</v>
      </c>
      <c r="E52" s="72" t="s">
        <v>155</v>
      </c>
      <c r="F52" s="212" t="s">
        <v>19</v>
      </c>
      <c r="G52" s="212" t="s">
        <v>18</v>
      </c>
      <c r="H52" s="73" t="s">
        <v>195</v>
      </c>
      <c r="I52" s="73" t="s">
        <v>196</v>
      </c>
      <c r="J52" s="72">
        <v>3983</v>
      </c>
      <c r="K52" s="66" t="s">
        <v>55</v>
      </c>
      <c r="L52" s="4">
        <v>20.015994630000002</v>
      </c>
      <c r="M52" s="4">
        <v>80.664319689999999</v>
      </c>
      <c r="N52" s="210" t="s">
        <v>11</v>
      </c>
    </row>
    <row r="53" spans="3:14" x14ac:dyDescent="0.25">
      <c r="C53" s="207">
        <v>46</v>
      </c>
      <c r="D53" s="208" t="s">
        <v>145</v>
      </c>
      <c r="E53" s="72" t="s">
        <v>155</v>
      </c>
      <c r="F53" s="212" t="s">
        <v>19</v>
      </c>
      <c r="G53" s="212" t="s">
        <v>18</v>
      </c>
      <c r="H53" s="73" t="s">
        <v>196</v>
      </c>
      <c r="I53" s="73" t="s">
        <v>197</v>
      </c>
      <c r="J53" s="72">
        <v>2363</v>
      </c>
      <c r="K53" s="66" t="s">
        <v>55</v>
      </c>
      <c r="L53" s="4">
        <v>20.024308980000001</v>
      </c>
      <c r="M53" s="4">
        <v>80.676243990000003</v>
      </c>
      <c r="N53" s="210" t="s">
        <v>11</v>
      </c>
    </row>
    <row r="54" spans="3:14" x14ac:dyDescent="0.25">
      <c r="C54" s="207">
        <v>47</v>
      </c>
      <c r="D54" s="208" t="s">
        <v>145</v>
      </c>
      <c r="E54" s="72" t="s">
        <v>155</v>
      </c>
      <c r="F54" s="212" t="s">
        <v>19</v>
      </c>
      <c r="G54" s="212" t="s">
        <v>18</v>
      </c>
      <c r="H54" s="73" t="s">
        <v>197</v>
      </c>
      <c r="I54" s="73" t="s">
        <v>198</v>
      </c>
      <c r="J54" s="72">
        <v>21206</v>
      </c>
      <c r="K54" s="66" t="s">
        <v>55</v>
      </c>
      <c r="L54" s="4">
        <v>20.096018539999999</v>
      </c>
      <c r="M54" s="4">
        <v>80.772794869999998</v>
      </c>
      <c r="N54" s="210" t="s">
        <v>11</v>
      </c>
    </row>
    <row r="55" spans="3:14" x14ac:dyDescent="0.25">
      <c r="C55" s="207">
        <v>48</v>
      </c>
      <c r="D55" s="208" t="s">
        <v>145</v>
      </c>
      <c r="E55" s="72" t="s">
        <v>155</v>
      </c>
      <c r="F55" s="212" t="s">
        <v>19</v>
      </c>
      <c r="G55" s="212" t="s">
        <v>18</v>
      </c>
      <c r="H55" s="73" t="s">
        <v>198</v>
      </c>
      <c r="I55" s="73" t="s">
        <v>199</v>
      </c>
      <c r="J55" s="72">
        <v>14508</v>
      </c>
      <c r="K55" s="4"/>
      <c r="L55" s="4">
        <v>20.099672989999998</v>
      </c>
      <c r="M55" s="4">
        <v>80.710773639999999</v>
      </c>
      <c r="N55" s="210" t="s">
        <v>11</v>
      </c>
    </row>
    <row r="56" spans="3:14" x14ac:dyDescent="0.25">
      <c r="C56" s="207">
        <v>49</v>
      </c>
      <c r="D56" s="208" t="s">
        <v>145</v>
      </c>
      <c r="E56" s="72" t="s">
        <v>155</v>
      </c>
      <c r="F56" s="212" t="s">
        <v>19</v>
      </c>
      <c r="G56" s="212" t="s">
        <v>18</v>
      </c>
      <c r="H56" s="73" t="s">
        <v>199</v>
      </c>
      <c r="I56" s="73" t="s">
        <v>200</v>
      </c>
      <c r="J56" s="72">
        <v>4120</v>
      </c>
      <c r="K56" s="66" t="s">
        <v>55</v>
      </c>
      <c r="L56" s="4">
        <v>20.089252869999999</v>
      </c>
      <c r="M56" s="4">
        <v>80.699577430000005</v>
      </c>
      <c r="N56" s="210" t="s">
        <v>11</v>
      </c>
    </row>
    <row r="57" spans="3:14" x14ac:dyDescent="0.25">
      <c r="C57" s="207">
        <v>50</v>
      </c>
      <c r="D57" s="208" t="s">
        <v>145</v>
      </c>
      <c r="E57" s="72" t="s">
        <v>155</v>
      </c>
      <c r="F57" s="212" t="s">
        <v>19</v>
      </c>
      <c r="G57" s="212" t="s">
        <v>18</v>
      </c>
      <c r="H57" s="73" t="s">
        <v>200</v>
      </c>
      <c r="I57" s="73" t="s">
        <v>201</v>
      </c>
      <c r="J57" s="72">
        <v>5342</v>
      </c>
      <c r="K57" s="66" t="s">
        <v>55</v>
      </c>
      <c r="L57" s="4">
        <v>20.066299610000002</v>
      </c>
      <c r="M57" s="4">
        <v>80.702083689999995</v>
      </c>
      <c r="N57" s="210" t="s">
        <v>11</v>
      </c>
    </row>
    <row r="58" spans="3:14" x14ac:dyDescent="0.25">
      <c r="C58" s="207">
        <v>51</v>
      </c>
      <c r="D58" s="208" t="s">
        <v>145</v>
      </c>
      <c r="E58" s="72" t="s">
        <v>155</v>
      </c>
      <c r="F58" s="212" t="s">
        <v>19</v>
      </c>
      <c r="G58" s="212" t="s">
        <v>18</v>
      </c>
      <c r="H58" s="73" t="s">
        <v>201</v>
      </c>
      <c r="I58" s="137" t="s">
        <v>156</v>
      </c>
      <c r="J58" s="72">
        <v>18667</v>
      </c>
      <c r="K58" s="66" t="s">
        <v>55</v>
      </c>
      <c r="L58" s="4">
        <v>20.037888980000002</v>
      </c>
      <c r="M58" s="4">
        <v>80.632393250000007</v>
      </c>
      <c r="N58" s="210" t="s">
        <v>11</v>
      </c>
    </row>
    <row r="59" spans="3:14" x14ac:dyDescent="0.25">
      <c r="C59" s="207">
        <v>52</v>
      </c>
      <c r="D59" s="208" t="s">
        <v>145</v>
      </c>
      <c r="E59" s="72" t="s">
        <v>155</v>
      </c>
      <c r="F59" s="212" t="s">
        <v>19</v>
      </c>
      <c r="G59" s="212" t="s">
        <v>15</v>
      </c>
      <c r="H59" s="137" t="s">
        <v>156</v>
      </c>
      <c r="I59" s="73" t="s">
        <v>202</v>
      </c>
      <c r="J59" s="72">
        <v>16179</v>
      </c>
      <c r="K59" s="66" t="s">
        <v>55</v>
      </c>
      <c r="L59" s="4">
        <v>19.963123339999999</v>
      </c>
      <c r="M59" s="4">
        <v>80.706700690000005</v>
      </c>
      <c r="N59" s="210" t="s">
        <v>16</v>
      </c>
    </row>
    <row r="60" spans="3:14" x14ac:dyDescent="0.25">
      <c r="C60" s="207">
        <v>53</v>
      </c>
      <c r="D60" s="208" t="s">
        <v>145</v>
      </c>
      <c r="E60" s="72" t="s">
        <v>155</v>
      </c>
      <c r="F60" s="212" t="s">
        <v>19</v>
      </c>
      <c r="G60" s="212" t="s">
        <v>15</v>
      </c>
      <c r="H60" s="73" t="s">
        <v>202</v>
      </c>
      <c r="I60" s="73" t="s">
        <v>203</v>
      </c>
      <c r="J60" s="72">
        <v>3159</v>
      </c>
      <c r="K60" s="66" t="s">
        <v>55</v>
      </c>
      <c r="L60" s="4">
        <v>19.98207287</v>
      </c>
      <c r="M60" s="4">
        <v>80.718268879999997</v>
      </c>
      <c r="N60" s="210" t="s">
        <v>16</v>
      </c>
    </row>
    <row r="61" spans="3:14" x14ac:dyDescent="0.25">
      <c r="C61" s="207">
        <v>54</v>
      </c>
      <c r="D61" s="208" t="s">
        <v>145</v>
      </c>
      <c r="E61" s="72" t="s">
        <v>155</v>
      </c>
      <c r="F61" s="212" t="s">
        <v>19</v>
      </c>
      <c r="G61" s="212" t="s">
        <v>15</v>
      </c>
      <c r="H61" s="73" t="s">
        <v>203</v>
      </c>
      <c r="I61" s="73" t="s">
        <v>204</v>
      </c>
      <c r="J61" s="72">
        <v>2004</v>
      </c>
      <c r="K61" s="66" t="s">
        <v>55</v>
      </c>
      <c r="L61" s="4">
        <v>19.99820377</v>
      </c>
      <c r="M61" s="4">
        <v>80.714906319999997</v>
      </c>
      <c r="N61" s="210" t="s">
        <v>16</v>
      </c>
    </row>
    <row r="62" spans="3:14" x14ac:dyDescent="0.25">
      <c r="C62" s="207">
        <v>55</v>
      </c>
      <c r="D62" s="208" t="s">
        <v>145</v>
      </c>
      <c r="E62" s="72" t="s">
        <v>155</v>
      </c>
      <c r="F62" s="212" t="s">
        <v>19</v>
      </c>
      <c r="G62" s="212" t="s">
        <v>15</v>
      </c>
      <c r="H62" s="73" t="s">
        <v>204</v>
      </c>
      <c r="I62" s="73" t="s">
        <v>205</v>
      </c>
      <c r="J62" s="72">
        <v>2716</v>
      </c>
      <c r="K62" s="66" t="s">
        <v>55</v>
      </c>
      <c r="L62" s="4">
        <v>19.991370209999999</v>
      </c>
      <c r="M62" s="4">
        <v>80.735178980000001</v>
      </c>
      <c r="N62" s="210" t="s">
        <v>16</v>
      </c>
    </row>
    <row r="63" spans="3:14" x14ac:dyDescent="0.25">
      <c r="C63" s="207">
        <v>56</v>
      </c>
      <c r="D63" s="208" t="s">
        <v>145</v>
      </c>
      <c r="E63" s="72" t="s">
        <v>155</v>
      </c>
      <c r="F63" s="212" t="s">
        <v>19</v>
      </c>
      <c r="G63" s="212" t="s">
        <v>15</v>
      </c>
      <c r="H63" s="73" t="s">
        <v>205</v>
      </c>
      <c r="I63" s="73" t="s">
        <v>206</v>
      </c>
      <c r="J63" s="72">
        <v>10355</v>
      </c>
      <c r="K63" s="66" t="s">
        <v>55</v>
      </c>
      <c r="L63" s="4">
        <v>20.072387689999999</v>
      </c>
      <c r="M63" s="4">
        <v>80.76135764</v>
      </c>
      <c r="N63" s="210" t="s">
        <v>16</v>
      </c>
    </row>
    <row r="64" spans="3:14" x14ac:dyDescent="0.25">
      <c r="C64" s="207">
        <v>57</v>
      </c>
      <c r="D64" s="208" t="s">
        <v>145</v>
      </c>
      <c r="E64" s="72" t="s">
        <v>155</v>
      </c>
      <c r="F64" s="212" t="s">
        <v>19</v>
      </c>
      <c r="G64" s="212" t="s">
        <v>15</v>
      </c>
      <c r="H64" s="73" t="s">
        <v>206</v>
      </c>
      <c r="I64" s="73" t="s">
        <v>207</v>
      </c>
      <c r="J64" s="72">
        <v>30334</v>
      </c>
      <c r="K64" s="66" t="s">
        <v>55</v>
      </c>
      <c r="L64" s="4">
        <v>20.030434209999999</v>
      </c>
      <c r="M64" s="4">
        <v>80.721457689999994</v>
      </c>
      <c r="N64" s="210" t="s">
        <v>16</v>
      </c>
    </row>
    <row r="65" spans="3:14" x14ac:dyDescent="0.25">
      <c r="C65" s="207">
        <v>58</v>
      </c>
      <c r="D65" s="208" t="s">
        <v>145</v>
      </c>
      <c r="E65" s="72" t="s">
        <v>155</v>
      </c>
      <c r="F65" s="212" t="s">
        <v>19</v>
      </c>
      <c r="G65" s="212" t="s">
        <v>15</v>
      </c>
      <c r="H65" s="73" t="s">
        <v>207</v>
      </c>
      <c r="I65" s="73" t="s">
        <v>208</v>
      </c>
      <c r="J65" s="72">
        <v>2802</v>
      </c>
      <c r="K65" s="66" t="s">
        <v>55</v>
      </c>
      <c r="L65" s="4">
        <v>20.037795209999999</v>
      </c>
      <c r="M65" s="4">
        <v>80.703243279999995</v>
      </c>
      <c r="N65" s="210" t="s">
        <v>16</v>
      </c>
    </row>
    <row r="66" spans="3:14" x14ac:dyDescent="0.25">
      <c r="C66" s="207">
        <v>59</v>
      </c>
      <c r="D66" s="208" t="s">
        <v>145</v>
      </c>
      <c r="E66" s="72" t="s">
        <v>155</v>
      </c>
      <c r="F66" s="212" t="s">
        <v>19</v>
      </c>
      <c r="G66" s="212" t="s">
        <v>15</v>
      </c>
      <c r="H66" s="73" t="s">
        <v>208</v>
      </c>
      <c r="I66" s="73" t="s">
        <v>209</v>
      </c>
      <c r="J66" s="72">
        <v>4970</v>
      </c>
      <c r="K66" s="66" t="s">
        <v>55</v>
      </c>
      <c r="L66" s="4">
        <v>20.052520789999999</v>
      </c>
      <c r="M66" s="4">
        <v>80.667945979999999</v>
      </c>
      <c r="N66" s="210" t="s">
        <v>16</v>
      </c>
    </row>
    <row r="67" spans="3:14" x14ac:dyDescent="0.25">
      <c r="C67" s="207">
        <v>60</v>
      </c>
      <c r="D67" s="208" t="s">
        <v>145</v>
      </c>
      <c r="E67" s="72" t="s">
        <v>155</v>
      </c>
      <c r="F67" s="212" t="s">
        <v>19</v>
      </c>
      <c r="G67" s="212" t="s">
        <v>15</v>
      </c>
      <c r="H67" s="73" t="s">
        <v>209</v>
      </c>
      <c r="I67" s="137" t="s">
        <v>156</v>
      </c>
      <c r="J67" s="4">
        <v>5687</v>
      </c>
      <c r="K67" s="66" t="s">
        <v>55</v>
      </c>
      <c r="L67" s="4">
        <v>20.037888980000002</v>
      </c>
      <c r="M67" s="4">
        <v>80.632393250000007</v>
      </c>
      <c r="N67" s="210" t="s">
        <v>16</v>
      </c>
    </row>
    <row r="68" spans="3:14" ht="30" x14ac:dyDescent="0.25">
      <c r="C68" s="207">
        <v>61</v>
      </c>
      <c r="D68" s="208" t="s">
        <v>145</v>
      </c>
      <c r="E68" s="72" t="s">
        <v>155</v>
      </c>
      <c r="F68" s="213" t="s">
        <v>81</v>
      </c>
      <c r="G68" s="213" t="s">
        <v>210</v>
      </c>
      <c r="H68" s="137" t="s">
        <v>156</v>
      </c>
      <c r="I68" s="73" t="s">
        <v>211</v>
      </c>
      <c r="J68" s="4">
        <v>24508</v>
      </c>
      <c r="K68" s="79" t="s">
        <v>419</v>
      </c>
      <c r="L68" s="4">
        <v>20.138193040000001</v>
      </c>
      <c r="M68" s="4">
        <v>80.770822229999993</v>
      </c>
      <c r="N68" s="210" t="s">
        <v>16</v>
      </c>
    </row>
    <row r="69" spans="3:14" ht="30" x14ac:dyDescent="0.25">
      <c r="C69" s="207">
        <v>62</v>
      </c>
      <c r="D69" s="208" t="s">
        <v>145</v>
      </c>
      <c r="E69" s="72" t="s">
        <v>155</v>
      </c>
      <c r="F69" s="213" t="s">
        <v>81</v>
      </c>
      <c r="G69" s="213" t="s">
        <v>210</v>
      </c>
      <c r="H69" s="73" t="s">
        <v>211</v>
      </c>
      <c r="I69" s="73" t="s">
        <v>212</v>
      </c>
      <c r="J69" s="4">
        <v>2102</v>
      </c>
      <c r="K69" s="79" t="s">
        <v>419</v>
      </c>
      <c r="L69" s="4">
        <v>20.148290490000001</v>
      </c>
      <c r="M69" s="4">
        <v>80.785297139999997</v>
      </c>
      <c r="N69" s="210" t="s">
        <v>16</v>
      </c>
    </row>
    <row r="70" spans="3:14" ht="30" x14ac:dyDescent="0.25">
      <c r="C70" s="207">
        <v>63</v>
      </c>
      <c r="D70" s="208" t="s">
        <v>145</v>
      </c>
      <c r="E70" s="72" t="s">
        <v>155</v>
      </c>
      <c r="F70" s="213" t="s">
        <v>81</v>
      </c>
      <c r="G70" s="213" t="s">
        <v>210</v>
      </c>
      <c r="H70" s="73" t="s">
        <v>212</v>
      </c>
      <c r="I70" s="73" t="s">
        <v>213</v>
      </c>
      <c r="J70" s="4">
        <v>25180</v>
      </c>
      <c r="K70" s="79" t="s">
        <v>419</v>
      </c>
      <c r="L70" s="4">
        <v>20.192589550000001</v>
      </c>
      <c r="M70" s="4">
        <v>80.945738210000002</v>
      </c>
      <c r="N70" s="210" t="s">
        <v>16</v>
      </c>
    </row>
    <row r="71" spans="3:14" ht="30" x14ac:dyDescent="0.25">
      <c r="C71" s="207">
        <v>64</v>
      </c>
      <c r="D71" s="208" t="s">
        <v>145</v>
      </c>
      <c r="E71" s="72" t="s">
        <v>155</v>
      </c>
      <c r="F71" s="213" t="s">
        <v>81</v>
      </c>
      <c r="G71" s="213" t="s">
        <v>210</v>
      </c>
      <c r="H71" s="73" t="s">
        <v>213</v>
      </c>
      <c r="I71" s="73" t="s">
        <v>214</v>
      </c>
      <c r="J71" s="4">
        <v>8617</v>
      </c>
      <c r="K71" s="79" t="s">
        <v>419</v>
      </c>
      <c r="L71" s="4">
        <v>20.140646879999998</v>
      </c>
      <c r="M71" s="4">
        <v>80.92173287</v>
      </c>
      <c r="N71" s="210" t="s">
        <v>16</v>
      </c>
    </row>
    <row r="72" spans="3:14" ht="30" x14ac:dyDescent="0.25">
      <c r="C72" s="207">
        <v>65</v>
      </c>
      <c r="D72" s="208" t="s">
        <v>145</v>
      </c>
      <c r="E72" s="72" t="s">
        <v>155</v>
      </c>
      <c r="F72" s="213" t="s">
        <v>81</v>
      </c>
      <c r="G72" s="213" t="s">
        <v>210</v>
      </c>
      <c r="H72" s="73" t="s">
        <v>214</v>
      </c>
      <c r="I72" s="73" t="s">
        <v>215</v>
      </c>
      <c r="J72" s="4">
        <v>2013</v>
      </c>
      <c r="K72" s="79" t="s">
        <v>419</v>
      </c>
      <c r="L72" s="4">
        <v>20.140102710000001</v>
      </c>
      <c r="M72" s="4">
        <v>80.934252540000003</v>
      </c>
      <c r="N72" s="210" t="s">
        <v>16</v>
      </c>
    </row>
    <row r="73" spans="3:14" ht="30" x14ac:dyDescent="0.25">
      <c r="C73" s="207">
        <v>66</v>
      </c>
      <c r="D73" s="208" t="s">
        <v>145</v>
      </c>
      <c r="E73" s="72" t="s">
        <v>155</v>
      </c>
      <c r="F73" s="213" t="s">
        <v>81</v>
      </c>
      <c r="G73" s="213" t="s">
        <v>210</v>
      </c>
      <c r="H73" s="73" t="s">
        <v>215</v>
      </c>
      <c r="I73" s="73" t="s">
        <v>216</v>
      </c>
      <c r="J73" s="4">
        <v>12750</v>
      </c>
      <c r="K73" s="79" t="s">
        <v>419</v>
      </c>
      <c r="L73" s="4">
        <v>20.03593755</v>
      </c>
      <c r="M73" s="4">
        <v>80.941794630000004</v>
      </c>
      <c r="N73" s="210" t="s">
        <v>16</v>
      </c>
    </row>
    <row r="74" spans="3:14" ht="30" x14ac:dyDescent="0.25">
      <c r="C74" s="207">
        <v>67</v>
      </c>
      <c r="D74" s="208" t="s">
        <v>145</v>
      </c>
      <c r="E74" s="72" t="s">
        <v>155</v>
      </c>
      <c r="F74" s="213" t="s">
        <v>81</v>
      </c>
      <c r="G74" s="213" t="s">
        <v>210</v>
      </c>
      <c r="H74" s="73" t="s">
        <v>216</v>
      </c>
      <c r="I74" s="73" t="s">
        <v>217</v>
      </c>
      <c r="J74" s="4">
        <v>5050</v>
      </c>
      <c r="K74" s="79" t="s">
        <v>419</v>
      </c>
      <c r="L74" s="4">
        <v>20.003762330000001</v>
      </c>
      <c r="M74" s="4">
        <v>80.944671659999997</v>
      </c>
      <c r="N74" s="210" t="s">
        <v>16</v>
      </c>
    </row>
    <row r="75" spans="3:14" ht="30" x14ac:dyDescent="0.25">
      <c r="C75" s="207">
        <v>68</v>
      </c>
      <c r="D75" s="208" t="s">
        <v>145</v>
      </c>
      <c r="E75" s="72" t="s">
        <v>155</v>
      </c>
      <c r="F75" s="213" t="s">
        <v>81</v>
      </c>
      <c r="G75" s="213" t="s">
        <v>210</v>
      </c>
      <c r="H75" s="73" t="s">
        <v>217</v>
      </c>
      <c r="I75" s="73" t="s">
        <v>218</v>
      </c>
      <c r="J75" s="4">
        <v>24570</v>
      </c>
      <c r="K75" s="79" t="s">
        <v>419</v>
      </c>
      <c r="L75" s="4">
        <v>20.03877009</v>
      </c>
      <c r="M75" s="4">
        <v>81.069088019999995</v>
      </c>
      <c r="N75" s="210" t="s">
        <v>16</v>
      </c>
    </row>
    <row r="76" spans="3:14" ht="30" x14ac:dyDescent="0.25">
      <c r="C76" s="207">
        <v>69</v>
      </c>
      <c r="D76" s="208" t="s">
        <v>145</v>
      </c>
      <c r="E76" s="72" t="s">
        <v>155</v>
      </c>
      <c r="F76" s="213" t="s">
        <v>81</v>
      </c>
      <c r="G76" s="213" t="s">
        <v>210</v>
      </c>
      <c r="H76" s="73" t="s">
        <v>218</v>
      </c>
      <c r="I76" s="137" t="s">
        <v>219</v>
      </c>
      <c r="J76" s="4">
        <v>14237</v>
      </c>
      <c r="K76" s="79" t="s">
        <v>419</v>
      </c>
      <c r="L76" s="4">
        <v>20.074656879999999</v>
      </c>
      <c r="M76" s="4">
        <v>81.145716309999997</v>
      </c>
      <c r="N76" s="210" t="s">
        <v>16</v>
      </c>
    </row>
    <row r="77" spans="3:14" ht="30" x14ac:dyDescent="0.25">
      <c r="C77" s="207">
        <v>70</v>
      </c>
      <c r="D77" s="208" t="s">
        <v>145</v>
      </c>
      <c r="E77" s="72" t="s">
        <v>155</v>
      </c>
      <c r="F77" s="213" t="s">
        <v>81</v>
      </c>
      <c r="G77" s="213" t="s">
        <v>220</v>
      </c>
      <c r="H77" s="137" t="s">
        <v>156</v>
      </c>
      <c r="I77" s="73" t="s">
        <v>221</v>
      </c>
      <c r="J77" s="4">
        <v>31045</v>
      </c>
      <c r="K77" s="79" t="s">
        <v>419</v>
      </c>
      <c r="L77" s="4">
        <v>20.16639365</v>
      </c>
      <c r="M77" s="4">
        <v>80.819212219999997</v>
      </c>
      <c r="N77" s="210" t="s">
        <v>17</v>
      </c>
    </row>
    <row r="78" spans="3:14" ht="30" x14ac:dyDescent="0.25">
      <c r="C78" s="207">
        <v>71</v>
      </c>
      <c r="D78" s="208" t="s">
        <v>145</v>
      </c>
      <c r="E78" s="72" t="s">
        <v>155</v>
      </c>
      <c r="F78" s="213" t="s">
        <v>81</v>
      </c>
      <c r="G78" s="213" t="s">
        <v>220</v>
      </c>
      <c r="H78" s="73" t="s">
        <v>221</v>
      </c>
      <c r="I78" s="73" t="s">
        <v>222</v>
      </c>
      <c r="J78" s="4">
        <v>22190</v>
      </c>
      <c r="K78" s="79" t="s">
        <v>419</v>
      </c>
      <c r="L78" s="4">
        <v>20.170489289999999</v>
      </c>
      <c r="M78" s="4">
        <v>80.929679280000002</v>
      </c>
      <c r="N78" s="210" t="s">
        <v>17</v>
      </c>
    </row>
    <row r="79" spans="3:14" ht="30" x14ac:dyDescent="0.25">
      <c r="C79" s="207">
        <v>72</v>
      </c>
      <c r="D79" s="208" t="s">
        <v>145</v>
      </c>
      <c r="E79" s="72" t="s">
        <v>155</v>
      </c>
      <c r="F79" s="213" t="s">
        <v>81</v>
      </c>
      <c r="G79" s="213" t="s">
        <v>220</v>
      </c>
      <c r="H79" s="73" t="s">
        <v>222</v>
      </c>
      <c r="I79" s="73" t="s">
        <v>223</v>
      </c>
      <c r="J79" s="4">
        <v>29420</v>
      </c>
      <c r="K79" s="79" t="s">
        <v>419</v>
      </c>
      <c r="L79" s="4">
        <v>19.973201490000001</v>
      </c>
      <c r="M79" s="4">
        <v>80.930836439999993</v>
      </c>
      <c r="N79" s="210" t="s">
        <v>17</v>
      </c>
    </row>
    <row r="80" spans="3:14" ht="30" x14ac:dyDescent="0.25">
      <c r="C80" s="207">
        <v>73</v>
      </c>
      <c r="D80" s="208" t="s">
        <v>145</v>
      </c>
      <c r="E80" s="72" t="s">
        <v>155</v>
      </c>
      <c r="F80" s="213" t="s">
        <v>81</v>
      </c>
      <c r="G80" s="213" t="s">
        <v>220</v>
      </c>
      <c r="H80" s="73" t="s">
        <v>223</v>
      </c>
      <c r="I80" s="73" t="s">
        <v>224</v>
      </c>
      <c r="J80" s="4">
        <v>7585</v>
      </c>
      <c r="K80" s="79" t="s">
        <v>419</v>
      </c>
      <c r="L80" s="4">
        <v>19.96224703</v>
      </c>
      <c r="M80" s="4">
        <v>80.99286936</v>
      </c>
      <c r="N80" s="210" t="s">
        <v>17</v>
      </c>
    </row>
    <row r="81" spans="3:14" ht="30" x14ac:dyDescent="0.25">
      <c r="C81" s="207">
        <v>74</v>
      </c>
      <c r="D81" s="208" t="s">
        <v>145</v>
      </c>
      <c r="E81" s="72" t="s">
        <v>155</v>
      </c>
      <c r="F81" s="213" t="s">
        <v>81</v>
      </c>
      <c r="G81" s="213" t="s">
        <v>220</v>
      </c>
      <c r="H81" s="73" t="s">
        <v>224</v>
      </c>
      <c r="I81" s="73" t="s">
        <v>225</v>
      </c>
      <c r="J81" s="4">
        <v>399</v>
      </c>
      <c r="K81" s="79" t="s">
        <v>419</v>
      </c>
      <c r="L81" s="4">
        <v>19.962344980000001</v>
      </c>
      <c r="M81" s="4">
        <v>80.99604909</v>
      </c>
      <c r="N81" s="210" t="s">
        <v>17</v>
      </c>
    </row>
    <row r="82" spans="3:14" ht="30" x14ac:dyDescent="0.25">
      <c r="C82" s="207">
        <v>75</v>
      </c>
      <c r="D82" s="208" t="s">
        <v>145</v>
      </c>
      <c r="E82" s="72" t="s">
        <v>155</v>
      </c>
      <c r="F82" s="213" t="s">
        <v>81</v>
      </c>
      <c r="G82" s="213" t="s">
        <v>220</v>
      </c>
      <c r="H82" s="73" t="s">
        <v>225</v>
      </c>
      <c r="I82" s="73" t="s">
        <v>226</v>
      </c>
      <c r="J82" s="4">
        <v>2657</v>
      </c>
      <c r="K82" s="79" t="s">
        <v>419</v>
      </c>
      <c r="L82" s="4">
        <v>19.953688880000001</v>
      </c>
      <c r="M82" s="4">
        <v>81.017040980000004</v>
      </c>
      <c r="N82" s="210" t="s">
        <v>17</v>
      </c>
    </row>
    <row r="83" spans="3:14" ht="30" x14ac:dyDescent="0.25">
      <c r="C83" s="207">
        <v>76</v>
      </c>
      <c r="D83" s="208" t="s">
        <v>145</v>
      </c>
      <c r="E83" s="72" t="s">
        <v>155</v>
      </c>
      <c r="F83" s="213" t="s">
        <v>81</v>
      </c>
      <c r="G83" s="213" t="s">
        <v>220</v>
      </c>
      <c r="H83" s="73" t="s">
        <v>226</v>
      </c>
      <c r="I83" s="73" t="s">
        <v>227</v>
      </c>
      <c r="J83" s="4">
        <v>8174</v>
      </c>
      <c r="K83" s="79" t="s">
        <v>419</v>
      </c>
      <c r="L83" s="4">
        <v>19.988056879999998</v>
      </c>
      <c r="M83" s="4">
        <v>81.067758990000002</v>
      </c>
      <c r="N83" s="210" t="s">
        <v>17</v>
      </c>
    </row>
    <row r="84" spans="3:14" ht="30" x14ac:dyDescent="0.25">
      <c r="C84" s="207">
        <v>77</v>
      </c>
      <c r="D84" s="208" t="s">
        <v>145</v>
      </c>
      <c r="E84" s="72" t="s">
        <v>155</v>
      </c>
      <c r="F84" s="213" t="s">
        <v>81</v>
      </c>
      <c r="G84" s="213" t="s">
        <v>220</v>
      </c>
      <c r="H84" s="73" t="s">
        <v>227</v>
      </c>
      <c r="I84" s="137" t="s">
        <v>219</v>
      </c>
      <c r="J84" s="4">
        <v>20507</v>
      </c>
      <c r="K84" s="79" t="s">
        <v>419</v>
      </c>
      <c r="L84" s="4">
        <v>20.074656879999999</v>
      </c>
      <c r="M84" s="4">
        <v>81.145716309999997</v>
      </c>
      <c r="N84" s="210" t="s">
        <v>17</v>
      </c>
    </row>
    <row r="85" spans="3:14" x14ac:dyDescent="0.25">
      <c r="C85" s="207">
        <v>78</v>
      </c>
      <c r="D85" s="208" t="s">
        <v>145</v>
      </c>
      <c r="E85" s="72" t="s">
        <v>155</v>
      </c>
      <c r="F85" s="209" t="s">
        <v>2</v>
      </c>
      <c r="G85" s="209" t="s">
        <v>5</v>
      </c>
      <c r="H85" s="73" t="s">
        <v>161</v>
      </c>
      <c r="I85" s="73" t="s">
        <v>228</v>
      </c>
      <c r="J85" s="72">
        <v>4886</v>
      </c>
      <c r="K85" s="66" t="s">
        <v>154</v>
      </c>
      <c r="L85" s="4">
        <v>19.80137934</v>
      </c>
      <c r="M85" s="4">
        <v>80.571328660000006</v>
      </c>
      <c r="N85" s="210" t="s">
        <v>11</v>
      </c>
    </row>
    <row r="86" spans="3:14" x14ac:dyDescent="0.25">
      <c r="C86" s="207">
        <v>79</v>
      </c>
      <c r="D86" s="208" t="s">
        <v>145</v>
      </c>
      <c r="E86" s="72" t="s">
        <v>155</v>
      </c>
      <c r="F86" s="209" t="s">
        <v>2</v>
      </c>
      <c r="G86" s="209" t="s">
        <v>6</v>
      </c>
      <c r="H86" s="73" t="s">
        <v>166</v>
      </c>
      <c r="I86" s="73" t="s">
        <v>229</v>
      </c>
      <c r="J86" s="72">
        <v>8290</v>
      </c>
      <c r="K86" s="66" t="s">
        <v>154</v>
      </c>
      <c r="L86" s="4">
        <v>19.809439529999999</v>
      </c>
      <c r="M86" s="4">
        <v>80.458950560000005</v>
      </c>
      <c r="N86" s="210" t="s">
        <v>11</v>
      </c>
    </row>
    <row r="87" spans="3:14" x14ac:dyDescent="0.25">
      <c r="C87" s="207">
        <v>80</v>
      </c>
      <c r="D87" s="208" t="s">
        <v>145</v>
      </c>
      <c r="E87" s="72" t="s">
        <v>155</v>
      </c>
      <c r="F87" s="209" t="s">
        <v>2</v>
      </c>
      <c r="G87" s="209" t="s">
        <v>6</v>
      </c>
      <c r="H87" s="73" t="s">
        <v>229</v>
      </c>
      <c r="I87" s="73" t="s">
        <v>230</v>
      </c>
      <c r="J87" s="72">
        <v>1990</v>
      </c>
      <c r="K87" s="66" t="s">
        <v>154</v>
      </c>
      <c r="L87" s="4">
        <v>19.803208040000001</v>
      </c>
      <c r="M87" s="4">
        <v>80.442297359999998</v>
      </c>
      <c r="N87" s="210" t="s">
        <v>11</v>
      </c>
    </row>
    <row r="88" spans="3:14" x14ac:dyDescent="0.25">
      <c r="C88" s="207">
        <v>81</v>
      </c>
      <c r="D88" s="208" t="s">
        <v>145</v>
      </c>
      <c r="E88" s="72" t="s">
        <v>155</v>
      </c>
      <c r="F88" s="211" t="s">
        <v>3</v>
      </c>
      <c r="G88" s="211" t="s">
        <v>8</v>
      </c>
      <c r="H88" s="73" t="s">
        <v>181</v>
      </c>
      <c r="I88" s="73" t="s">
        <v>231</v>
      </c>
      <c r="J88" s="72">
        <v>3590</v>
      </c>
      <c r="K88" s="66" t="s">
        <v>154</v>
      </c>
      <c r="L88" s="4">
        <v>20.150292060000002</v>
      </c>
      <c r="M88" s="4">
        <v>80.596730690000001</v>
      </c>
      <c r="N88" s="210" t="s">
        <v>11</v>
      </c>
    </row>
    <row r="89" spans="3:14" x14ac:dyDescent="0.25">
      <c r="C89" s="207">
        <v>82</v>
      </c>
      <c r="D89" s="208" t="s">
        <v>145</v>
      </c>
      <c r="E89" s="72" t="s">
        <v>155</v>
      </c>
      <c r="F89" s="211" t="s">
        <v>3</v>
      </c>
      <c r="G89" s="211" t="s">
        <v>8</v>
      </c>
      <c r="H89" s="73" t="s">
        <v>231</v>
      </c>
      <c r="I89" s="73" t="s">
        <v>232</v>
      </c>
      <c r="J89" s="72">
        <v>2435</v>
      </c>
      <c r="K89" s="66" t="s">
        <v>154</v>
      </c>
      <c r="L89" s="4">
        <v>20.166167219999998</v>
      </c>
      <c r="M89" s="4">
        <v>80.594670359999995</v>
      </c>
      <c r="N89" s="210" t="s">
        <v>11</v>
      </c>
    </row>
    <row r="90" spans="3:14" x14ac:dyDescent="0.25">
      <c r="C90" s="207">
        <v>83</v>
      </c>
      <c r="D90" s="208" t="s">
        <v>145</v>
      </c>
      <c r="E90" s="72" t="s">
        <v>155</v>
      </c>
      <c r="F90" s="211" t="s">
        <v>3</v>
      </c>
      <c r="G90" s="211" t="s">
        <v>9</v>
      </c>
      <c r="H90" s="73" t="s">
        <v>189</v>
      </c>
      <c r="I90" s="73" t="s">
        <v>233</v>
      </c>
      <c r="J90" s="72">
        <v>5812</v>
      </c>
      <c r="K90" s="66" t="s">
        <v>154</v>
      </c>
      <c r="L90" s="4">
        <v>20.168484320000001</v>
      </c>
      <c r="M90" s="4">
        <v>80.673894050000001</v>
      </c>
      <c r="N90" s="210" t="s">
        <v>11</v>
      </c>
    </row>
    <row r="91" spans="3:14" x14ac:dyDescent="0.25">
      <c r="C91" s="207">
        <v>84</v>
      </c>
      <c r="D91" s="208" t="s">
        <v>145</v>
      </c>
      <c r="E91" s="72" t="s">
        <v>155</v>
      </c>
      <c r="F91" s="212" t="s">
        <v>19</v>
      </c>
      <c r="G91" s="212" t="s">
        <v>15</v>
      </c>
      <c r="H91" s="73" t="s">
        <v>202</v>
      </c>
      <c r="I91" s="73" t="s">
        <v>234</v>
      </c>
      <c r="J91" s="4">
        <v>7539</v>
      </c>
      <c r="K91" s="66" t="s">
        <v>154</v>
      </c>
      <c r="L91" s="4">
        <v>19.912217550000001</v>
      </c>
      <c r="M91" s="4">
        <v>80.688258090000005</v>
      </c>
      <c r="N91" s="210" t="s">
        <v>11</v>
      </c>
    </row>
    <row r="92" spans="3:14" x14ac:dyDescent="0.25">
      <c r="C92" s="207">
        <v>85</v>
      </c>
      <c r="D92" s="208" t="s">
        <v>145</v>
      </c>
      <c r="E92" s="72" t="s">
        <v>155</v>
      </c>
      <c r="F92" s="213" t="s">
        <v>81</v>
      </c>
      <c r="G92" s="213" t="s">
        <v>220</v>
      </c>
      <c r="H92" s="73" t="s">
        <v>224</v>
      </c>
      <c r="I92" s="73" t="s">
        <v>235</v>
      </c>
      <c r="J92" s="4">
        <v>3940</v>
      </c>
      <c r="K92" s="66" t="s">
        <v>154</v>
      </c>
      <c r="L92" s="4">
        <v>19.98238598</v>
      </c>
      <c r="M92" s="4">
        <v>81.022165990000005</v>
      </c>
      <c r="N92" s="210" t="s">
        <v>11</v>
      </c>
    </row>
  </sheetData>
  <mergeCells count="13">
    <mergeCell ref="O6:O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29"/>
  <sheetViews>
    <sheetView zoomScale="60" zoomScaleNormal="60" workbookViewId="0">
      <selection activeCell="D19" sqref="D19"/>
    </sheetView>
  </sheetViews>
  <sheetFormatPr defaultRowHeight="15" x14ac:dyDescent="0.25"/>
  <cols>
    <col min="2" max="2" width="9.7109375" bestFit="1" customWidth="1"/>
    <col min="3" max="3" width="68.28515625" bestFit="1" customWidth="1"/>
    <col min="4" max="4" width="27.7109375" bestFit="1" customWidth="1"/>
    <col min="5" max="5" width="17.42578125" customWidth="1"/>
    <col min="6" max="6" width="25.5703125" customWidth="1"/>
    <col min="7" max="7" width="26.28515625" customWidth="1"/>
    <col min="8" max="8" width="18.5703125" customWidth="1"/>
  </cols>
  <sheetData>
    <row r="5" spans="2:8" x14ac:dyDescent="0.25">
      <c r="B5" s="205" t="s">
        <v>90</v>
      </c>
      <c r="C5" s="205"/>
      <c r="D5" s="205"/>
      <c r="E5" s="206" t="s">
        <v>91</v>
      </c>
      <c r="F5" s="206"/>
      <c r="G5" s="206"/>
      <c r="H5" s="206"/>
    </row>
    <row r="6" spans="2:8" ht="39" customHeight="1" x14ac:dyDescent="0.25">
      <c r="B6" s="54" t="s">
        <v>92</v>
      </c>
      <c r="C6" s="55" t="s">
        <v>93</v>
      </c>
      <c r="D6" s="55" t="s">
        <v>94</v>
      </c>
      <c r="E6" s="56" t="s">
        <v>51</v>
      </c>
      <c r="F6" s="56" t="s">
        <v>95</v>
      </c>
      <c r="G6" s="56" t="s">
        <v>96</v>
      </c>
      <c r="H6" s="56" t="s">
        <v>97</v>
      </c>
    </row>
    <row r="7" spans="2:8" ht="204" x14ac:dyDescent="0.25">
      <c r="B7" s="57">
        <v>1</v>
      </c>
      <c r="C7" s="58" t="s">
        <v>98</v>
      </c>
      <c r="D7" s="58">
        <v>1.2</v>
      </c>
      <c r="E7" s="57" t="s">
        <v>33</v>
      </c>
      <c r="F7" s="57">
        <f>((-3)+(-9.5))/2</f>
        <v>-6.25</v>
      </c>
      <c r="G7" s="57">
        <v>-20</v>
      </c>
      <c r="H7" s="57">
        <v>10</v>
      </c>
    </row>
    <row r="8" spans="2:8" x14ac:dyDescent="0.25">
      <c r="E8" s="57" t="s">
        <v>34</v>
      </c>
      <c r="F8" s="57">
        <f>((3)+(-1))/2</f>
        <v>1</v>
      </c>
      <c r="G8" s="57">
        <v>-22</v>
      </c>
      <c r="H8" s="57">
        <v>40</v>
      </c>
    </row>
    <row r="9" spans="2:8" x14ac:dyDescent="0.25">
      <c r="E9" s="57" t="s">
        <v>99</v>
      </c>
      <c r="F9" s="57">
        <f>(5+(0))/2</f>
        <v>2.5</v>
      </c>
      <c r="G9" s="57">
        <v>-23</v>
      </c>
      <c r="H9" s="57">
        <v>80</v>
      </c>
    </row>
    <row r="10" spans="2:8" x14ac:dyDescent="0.25">
      <c r="E10" s="57" t="s">
        <v>50</v>
      </c>
      <c r="F10" s="57">
        <v>0.89999999999999991</v>
      </c>
      <c r="G10" s="57">
        <v>-22</v>
      </c>
      <c r="H10" s="57">
        <v>40</v>
      </c>
    </row>
    <row r="28" spans="3:3" x14ac:dyDescent="0.25">
      <c r="C28" s="59"/>
    </row>
    <row r="29" spans="3:3" x14ac:dyDescent="0.25">
      <c r="C29" s="59"/>
    </row>
  </sheetData>
  <mergeCells count="2">
    <mergeCell ref="B5:D5"/>
    <mergeCell ref="E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Link Loss Budget-Pakhanjore </vt:lpstr>
      <vt:lpstr>Spare link loss-Pakhanjore</vt:lpstr>
      <vt:lpstr>Pakhanjore  Block to Block</vt:lpstr>
      <vt:lpstr>Pakhanjore Inter Ring</vt:lpstr>
      <vt:lpstr>Fiber utilisation</vt:lpstr>
      <vt:lpstr>FDMS Plan Blue Ring</vt:lpstr>
      <vt:lpstr>FDMS Plan Orange Ring</vt:lpstr>
      <vt:lpstr>FDMS Plan Pink Ring</vt:lpstr>
      <vt:lpstr>FDMS Plan Brown Ring</vt:lpstr>
      <vt:lpstr>Splice Pattern Blue Ring</vt:lpstr>
      <vt:lpstr>Splice Pattern Orange Ring</vt:lpstr>
      <vt:lpstr>Splice Pattern Pink Ring.</vt:lpstr>
      <vt:lpstr>Splice Pattern Brown Ring</vt:lpstr>
      <vt:lpstr>Distance sheet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Kumar Bhanu</cp:lastModifiedBy>
  <cp:lastPrinted>2018-11-24T10:59:51Z</cp:lastPrinted>
  <dcterms:created xsi:type="dcterms:W3CDTF">2014-05-06T05:05:29Z</dcterms:created>
  <dcterms:modified xsi:type="dcterms:W3CDTF">2019-10-07T12:58:04Z</dcterms:modified>
</cp:coreProperties>
</file>